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otalenvmt.sharepoint.com/sites/pmo/Shared Documents/02 Design/Projects/Contracts/0059_PoaRR/Design Fee 26/T08/"/>
    </mc:Choice>
  </mc:AlternateContent>
  <xr:revisionPtr revIDLastSave="1016" documentId="8_{F050DB2D-3733-486E-8C13-C75014EB1398}" xr6:coauthVersionLast="47" xr6:coauthVersionMax="47" xr10:uidLastSave="{301472E6-9C45-4DEF-8917-E149CBD5692E}"/>
  <bookViews>
    <workbookView xWindow="-108" yWindow="-108" windowWidth="23256" windowHeight="12456" tabRatio="666" firstSheet="1" activeTab="1" xr2:uid="{F9B1B8C1-C737-A14E-B197-173AC5A51EAD}"/>
  </bookViews>
  <sheets>
    <sheet name="Summary" sheetId="25" r:id="rId1"/>
    <sheet name="Design Fee" sheetId="20" r:id="rId2"/>
    <sheet name="AR | Drawing List" sheetId="11" r:id="rId3"/>
    <sheet name="ST | Drawing List" sheetId="26" r:id="rId4"/>
    <sheet name="MEP | Drawing List" sheetId="27" r:id="rId5"/>
    <sheet name="LS | Drawing List" sheetId="16" r:id="rId6"/>
    <sheet name="Batches Plan" sheetId="24" state="hidden" r:id="rId7"/>
    <sheet name="BOQ COST" sheetId="22" r:id="rId8"/>
    <sheet name="old LS" sheetId="23" state="hidden" r:id="rId9"/>
    <sheet name="Sheet1" sheetId="21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" localSheetId="4" hidden="1">'[1]Rate Analysis'!#REF!</definedName>
    <definedName name="_" localSheetId="3" hidden="1">'[1]Rate Analysis'!#REF!</definedName>
    <definedName name="_" hidden="1">'[1]Rate Analysis'!#REF!</definedName>
    <definedName name="__123Graph_A" localSheetId="4" hidden="1">[2]TB!#REF!</definedName>
    <definedName name="__123Graph_A" localSheetId="3" hidden="1">[2]TB!#REF!</definedName>
    <definedName name="__123Graph_A" hidden="1">[2]TB!#REF!</definedName>
    <definedName name="__123Graph_B" localSheetId="4" hidden="1">'[1]Rate Analysis'!#REF!</definedName>
    <definedName name="__123Graph_B" localSheetId="3" hidden="1">'[1]Rate Analysis'!#REF!</definedName>
    <definedName name="__123Graph_B" hidden="1">'[1]Rate Analysis'!#REF!</definedName>
    <definedName name="__123Graph_C" localSheetId="4" hidden="1">'[1]Rate Analysis'!#REF!</definedName>
    <definedName name="__123Graph_C" localSheetId="3" hidden="1">'[1]Rate Analysis'!#REF!</definedName>
    <definedName name="__123Graph_C" hidden="1">'[1]Rate Analysis'!#REF!</definedName>
    <definedName name="__123Graph_D" hidden="1">'[3]vb 9&amp;10'!#REF!</definedName>
    <definedName name="__123Graph_E" hidden="1">'[1]Rate Analysis'!#REF!</definedName>
    <definedName name="__123Graph_F" hidden="1">'[1]Rate Analysis'!#REF!</definedName>
    <definedName name="__123Graph_X" hidden="1">[2]TB!#REF!</definedName>
    <definedName name="__IntlFixup" hidden="1">TRUE</definedName>
    <definedName name="_Dist_Bin" localSheetId="3" hidden="1">#REF!</definedName>
    <definedName name="_Dist_Bin" hidden="1">#REF!</definedName>
    <definedName name="_Dist_Values" localSheetId="3" hidden="1">#REF!</definedName>
    <definedName name="_Dist_Values" hidden="1">#REF!</definedName>
    <definedName name="_Fill" localSheetId="3" hidden="1">#REF!</definedName>
    <definedName name="_Fill" hidden="1">#REF!</definedName>
    <definedName name="_xlnm._FilterDatabase" localSheetId="2" hidden="1">'AR | Drawing List'!$H$1:$H$780</definedName>
    <definedName name="_xlnm._FilterDatabase" localSheetId="1" hidden="1">'Design Fee'!$X$7:$X$103</definedName>
    <definedName name="_xlnm._FilterDatabase" localSheetId="5" hidden="1">'LS | Drawing List'!$A$7:$V$134</definedName>
    <definedName name="_xlnm._FilterDatabase" localSheetId="4" hidden="1">'MEP | Drawing List'!$B$7:$X$558</definedName>
    <definedName name="_xlnm._FilterDatabase" localSheetId="3" hidden="1">'ST | Drawing List'!$A$7:$U$700</definedName>
    <definedName name="_xlnm._FilterDatabase" localSheetId="0" hidden="1">Summary!$M$7:$M$99</definedName>
    <definedName name="_xlnm._FilterDatabase" hidden="1">'[4]SP Break Up'!$A$6:$I$39</definedName>
    <definedName name="_Key1" hidden="1">#REF!</definedName>
    <definedName name="_Key2" hidden="1">'[5]#REF'!$A$9</definedName>
    <definedName name="_Order1" hidden="1">255</definedName>
    <definedName name="_Parse_In" hidden="1">[6]sum!#REF!</definedName>
    <definedName name="_Parse_Out" localSheetId="3" hidden="1">#REF!</definedName>
    <definedName name="_Parse_Out" hidden="1">#REF!</definedName>
    <definedName name="_Regression_Int" hidden="1">1</definedName>
    <definedName name="_Sort" localSheetId="3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ALupro" localSheetId="4" hidden="1">{"BSSCHA4",#N/A,FALSE,"sch bs"}</definedName>
    <definedName name="ALupro" localSheetId="3" hidden="1">{"BSSCHA4",#N/A,FALSE,"sch bs"}</definedName>
    <definedName name="ALupro" hidden="1">{"BSSCHA4",#N/A,FALSE,"sch bs"}</definedName>
    <definedName name="annexure" localSheetId="4" hidden="1">{"BSSCHA4",#N/A,FALSE,"sch bs"}</definedName>
    <definedName name="annexure" localSheetId="3" hidden="1">{"BSSCHA4",#N/A,FALSE,"sch bs"}</definedName>
    <definedName name="annexure" hidden="1">{"BSSCHA4",#N/A,FALSE,"sch bs"}</definedName>
    <definedName name="AS2DocOpenMode" hidden="1">"AS2DocumentEdit"</definedName>
    <definedName name="AS2HasNoAutoHeaderFooter" hidden="1">" "</definedName>
    <definedName name="AS2NamedRange" hidden="1">4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BLPH1" hidden="1">#REF!</definedName>
    <definedName name="depn" localSheetId="3" hidden="1">#REF!</definedName>
    <definedName name="depn" hidden="1">#REF!</definedName>
    <definedName name="Empty" localSheetId="3" hidden="1">#REF!</definedName>
    <definedName name="Empty" hidden="1">#REF!</definedName>
    <definedName name="Empty1" localSheetId="3" hidden="1">#REF!</definedName>
    <definedName name="Empty1" hidden="1">#REF!</definedName>
    <definedName name="Empty2" hidden="1">#REF!</definedName>
    <definedName name="etc" hidden="1">#REF!</definedName>
    <definedName name="EV__LASTREFTIME__" hidden="1">39021.6595138889</definedName>
    <definedName name="EV__MAXEXPCOLS__" hidden="1">100</definedName>
    <definedName name="EV__MAXEXPROWS__" hidden="1">1000</definedName>
    <definedName name="EV__WBEVMODE__" hidden="1">1</definedName>
    <definedName name="EV__WBREFOPTIONS__" hidden="1">134217728</definedName>
    <definedName name="EV__WBVERSION__" hidden="1">0</definedName>
    <definedName name="FA" localSheetId="3" hidden="1">'[7]grp '!#REF!</definedName>
    <definedName name="FA" hidden="1">'[7]grp '!#REF!</definedName>
    <definedName name="fffffffffffffffffffffffffffjjjjjj" hidden="1">#REF!</definedName>
    <definedName name="fgfg" localSheetId="3" hidden="1">[2]TB!#REF!</definedName>
    <definedName name="fgfg" hidden="1">[2]TB!#REF!</definedName>
    <definedName name="form3cd" hidden="1">'[8]EAW Final Accounts - 99'!$M$175:$M$189</definedName>
    <definedName name="gallup" localSheetId="4" hidden="1">{"a4p&amp;L",#N/A,FALSE,"tr &amp; pl"}</definedName>
    <definedName name="gallup" localSheetId="3" hidden="1">{"a4p&amp;L",#N/A,FALSE,"tr &amp; pl"}</definedName>
    <definedName name="gallup" hidden="1">{"a4p&amp;L",#N/A,FALSE,"tr &amp; pl"}</definedName>
    <definedName name="hgkh" localSheetId="4" hidden="1">{#N/A,#N/A,FALSE,"Aging Summary";#N/A,#N/A,FALSE,"Ratio Analysis";#N/A,#N/A,FALSE,"Test 120 Day Accts";#N/A,#N/A,FALSE,"Tickmarks"}</definedName>
    <definedName name="hgkh" localSheetId="3" hidden="1">{#N/A,#N/A,FALSE,"Aging Summary";#N/A,#N/A,FALSE,"Ratio Analysis";#N/A,#N/A,FALSE,"Test 120 Day Accts";#N/A,#N/A,FALSE,"Tickmarks"}</definedName>
    <definedName name="hgkh" hidden="1">{#N/A,#N/A,FALSE,"Aging Summary";#N/A,#N/A,FALSE,"Ratio Analysis";#N/A,#N/A,FALSE,"Test 120 Day Accts";#N/A,#N/A,FALSE,"Tickmarks"}</definedName>
    <definedName name="HTML_CodePage" hidden="1">1252</definedName>
    <definedName name="HTML_Description" hidden="1">""</definedName>
    <definedName name="HTML_Email" hidden="1">"neerajk@ranbaxy.co.in"</definedName>
    <definedName name="HTML_Header" hidden="1">"September 2000"</definedName>
    <definedName name="HTML_LastUpdate" hidden="1">"10/3/00"</definedName>
    <definedName name="HTML_LineAfter" hidden="1">FALSE</definedName>
    <definedName name="HTML_LineBefore" hidden="1">FALSE</definedName>
    <definedName name="HTML_Name" hidden="1">"Neeraj Kukreti"</definedName>
    <definedName name="HTML_OBDlg2" hidden="1">TRUE</definedName>
    <definedName name="HTML_OBDlg4" hidden="1">TRUE</definedName>
    <definedName name="HTML_OS" hidden="1">0</definedName>
    <definedName name="HTML_PathFile" hidden="1">"C:\WINDOWS\Desktop\cash_flash.htm"</definedName>
    <definedName name="HTML_Title" hidden="1">"cf_SEP2000"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CAP" hidden="1">"c712"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M" hidden="1">#REF!</definedName>
    <definedName name="_xlnm.Print_Area" localSheetId="1">'Design Fee'!$B$3:$CL$103</definedName>
    <definedName name="_xlnm.Print_Area" localSheetId="0">Summary!$A$3:$W$98</definedName>
    <definedName name="_xlnm.Print_Titles" localSheetId="0">Summary!$1:$8</definedName>
    <definedName name="Prof" hidden="1">#REF!</definedName>
    <definedName name="q" localSheetId="3" hidden="1">'[1]Rate Analysis'!#REF!</definedName>
    <definedName name="q" hidden="1">'[1]Rate Analysis'!#REF!</definedName>
    <definedName name="SAPBEXdnldView" hidden="1">"431YL7QMJN6KP6IQEL77FEM9L"</definedName>
    <definedName name="SAPBEXsysID" hidden="1">"BP1"</definedName>
    <definedName name="shp" hidden="1">'[1]Rate Analysis'!#REF!</definedName>
    <definedName name="SORT1" localSheetId="3" hidden="1">'[9]#REF'!#REF!</definedName>
    <definedName name="SORT1" hidden="1">'[9]#REF'!#REF!</definedName>
    <definedName name="v" hidden="1">[10]Grouping!$A$1:$A$65536,[10]Grouping!$A$6:$IV$6</definedName>
    <definedName name="vivek1" localSheetId="3" hidden="1">#REF!</definedName>
    <definedName name="vivek1" hidden="1">#REF!</definedName>
    <definedName name="vivek11" localSheetId="3" hidden="1">#REF!</definedName>
    <definedName name="vivek11" hidden="1">#REF!</definedName>
    <definedName name="vivek12" localSheetId="3" hidden="1">#REF!</definedName>
    <definedName name="vivek12" hidden="1">#REF!</definedName>
    <definedName name="vivek13" hidden="1">#REF!</definedName>
    <definedName name="vivek17" hidden="1">#REF!</definedName>
    <definedName name="vivek18" hidden="1">#REF!</definedName>
    <definedName name="vivek2" hidden="1">#REF!</definedName>
    <definedName name="vivek220" hidden="1">#REF!</definedName>
    <definedName name="vivek288888" hidden="1">#REF!</definedName>
    <definedName name="vivek2dddddddddddddddd" hidden="1">#REF!</definedName>
    <definedName name="vivek2oooooooooooooooo" hidden="1">#REF!</definedName>
    <definedName name="vivek3" hidden="1">#REF!</definedName>
    <definedName name="vivek4" hidden="1">#REF!</definedName>
    <definedName name="vivek444" hidden="1">#REF!</definedName>
    <definedName name="vivek5" hidden="1">#REF!</definedName>
    <definedName name="vivek6" hidden="1">#REF!</definedName>
    <definedName name="vivek6666" hidden="1">#REF!</definedName>
    <definedName name="vivek9" hidden="1">#REF!</definedName>
    <definedName name="wrn.A4BSSCH." localSheetId="4" hidden="1">{"BSSCHA4",#N/A,FALSE,"sch bs"}</definedName>
    <definedName name="wrn.A4BSSCH." localSheetId="3" hidden="1">{"BSSCHA4",#N/A,FALSE,"sch bs"}</definedName>
    <definedName name="wrn.A4BSSCH." hidden="1">{"BSSCHA4",#N/A,FALSE,"sch bs"}</definedName>
    <definedName name="wrn.A4PL." localSheetId="4" hidden="1">{"a4p&amp;L",#N/A,FALSE,"tr &amp; pl"}</definedName>
    <definedName name="wrn.A4PL." localSheetId="3" hidden="1">{"a4p&amp;L",#N/A,FALSE,"tr &amp; pl"}</definedName>
    <definedName name="wrn.A4PL." hidden="1">{"a4p&amp;L",#N/A,FALSE,"tr &amp; pl"}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krutiCMA." localSheetId="4" hidden="1">{#N/A,#N/A,FALSE,"OPSTATE";#N/A,#N/A,FALSE,"BSLIABILITY";#N/A,#N/A,FALSE,"BSASSETS";#N/A,#N/A,FALSE,"Sheet1"}</definedName>
    <definedName name="wrn.AkrutiCMA." localSheetId="3" hidden="1">{#N/A,#N/A,FALSE,"OPSTATE";#N/A,#N/A,FALSE,"BSLIABILITY";#N/A,#N/A,FALSE,"BSASSETS";#N/A,#N/A,FALSE,"Sheet1"}</definedName>
    <definedName name="wrn.AkrutiCMA." hidden="1">{#N/A,#N/A,FALSE,"OPSTATE";#N/A,#N/A,FALSE,"BSLIABILITY";#N/A,#N/A,FALSE,"BSASSETS";#N/A,#N/A,FALSE,"Sheet1"}</definedName>
    <definedName name="wrn.All." localSheetId="4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All." localSheetId="3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All." hidden="1">{#N/A,#N/A,TRUE,"Introduction";#N/A,#N/A,TRUE,"Operating Statistics";#N/A,#N/A,TRUE,"Capex &amp; Depreciation";#N/A,#N/A,TRUE,"Equity";#N/A,#N/A,TRUE,"Debt";#N/A,#N/A,TRUE,"Debt (2)";#N/A,#N/A,TRUE,"Financials";#N/A,#N/A,TRUE,"Market Info";#N/A,#N/A,TRUE,"Company Card";#N/A,#N/A,TRUE,"One Pager";#N/A,#N/A,TRUE,"First Page";#N/A,#N/A,TRUE,"Technical";#N/A,#N/A,TRUE,"Range Names"}</definedName>
    <definedName name="wrn.BSA4." localSheetId="4" hidden="1">{"A4BS",#N/A,FALSE,"bs"}</definedName>
    <definedName name="wrn.BSA4." localSheetId="3" hidden="1">{"A4BS",#N/A,FALSE,"bs"}</definedName>
    <definedName name="wrn.BSA4." hidden="1">{"A4BS",#N/A,FALSE,"bs"}</definedName>
    <definedName name="wrn.capA4." localSheetId="4" hidden="1">{"capA4",#N/A,FALSE,"capt"}</definedName>
    <definedName name="wrn.capA4." localSheetId="3" hidden="1">{"capA4",#N/A,FALSE,"capt"}</definedName>
    <definedName name="wrn.capA4." hidden="1">{"capA4",#N/A,FALSE,"capt"}</definedName>
    <definedName name="wrn.depschA4." localSheetId="4" hidden="1">{"A4depsch",#N/A,FALSE,"fa&amp;dep"}</definedName>
    <definedName name="wrn.depschA4." localSheetId="3" hidden="1">{"A4depsch",#N/A,FALSE,"fa&amp;dep"}</definedName>
    <definedName name="wrn.depschA4." hidden="1">{"A4depsch",#N/A,FALSE,"fa&amp;dep"}</definedName>
    <definedName name="wrn.EVEREST." localSheetId="4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EVEREST." localSheetId="3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EVEREST." hidden="1">{#N/A,#N/A,FALSE,"BANKLIMITS";#N/A,#N/A,FALSE,"OPSTATE";#N/A,#N/A,FALSE,"BSLIABILITY";#N/A,#N/A,FALSE,"BSASSETS";#N/A,#N/A,FALSE,"CABUILDUP";#N/A,#N/A,FALSE,"WCASSESS";#N/A,#N/A,FALSE,"FUNDFLOW";#N/A,#N/A,FALSE,"DSCR";#N/A,#N/A,FALSE,"RATIOS";#N/A,#N/A,FALSE,"Term loan"}</definedName>
    <definedName name="wrn.Full._.Financials." localSheetId="4" hidden="1">{#N/A,#N/A,TRUE,"Financials";#N/A,#N/A,TRUE,"Operating Statistics";#N/A,#N/A,TRUE,"Capex &amp; Depreciation";#N/A,#N/A,TRUE,"Debt"}</definedName>
    <definedName name="wrn.Full._.Financials." localSheetId="3" hidden="1">{#N/A,#N/A,TRUE,"Financials";#N/A,#N/A,TRUE,"Operating Statistics";#N/A,#N/A,TRUE,"Capex &amp; Depreciation";#N/A,#N/A,TRUE,"Debt"}</definedName>
    <definedName name="wrn.Full._.Financials." hidden="1">{#N/A,#N/A,TRUE,"Financials";#N/A,#N/A,TRUE,"Operating Statistics";#N/A,#N/A,TRUE,"Capex &amp; Depreciation";#N/A,#N/A,TRUE,"Debt"}</definedName>
    <definedName name="wrn.One._.Pager._.plus._.Technicals." localSheetId="4" hidden="1">{#N/A,#N/A,FALSE,"One Pager";#N/A,#N/A,FALSE,"Technical"}</definedName>
    <definedName name="wrn.One._.Pager._.plus._.Technicals." localSheetId="3" hidden="1">{#N/A,#N/A,FALSE,"One Pager";#N/A,#N/A,FALSE,"Technical"}</definedName>
    <definedName name="wrn.One._.Pager._.plus._.Technicals." hidden="1">{#N/A,#N/A,FALSE,"One Pager";#N/A,#N/A,FALSE,"Technical"}</definedName>
    <definedName name="wrn.PLSCHA4." localSheetId="4" hidden="1">{"A4PLSCH",#N/A,FALSE,"sch pl"}</definedName>
    <definedName name="wrn.PLSCHA4." localSheetId="3" hidden="1">{"A4PLSCH",#N/A,FALSE,"sch pl"}</definedName>
    <definedName name="wrn.PLSCHA4." hidden="1">{"A4PLSCH",#N/A,FALSE,"sch pl"}</definedName>
    <definedName name="wrn.Print." localSheetId="4" hidden="1">{"scenario",#N/A,FALSE,"Scenarios";"IS",#N/A,FALSE,"IS";"BS",#N/A,FALSE,"BS";"CFS",#N/A,FALSE,"CFS";"Tax",#N/A,FALSE,"Tax";"Debt",#N/A,FALSE,"Debt";"VAS",#N/A,FALSE,"VAS_Rev";"EFS",#N/A,FALSE,"EFS";"EDI",#N/A,FALSE,"EDI";"MMS",#N/A,FALSE,"MMS";"Intra",#N/A,FALSE,"Intranet";"FA",#N/A,FALSE,"Fix_Assets";"PSTN",#N/A,FALSE,"PSTN_Lines";"PreOp",#N/A,FALSE,"Pre-Op";"InterExp",#N/A,FALSE,"Int'l_Exp";"Propcost",#N/A,FALSE,"PROP_COST";"LLCost",#N/A,FALSE,"LL_Cost";"NetCost",#N/A,FALSE,"Inet_Conn";"Phase1",#N/A,FALSE,"Phase1";"Srvrcost",#N/A,FALSE,"SRV_Cost";"DCF",#N/A,FALSE,"DCF";"DCFCO",#N/A,FALSE,"DCF_CO"}</definedName>
    <definedName name="wrn.Print." localSheetId="3" hidden="1">{"scenario",#N/A,FALSE,"Scenarios";"IS",#N/A,FALSE,"IS";"BS",#N/A,FALSE,"BS";"CFS",#N/A,FALSE,"CFS";"Tax",#N/A,FALSE,"Tax";"Debt",#N/A,FALSE,"Debt";"VAS",#N/A,FALSE,"VAS_Rev";"EFS",#N/A,FALSE,"EFS";"EDI",#N/A,FALSE,"EDI";"MMS",#N/A,FALSE,"MMS";"Intra",#N/A,FALSE,"Intranet";"FA",#N/A,FALSE,"Fix_Assets";"PSTN",#N/A,FALSE,"PSTN_Lines";"PreOp",#N/A,FALSE,"Pre-Op";"InterExp",#N/A,FALSE,"Int'l_Exp";"Propcost",#N/A,FALSE,"PROP_COST";"LLCost",#N/A,FALSE,"LL_Cost";"NetCost",#N/A,FALSE,"Inet_Conn";"Phase1",#N/A,FALSE,"Phase1";"Srvrcost",#N/A,FALSE,"SRV_Cost";"DCF",#N/A,FALSE,"DCF";"DCFCO",#N/A,FALSE,"DCF_CO"}</definedName>
    <definedName name="wrn.Print." hidden="1">{"scenario",#N/A,FALSE,"Scenarios";"IS",#N/A,FALSE,"IS";"BS",#N/A,FALSE,"BS";"CFS",#N/A,FALSE,"CFS";"Tax",#N/A,FALSE,"Tax";"Debt",#N/A,FALSE,"Debt";"VAS",#N/A,FALSE,"VAS_Rev";"EFS",#N/A,FALSE,"EFS";"EDI",#N/A,FALSE,"EDI";"MMS",#N/A,FALSE,"MMS";"Intra",#N/A,FALSE,"Intranet";"FA",#N/A,FALSE,"Fix_Assets";"PSTN",#N/A,FALSE,"PSTN_Lines";"PreOp",#N/A,FALSE,"Pre-Op";"InterExp",#N/A,FALSE,"Int'l_Exp";"Propcost",#N/A,FALSE,"PROP_COST";"LLCost",#N/A,FALSE,"LL_Cost";"NetCost",#N/A,FALSE,"Inet_Conn";"Phase1",#N/A,FALSE,"Phase1";"Srvrcost",#N/A,FALSE,"SRV_Cost";"DCF",#N/A,FALSE,"DCF";"DCFCO",#N/A,FALSE,"DCF_CO"}</definedName>
    <definedName name="wrn.PrintShort." localSheetId="4" hidden="1">{"scenario",#N/A,FALSE,"Scenarios";"IS",#N/A,FALSE,"IS";"BS",#N/A,FALSE,"BS";"CFS",#N/A,FALSE,"CFS";"Intra",#N/A,FALSE,"Intranet";"MMS",#N/A,FALSE,"MMS";"EDI",#N/A,FALSE,"EDI";"EFS",#N/A,FALSE,"EFS";"DCF",#N/A,FALSE,"DCF";"Tax",#N/A,FALSE,"Tax";"Debt",#N/A,FALSE,"Debt";"VAS",#N/A,FALSE,"VAS_Rev";"FA",#N/A,FALSE,"Fix_Assets";"Summary",#N/A,FALSE,"SUMMARY"}</definedName>
    <definedName name="wrn.PrintShort." localSheetId="3" hidden="1">{"scenario",#N/A,FALSE,"Scenarios";"IS",#N/A,FALSE,"IS";"BS",#N/A,FALSE,"BS";"CFS",#N/A,FALSE,"CFS";"Intra",#N/A,FALSE,"Intranet";"MMS",#N/A,FALSE,"MMS";"EDI",#N/A,FALSE,"EDI";"EFS",#N/A,FALSE,"EFS";"DCF",#N/A,FALSE,"DCF";"Tax",#N/A,FALSE,"Tax";"Debt",#N/A,FALSE,"Debt";"VAS",#N/A,FALSE,"VAS_Rev";"FA",#N/A,FALSE,"Fix_Assets";"Summary",#N/A,FALSE,"SUMMARY"}</definedName>
    <definedName name="wrn.PrintShort." hidden="1">{"scenario",#N/A,FALSE,"Scenarios";"IS",#N/A,FALSE,"IS";"BS",#N/A,FALSE,"BS";"CFS",#N/A,FALSE,"CFS";"Intra",#N/A,FALSE,"Intranet";"MMS",#N/A,FALSE,"MMS";"EDI",#N/A,FALSE,"EDI";"EFS",#N/A,FALSE,"EFS";"DCF",#N/A,FALSE,"DCF";"Tax",#N/A,FALSE,"Tax";"Debt",#N/A,FALSE,"Debt";"VAS",#N/A,FALSE,"VAS_Rev";"FA",#N/A,FALSE,"Fix_Assets";"Summary",#N/A,FALSE,"SUMMARY"}</definedName>
    <definedName name="wrn.Saiwadi." localSheetId="4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aiwadi." localSheetId="3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aiwadi." hidden="1">{#N/A,#N/A,FALSE,"Sheet1";#N/A,#N/A,FALSE,"cost";#N/A,#N/A,FALSE,"prog";#N/A,#N/A,FALSE,"Nova-Area";#N/A,#N/A,FALSE,"BM-NOVA";#N/A,#N/A,FALSE,"Metropolis";#N/A,#N/A,FALSE,"BM-Metropolis";#N/A,#N/A,FALSE,"monthcf";#N/A,#N/A,FALSE,"Repayment Schedule"}</definedName>
    <definedName name="wrn.SunSteel." localSheetId="4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unSteel." localSheetId="3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unSteel." hidden="1">{#N/A,#N/A,FALSE,"BANKLIMITS";#N/A,#N/A,FALSE,"OPSTATE";#N/A,#N/A,FALSE,"BEP sales";#N/A,#N/A,FALSE,"Capacity-rolling";#N/A,#N/A,FALSE,"Capacity ingot";#N/A,#N/A,FALSE,"DSCR-TL";#N/A,#N/A,FALSE,"DSCR GROSS";#N/A,#N/A,FALSE,"BSLIABILITY";#N/A,#N/A,FALSE,"BSASSETS";#N/A,#N/A,FALSE,"CABUILDUP";#N/A,#N/A,FALSE,"WCASSESS";#N/A,#N/A,FALSE,"FUNDFLOW";#N/A,#N/A,FALSE,"RATIOS";#N/A,#N/A,FALSE,"Term loan";#N/A,#N/A,FALSE,"Depreciation"}</definedName>
    <definedName name="wrn.SWATINORMAL." localSheetId="4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wrn.SWATINORMAL." localSheetId="3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wrn.SWATINORMAL." hidden="1">{#N/A,#N/A,FALSE,"BANKLIMITS";#N/A,#N/A,FALSE,"OPSTATE";#N/A,#N/A,FALSE,"BSLIABILITY";#N/A,#N/A,FALSE,"BSASSETS";#N/A,#N/A,FALSE,"CABUILDUP";#N/A,#N/A,FALSE,"WCASSESS";#N/A,#N/A,FALSE,"FUNDFLOW";#N/A,#N/A,FALSE,"DSCR";#N/A,#N/A,FALSE,"RATIOS";#N/A,#N/A,FALSE,"Dep"}</definedName>
    <definedName name="XREF_COLUMN_2" hidden="1">[11]BS!#REF!</definedName>
    <definedName name="XREF_COLUMN_3" hidden="1">[11]FA!#REF!</definedName>
    <definedName name="XREF_COLUMN_4" hidden="1">[11]FA!#REF!</definedName>
    <definedName name="XREF_COLUMN_5" hidden="1">[11]FA!#REF!</definedName>
    <definedName name="XREF_COLUMN_6" hidden="1">[11]FA!#REF!</definedName>
    <definedName name="XREF_COLUMN_7" hidden="1">[11]FA!#REF!</definedName>
    <definedName name="XREF_COLUMN_8" hidden="1">[11]FA!#REF!</definedName>
    <definedName name="XREF_COLUMN_9" hidden="1">[11]FA!#REF!</definedName>
    <definedName name="XRefCopyRangeCount" hidden="1">6</definedName>
    <definedName name="XYZ" hidden="1">[12]Grouping!$A$1:$A$65536,[12]Grouping!$A$6:$IV$6</definedName>
    <definedName name="Z_0185ADC1_3830_11D3_88E4_00104B2D4E50_.wvu.FilterData" localSheetId="3" hidden="1">#REF!</definedName>
    <definedName name="Z_0185ADC1_3830_11D3_88E4_00104B2D4E50_.wvu.FilterData" hidden="1">#REF!</definedName>
    <definedName name="Z_0185ADC2_3830_11D3_88E4_00104B2D4E50_.wvu.FilterData" localSheetId="3" hidden="1">#REF!</definedName>
    <definedName name="Z_0185ADC2_3830_11D3_88E4_00104B2D4E50_.wvu.FilterData" hidden="1">#REF!</definedName>
    <definedName name="Z_020243C4_4FC9_11D3_88E5_00104B2D4E50_.wvu.FilterData" hidden="1">#REF!</definedName>
    <definedName name="Z_020243C5_4FC9_11D3_88E5_00104B2D4E50_.wvu.FilterData" hidden="1">#REF!</definedName>
    <definedName name="Z_020243D6_4FC9_11D3_88E5_00104B2D4E50_.wvu.FilterData" hidden="1">#REF!</definedName>
    <definedName name="Z_020243D9_4FC9_11D3_88E5_00104B2D4E50_.wvu.FilterData" hidden="1">#REF!</definedName>
    <definedName name="Z_18E867C2_363F_11D3_B384_00104B203064_.wvu.Cols" hidden="1">#REF!</definedName>
    <definedName name="Z_18E867C2_363F_11D3_B384_00104B203064_.wvu.FilterData" hidden="1">#REF!</definedName>
    <definedName name="Z_18E867C6_363F_11D3_B384_00104B203064_.wvu.FilterData" hidden="1">#REF!</definedName>
    <definedName name="Z_2529F30F_675A_11D3_88E6_00104B2D4E50_.wvu.FilterData" hidden="1">#REF!</definedName>
    <definedName name="Z_37C90060_2018_11D3_9FEA_008048EE1BB3_.wvu.Cols" hidden="1">#REF!</definedName>
    <definedName name="Z_37C90060_2018_11D3_9FEA_008048EE1BB3_.wvu.FilterData" hidden="1">#REF!</definedName>
    <definedName name="Z_37C90061_2018_11D3_9FEA_008048EE1BB3_.wvu.FilterData" hidden="1">#REF!</definedName>
    <definedName name="Z_37C90063_2018_11D3_9FEA_008048EE1BB3_.wvu.FilterData" hidden="1">#REF!</definedName>
    <definedName name="Z_42177D60_3622_11D3_B2D2_008048EE2662_.wvu.FilterData" hidden="1">#REF!</definedName>
    <definedName name="Z_87846904_F246_11D2_88E4_00104B2D4E50_.wvu.PrintTitles" hidden="1">#REF!,#REF!</definedName>
    <definedName name="Z_9C36B7A0_8E17_11D3_B2D2_008048EE2662_.wvu.Rows" hidden="1">#REF!,#REF!,#REF!</definedName>
    <definedName name="Z_AF67EA27_37A9_11D3_88E4_00104B2D4E50_.wvu.FilterData" hidden="1">#REF!</definedName>
    <definedName name="Z_CC26C000_67A6_11D3_B801_444553540000_.wvu.FilterData" hidden="1">#REF!</definedName>
    <definedName name="Z_D840F8B1_668B_11D3_88E6_00104B2D4E50_.wvu.FilterData" hidden="1">#REF!</definedName>
    <definedName name="Z_F0339D6F_2232_11D3_88E4_00104B2D4E50_.wvu.FilterData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5" i="26" l="1"/>
  <c r="Q64" i="26"/>
  <c r="G523" i="26"/>
  <c r="G522" i="26"/>
  <c r="G521" i="26"/>
  <c r="G520" i="26"/>
  <c r="G519" i="26"/>
  <c r="G518" i="26"/>
  <c r="G517" i="26"/>
  <c r="G516" i="26"/>
  <c r="G515" i="26"/>
  <c r="G514" i="26"/>
  <c r="G513" i="26"/>
  <c r="G512" i="26"/>
  <c r="G511" i="26"/>
  <c r="G510" i="26"/>
  <c r="G509" i="26"/>
  <c r="G508" i="26"/>
  <c r="G507" i="26"/>
  <c r="G506" i="26"/>
  <c r="G505" i="26"/>
  <c r="G504" i="26"/>
  <c r="G503" i="26"/>
  <c r="G502" i="26"/>
  <c r="G501" i="26"/>
  <c r="G500" i="26"/>
  <c r="G499" i="26"/>
  <c r="G498" i="26"/>
  <c r="G497" i="26"/>
  <c r="G496" i="26"/>
  <c r="G495" i="26"/>
  <c r="G494" i="26"/>
  <c r="G493" i="26"/>
  <c r="G492" i="26"/>
  <c r="G491" i="26"/>
  <c r="G490" i="26"/>
  <c r="G489" i="26"/>
  <c r="G488" i="26"/>
  <c r="G487" i="26"/>
  <c r="G486" i="26"/>
  <c r="G485" i="26"/>
  <c r="G484" i="26"/>
  <c r="G483" i="26"/>
  <c r="G482" i="26"/>
  <c r="G481" i="26"/>
  <c r="G480" i="26"/>
  <c r="G479" i="26"/>
  <c r="G478" i="26"/>
  <c r="G477" i="26"/>
  <c r="G476" i="26"/>
  <c r="T12" i="27" a="1"/>
  <c r="T12" i="27" s="1"/>
  <c r="I12" i="27"/>
  <c r="Q67" i="26"/>
  <c r="G67" i="26"/>
  <c r="L67" i="26"/>
  <c r="Q66" i="26"/>
  <c r="L66" i="26"/>
  <c r="G66" i="26"/>
  <c r="I514" i="27"/>
  <c r="DS63" i="20" s="1"/>
  <c r="O514" i="27" a="1"/>
  <c r="O514" i="27" s="1"/>
  <c r="T514" i="27" a="1"/>
  <c r="T514" i="27" s="1"/>
  <c r="T518" i="27" a="1"/>
  <c r="T518" i="27" s="1"/>
  <c r="T519" i="27" a="1"/>
  <c r="T519" i="27" s="1"/>
  <c r="T517" i="27" a="1"/>
  <c r="T517" i="27" s="1"/>
  <c r="H61" i="11"/>
  <c r="H60" i="11"/>
  <c r="H59" i="11"/>
  <c r="H58" i="11"/>
  <c r="H57" i="11"/>
  <c r="H56" i="11"/>
  <c r="H55" i="11"/>
  <c r="H54" i="11"/>
  <c r="H53" i="11"/>
  <c r="H52" i="11"/>
  <c r="H51" i="11"/>
  <c r="T13" i="27" a="1"/>
  <c r="T13" i="27" s="1"/>
  <c r="H356" i="11"/>
  <c r="H357" i="11"/>
  <c r="H358" i="11"/>
  <c r="H359" i="11"/>
  <c r="H360" i="11"/>
  <c r="H361" i="11"/>
  <c r="L620" i="26"/>
  <c r="L621" i="26"/>
  <c r="L622" i="26"/>
  <c r="L623" i="26"/>
  <c r="L624" i="26"/>
  <c r="L625" i="26"/>
  <c r="L626" i="26"/>
  <c r="L627" i="26"/>
  <c r="L628" i="26"/>
  <c r="L629" i="26"/>
  <c r="L630" i="26"/>
  <c r="L631" i="26"/>
  <c r="L632" i="26"/>
  <c r="L633" i="26"/>
  <c r="L634" i="26"/>
  <c r="L635" i="26"/>
  <c r="L636" i="26"/>
  <c r="L637" i="26"/>
  <c r="L638" i="26"/>
  <c r="L639" i="26"/>
  <c r="L640" i="26"/>
  <c r="L641" i="26"/>
  <c r="L642" i="26"/>
  <c r="L643" i="26"/>
  <c r="L644" i="26"/>
  <c r="L645" i="26"/>
  <c r="L646" i="26"/>
  <c r="L647" i="26"/>
  <c r="L648" i="26"/>
  <c r="L649" i="26"/>
  <c r="L650" i="26"/>
  <c r="L651" i="26"/>
  <c r="L652" i="26"/>
  <c r="L653" i="26"/>
  <c r="L654" i="26"/>
  <c r="L655" i="26"/>
  <c r="L656" i="26"/>
  <c r="L657" i="26"/>
  <c r="L658" i="26"/>
  <c r="L659" i="26"/>
  <c r="L660" i="26"/>
  <c r="L661" i="26"/>
  <c r="L662" i="26"/>
  <c r="L663" i="26"/>
  <c r="L664" i="26"/>
  <c r="L665" i="26"/>
  <c r="L666" i="26"/>
  <c r="L667" i="26"/>
  <c r="L668" i="26"/>
  <c r="L669" i="26"/>
  <c r="L670" i="26"/>
  <c r="L671" i="26"/>
  <c r="G620" i="26"/>
  <c r="G621" i="26"/>
  <c r="G622" i="26"/>
  <c r="G623" i="26"/>
  <c r="G624" i="26"/>
  <c r="G625" i="26"/>
  <c r="G626" i="26"/>
  <c r="G627" i="26"/>
  <c r="G628" i="26"/>
  <c r="G629" i="26"/>
  <c r="G630" i="26"/>
  <c r="G631" i="26"/>
  <c r="G632" i="26"/>
  <c r="G633" i="26"/>
  <c r="G634" i="26"/>
  <c r="G635" i="26"/>
  <c r="G636" i="26"/>
  <c r="G637" i="26"/>
  <c r="G638" i="26"/>
  <c r="G639" i="26"/>
  <c r="G640" i="26"/>
  <c r="G641" i="26"/>
  <c r="G642" i="26"/>
  <c r="G643" i="26"/>
  <c r="G644" i="26"/>
  <c r="G645" i="26"/>
  <c r="G646" i="26"/>
  <c r="G647" i="26"/>
  <c r="G648" i="26"/>
  <c r="G649" i="26"/>
  <c r="G650" i="26"/>
  <c r="G651" i="26"/>
  <c r="G652" i="26"/>
  <c r="G653" i="26"/>
  <c r="G654" i="26"/>
  <c r="G655" i="26"/>
  <c r="G656" i="26"/>
  <c r="G657" i="26"/>
  <c r="G658" i="26"/>
  <c r="G659" i="26"/>
  <c r="G660" i="26"/>
  <c r="G661" i="26"/>
  <c r="G662" i="26"/>
  <c r="G663" i="26"/>
  <c r="G664" i="26"/>
  <c r="G665" i="26"/>
  <c r="G666" i="26"/>
  <c r="G667" i="26"/>
  <c r="G668" i="26"/>
  <c r="G669" i="26"/>
  <c r="G670" i="26"/>
  <c r="G671" i="26"/>
  <c r="G546" i="26"/>
  <c r="G550" i="26"/>
  <c r="G579" i="26"/>
  <c r="T184" i="27" a="1"/>
  <c r="T184" i="27" s="1"/>
  <c r="I182" i="27"/>
  <c r="I183" i="27"/>
  <c r="I184" i="27"/>
  <c r="H326" i="11"/>
  <c r="H325" i="11"/>
  <c r="H324" i="11"/>
  <c r="H323" i="11"/>
  <c r="H322" i="11"/>
  <c r="H321" i="11"/>
  <c r="H320" i="11"/>
  <c r="H291" i="11"/>
  <c r="I205" i="27"/>
  <c r="I186" i="27"/>
  <c r="I199" i="27"/>
  <c r="T199" i="27" a="1"/>
  <c r="T199" i="27" s="1"/>
  <c r="I217" i="27"/>
  <c r="I216" i="27"/>
  <c r="I215" i="27"/>
  <c r="I214" i="27"/>
  <c r="I213" i="27"/>
  <c r="I212" i="27"/>
  <c r="I206" i="27"/>
  <c r="I204" i="27"/>
  <c r="I203" i="27"/>
  <c r="I185" i="27"/>
  <c r="I175" i="27"/>
  <c r="I174" i="27"/>
  <c r="I173" i="27"/>
  <c r="I172" i="27"/>
  <c r="I171" i="27"/>
  <c r="I170" i="27"/>
  <c r="I169" i="27"/>
  <c r="I168" i="27"/>
  <c r="I167" i="27"/>
  <c r="I166" i="27"/>
  <c r="H297" i="11"/>
  <c r="H17" i="11"/>
  <c r="H21" i="11"/>
  <c r="H20" i="11"/>
  <c r="H19" i="11"/>
  <c r="H18" i="11"/>
  <c r="H25" i="11"/>
  <c r="H24" i="11"/>
  <c r="H23" i="11"/>
  <c r="H22" i="11"/>
  <c r="I110" i="27"/>
  <c r="I111" i="27"/>
  <c r="X17" i="20"/>
  <c r="Z17" i="20"/>
  <c r="G570" i="26"/>
  <c r="T534" i="27" a="1"/>
  <c r="T534" i="27"/>
  <c r="O534" i="27" a="1"/>
  <c r="O534" i="27"/>
  <c r="I534" i="27"/>
  <c r="T535" i="27" a="1"/>
  <c r="T535" i="27" s="1"/>
  <c r="O535" i="27" a="1"/>
  <c r="O535" i="27" s="1"/>
  <c r="I535" i="27"/>
  <c r="H615" i="11"/>
  <c r="H614" i="11"/>
  <c r="H617" i="11"/>
  <c r="H616" i="11"/>
  <c r="H619" i="11"/>
  <c r="H618" i="11"/>
  <c r="H610" i="11"/>
  <c r="H609" i="11"/>
  <c r="T317" i="27" a="1"/>
  <c r="T317" i="27"/>
  <c r="T316" i="27" a="1"/>
  <c r="T316" i="27"/>
  <c r="T315" i="27" a="1"/>
  <c r="T315" i="27"/>
  <c r="T314" i="27" a="1"/>
  <c r="T314" i="27" s="1"/>
  <c r="T313" i="27" a="1"/>
  <c r="T313" i="27"/>
  <c r="T312" i="27" a="1"/>
  <c r="T312" i="27"/>
  <c r="T311" i="27" a="1"/>
  <c r="T311" i="27"/>
  <c r="T310" i="27" a="1"/>
  <c r="T310" i="27" s="1"/>
  <c r="T309" i="27" a="1"/>
  <c r="T309" i="27"/>
  <c r="T308" i="27" a="1"/>
  <c r="T308" i="27" s="1"/>
  <c r="T307" i="27" a="1"/>
  <c r="T307" i="27"/>
  <c r="T306" i="27" a="1"/>
  <c r="T306" i="27" s="1"/>
  <c r="T305" i="27" a="1"/>
  <c r="T305" i="27" s="1"/>
  <c r="O315" i="27" a="1"/>
  <c r="O315" i="27" s="1"/>
  <c r="O314" i="27" a="1"/>
  <c r="O314" i="27" s="1"/>
  <c r="T292" i="27" a="1"/>
  <c r="T292" i="27"/>
  <c r="T291" i="27" a="1"/>
  <c r="T291" i="27" s="1"/>
  <c r="T290" i="27" a="1"/>
  <c r="T290" i="27" s="1"/>
  <c r="T289" i="27" a="1"/>
  <c r="T289" i="27"/>
  <c r="T288" i="27" a="1"/>
  <c r="T288" i="27" s="1"/>
  <c r="T287" i="27" a="1"/>
  <c r="T287" i="27" s="1"/>
  <c r="T286" i="27" a="1"/>
  <c r="T286" i="27" s="1"/>
  <c r="T285" i="27" a="1"/>
  <c r="T285" i="27" s="1"/>
  <c r="T284" i="27" a="1"/>
  <c r="T284" i="27"/>
  <c r="T283" i="27" a="1"/>
  <c r="T283" i="27" s="1"/>
  <c r="T282" i="27" a="1"/>
  <c r="T282" i="27" s="1"/>
  <c r="T281" i="27" a="1"/>
  <c r="T281" i="27"/>
  <c r="T280" i="27" a="1"/>
  <c r="T280" i="27" s="1"/>
  <c r="T279" i="27" a="1"/>
  <c r="T279" i="27" s="1"/>
  <c r="T278" i="27" a="1"/>
  <c r="T278" i="27" s="1"/>
  <c r="O287" i="27" a="1"/>
  <c r="O287" i="27" s="1"/>
  <c r="O286" i="27" a="1"/>
  <c r="O286" i="27"/>
  <c r="O285" i="27" a="1"/>
  <c r="O285" i="27" s="1"/>
  <c r="O284" i="27" a="1"/>
  <c r="O284" i="27" s="1"/>
  <c r="O283" i="27" a="1"/>
  <c r="O283" i="27"/>
  <c r="EN4" i="20"/>
  <c r="DD4" i="20"/>
  <c r="BU4" i="20"/>
  <c r="H300" i="11"/>
  <c r="H301" i="11"/>
  <c r="T323" i="27" a="1"/>
  <c r="T323" i="27" s="1"/>
  <c r="O323" i="27" a="1"/>
  <c r="O323" i="27" s="1"/>
  <c r="T322" i="27" a="1"/>
  <c r="T322" i="27" s="1"/>
  <c r="O322" i="27" a="1"/>
  <c r="O322" i="27"/>
  <c r="T321" i="27" a="1"/>
  <c r="T321" i="27"/>
  <c r="O321" i="27" a="1"/>
  <c r="O321" i="27" s="1"/>
  <c r="T320" i="27" a="1"/>
  <c r="T320" i="27" s="1"/>
  <c r="O320" i="27" a="1"/>
  <c r="O320" i="27"/>
  <c r="T302" i="27" a="1"/>
  <c r="T302" i="27"/>
  <c r="T301" i="27" a="1"/>
  <c r="T301" i="27" s="1"/>
  <c r="T300" i="27" a="1"/>
  <c r="T300" i="27" s="1"/>
  <c r="T299" i="27" a="1"/>
  <c r="T299" i="27" s="1"/>
  <c r="T298" i="27" a="1"/>
  <c r="T298" i="27" s="1"/>
  <c r="T297" i="27" a="1"/>
  <c r="T297" i="27" s="1"/>
  <c r="O297" i="27" a="1"/>
  <c r="O297" i="27" s="1"/>
  <c r="O298" i="27" a="1"/>
  <c r="O298" i="27" s="1"/>
  <c r="O299" i="27" a="1"/>
  <c r="O299" i="27" s="1"/>
  <c r="O300" i="27" a="1"/>
  <c r="O300" i="27" s="1"/>
  <c r="O301" i="27" a="1"/>
  <c r="O301" i="27" s="1"/>
  <c r="O302" i="27" a="1"/>
  <c r="O302" i="27" s="1"/>
  <c r="T267" i="27" a="1"/>
  <c r="T267" i="27" s="1"/>
  <c r="O267" i="27" a="1"/>
  <c r="O267" i="27" s="1"/>
  <c r="I267" i="27"/>
  <c r="T268" i="27" a="1"/>
  <c r="T268" i="27"/>
  <c r="O268" i="27" a="1"/>
  <c r="O268" i="27" s="1"/>
  <c r="I268" i="27"/>
  <c r="T261" i="27" a="1"/>
  <c r="T261" i="27" s="1"/>
  <c r="O261" i="27" a="1"/>
  <c r="O261" i="27" s="1"/>
  <c r="I261" i="27"/>
  <c r="I262" i="27"/>
  <c r="O262" i="27" a="1"/>
  <c r="O262" i="27" s="1"/>
  <c r="T262" i="27" a="1"/>
  <c r="T262" i="27" s="1"/>
  <c r="T237" i="27" a="1"/>
  <c r="T237" i="27" s="1"/>
  <c r="O237" i="27" a="1"/>
  <c r="O237" i="27" s="1"/>
  <c r="I237" i="27"/>
  <c r="T236" i="27" a="1"/>
  <c r="T236" i="27" s="1"/>
  <c r="O236" i="27" a="1"/>
  <c r="O236" i="27"/>
  <c r="I236" i="27"/>
  <c r="T235" i="27" a="1"/>
  <c r="T235" i="27" s="1"/>
  <c r="O235" i="27" a="1"/>
  <c r="O235" i="27" s="1"/>
  <c r="I235" i="27"/>
  <c r="T234" i="27" a="1"/>
  <c r="T234" i="27" s="1"/>
  <c r="O234" i="27" a="1"/>
  <c r="O234" i="27"/>
  <c r="I234" i="27"/>
  <c r="T233" i="27" a="1"/>
  <c r="T233" i="27" s="1"/>
  <c r="O233" i="27" a="1"/>
  <c r="O233" i="27" s="1"/>
  <c r="I233" i="27"/>
  <c r="T232" i="27" a="1"/>
  <c r="T232" i="27" s="1"/>
  <c r="O232" i="27" a="1"/>
  <c r="O232" i="27"/>
  <c r="I232" i="27"/>
  <c r="T231" i="27" a="1"/>
  <c r="T231" i="27" s="1"/>
  <c r="O231" i="27" a="1"/>
  <c r="O231" i="27" s="1"/>
  <c r="I231" i="27"/>
  <c r="T230" i="27" a="1"/>
  <c r="T230" i="27"/>
  <c r="O230" i="27" a="1"/>
  <c r="O230" i="27"/>
  <c r="I230" i="27"/>
  <c r="T229" i="27" a="1"/>
  <c r="T229" i="27" s="1"/>
  <c r="O229" i="27" a="1"/>
  <c r="O229" i="27" s="1"/>
  <c r="I229" i="27"/>
  <c r="T228" i="27" a="1"/>
  <c r="T228" i="27"/>
  <c r="O228" i="27" a="1"/>
  <c r="O228" i="27" s="1"/>
  <c r="I228" i="27"/>
  <c r="T227" i="27" a="1"/>
  <c r="T227" i="27" s="1"/>
  <c r="O227" i="27" a="1"/>
  <c r="O227" i="27" s="1"/>
  <c r="I227" i="27"/>
  <c r="T226" i="27" a="1"/>
  <c r="T226" i="27"/>
  <c r="O226" i="27" a="1"/>
  <c r="O226" i="27" s="1"/>
  <c r="I226" i="27"/>
  <c r="T225" i="27" a="1"/>
  <c r="T225" i="27" s="1"/>
  <c r="O225" i="27" a="1"/>
  <c r="O225" i="27" s="1"/>
  <c r="I225" i="27"/>
  <c r="T253" i="27" a="1"/>
  <c r="T253" i="27" s="1"/>
  <c r="O253" i="27" a="1"/>
  <c r="O253" i="27" s="1"/>
  <c r="I253" i="27"/>
  <c r="T252" i="27" a="1"/>
  <c r="T252" i="27" s="1"/>
  <c r="O252" i="27" a="1"/>
  <c r="O252" i="27" s="1"/>
  <c r="I252" i="27"/>
  <c r="T251" i="27" a="1"/>
  <c r="T251" i="27"/>
  <c r="O251" i="27" a="1"/>
  <c r="O251" i="27" s="1"/>
  <c r="I251" i="27"/>
  <c r="T250" i="27" a="1"/>
  <c r="T250" i="27" s="1"/>
  <c r="O250" i="27" a="1"/>
  <c r="O250" i="27" s="1"/>
  <c r="I250" i="27"/>
  <c r="T249" i="27" a="1"/>
  <c r="T249" i="27"/>
  <c r="O249" i="27" a="1"/>
  <c r="O249" i="27" s="1"/>
  <c r="I249" i="27"/>
  <c r="T248" i="27" a="1"/>
  <c r="T248" i="27" s="1"/>
  <c r="O248" i="27" a="1"/>
  <c r="O248" i="27" s="1"/>
  <c r="I248" i="27"/>
  <c r="T247" i="27" a="1"/>
  <c r="T247" i="27"/>
  <c r="O247" i="27" a="1"/>
  <c r="O247" i="27" s="1"/>
  <c r="I247" i="27"/>
  <c r="T246" i="27" a="1"/>
  <c r="T246" i="27" s="1"/>
  <c r="O246" i="27" a="1"/>
  <c r="O246" i="27" s="1"/>
  <c r="I246" i="27"/>
  <c r="T245" i="27" a="1"/>
  <c r="T245" i="27" s="1"/>
  <c r="O245" i="27" a="1"/>
  <c r="O245" i="27"/>
  <c r="I245" i="27"/>
  <c r="T244" i="27" a="1"/>
  <c r="T244" i="27" s="1"/>
  <c r="O244" i="27" a="1"/>
  <c r="O244" i="27" s="1"/>
  <c r="I244" i="27"/>
  <c r="T243" i="27" a="1"/>
  <c r="T243" i="27" s="1"/>
  <c r="O243" i="27" a="1"/>
  <c r="O243" i="27"/>
  <c r="I243" i="27"/>
  <c r="T242" i="27" a="1"/>
  <c r="T242" i="27" s="1"/>
  <c r="O242" i="27" a="1"/>
  <c r="O242" i="27" s="1"/>
  <c r="I242" i="27"/>
  <c r="T241" i="27" a="1"/>
  <c r="T241" i="27" s="1"/>
  <c r="O241" i="27" a="1"/>
  <c r="O241" i="27"/>
  <c r="I241" i="27"/>
  <c r="T240" i="27" a="1"/>
  <c r="T240" i="27" s="1"/>
  <c r="O240" i="27" a="1"/>
  <c r="O240" i="27" s="1"/>
  <c r="I240" i="27"/>
  <c r="T239" i="27" a="1"/>
  <c r="T239" i="27" s="1"/>
  <c r="O239" i="27" a="1"/>
  <c r="O239" i="27"/>
  <c r="I239" i="27"/>
  <c r="T238" i="27" a="1"/>
  <c r="T238" i="27" s="1"/>
  <c r="O238" i="27" a="1"/>
  <c r="O238" i="27" s="1"/>
  <c r="I238" i="27"/>
  <c r="T260" i="27" a="1"/>
  <c r="T260" i="27" s="1"/>
  <c r="O260" i="27" a="1"/>
  <c r="O260" i="27"/>
  <c r="I260" i="27"/>
  <c r="T259" i="27" a="1"/>
  <c r="T259" i="27" s="1"/>
  <c r="O259" i="27" a="1"/>
  <c r="O259" i="27" s="1"/>
  <c r="I259" i="27"/>
  <c r="T258" i="27" a="1"/>
  <c r="T258" i="27" s="1"/>
  <c r="O258" i="27" a="1"/>
  <c r="O258" i="27"/>
  <c r="I258" i="27"/>
  <c r="T257" i="27" a="1"/>
  <c r="T257" i="27" s="1"/>
  <c r="O257" i="27" a="1"/>
  <c r="O257" i="27" s="1"/>
  <c r="I257" i="27"/>
  <c r="T256" i="27" a="1"/>
  <c r="T256" i="27" s="1"/>
  <c r="O256" i="27" a="1"/>
  <c r="O256" i="27"/>
  <c r="I256" i="27"/>
  <c r="T255" i="27" a="1"/>
  <c r="T255" i="27" s="1"/>
  <c r="O255" i="27" a="1"/>
  <c r="O255" i="27" s="1"/>
  <c r="I255" i="27"/>
  <c r="T254" i="27" a="1"/>
  <c r="T254" i="27" s="1"/>
  <c r="O254" i="27" a="1"/>
  <c r="O254" i="27"/>
  <c r="I254" i="27"/>
  <c r="G470" i="26"/>
  <c r="G471" i="26"/>
  <c r="G472" i="26"/>
  <c r="G267" i="26"/>
  <c r="Q699" i="26"/>
  <c r="Q698" i="26"/>
  <c r="Q697" i="26"/>
  <c r="Q694" i="26"/>
  <c r="Q693" i="26"/>
  <c r="Q692" i="26"/>
  <c r="Q691" i="26"/>
  <c r="Q686" i="26"/>
  <c r="Q685" i="26"/>
  <c r="Q684" i="26"/>
  <c r="Q683" i="26"/>
  <c r="Q682" i="26"/>
  <c r="Q678" i="26"/>
  <c r="Q677" i="26"/>
  <c r="Q676" i="26"/>
  <c r="Q675" i="26"/>
  <c r="Q674" i="26"/>
  <c r="Q673" i="26"/>
  <c r="Q619" i="26"/>
  <c r="Q618" i="26"/>
  <c r="Q73" i="26"/>
  <c r="Q72" i="26"/>
  <c r="Q71" i="26"/>
  <c r="Q68" i="26"/>
  <c r="Q61" i="26"/>
  <c r="Q60" i="26"/>
  <c r="Q15" i="26"/>
  <c r="L699" i="26"/>
  <c r="L698" i="26"/>
  <c r="L697" i="26"/>
  <c r="L694" i="26"/>
  <c r="L693" i="26"/>
  <c r="L692" i="26"/>
  <c r="L691" i="26"/>
  <c r="L686" i="26"/>
  <c r="L685" i="26"/>
  <c r="L684" i="26"/>
  <c r="L683" i="26"/>
  <c r="L682" i="26"/>
  <c r="L678" i="26"/>
  <c r="L677" i="26"/>
  <c r="L676" i="26"/>
  <c r="L675" i="26"/>
  <c r="L674" i="26"/>
  <c r="L673" i="26"/>
  <c r="L619" i="26"/>
  <c r="L618" i="26"/>
  <c r="L73" i="26"/>
  <c r="L72" i="26"/>
  <c r="L71" i="26"/>
  <c r="L68" i="26"/>
  <c r="L65" i="26"/>
  <c r="L64" i="26"/>
  <c r="L61" i="26"/>
  <c r="L60" i="26"/>
  <c r="L15" i="26"/>
  <c r="G566" i="26"/>
  <c r="AJ85" i="25"/>
  <c r="AJ79" i="25"/>
  <c r="AJ69" i="25"/>
  <c r="AJ63" i="25"/>
  <c r="BH44" i="20"/>
  <c r="BH30" i="20"/>
  <c r="BH11" i="20"/>
  <c r="H350" i="11"/>
  <c r="H351" i="11"/>
  <c r="H352" i="11"/>
  <c r="I126" i="27"/>
  <c r="I125" i="27"/>
  <c r="I124" i="27"/>
  <c r="I123" i="27"/>
  <c r="I122" i="27"/>
  <c r="I121" i="27"/>
  <c r="I120" i="27"/>
  <c r="I119" i="27"/>
  <c r="I118" i="27"/>
  <c r="I117" i="27"/>
  <c r="I116" i="27"/>
  <c r="I548" i="27"/>
  <c r="I113" i="27"/>
  <c r="I112" i="27"/>
  <c r="I109" i="27"/>
  <c r="I108" i="27"/>
  <c r="I107" i="27"/>
  <c r="I106" i="27"/>
  <c r="I115" i="27"/>
  <c r="I105" i="27"/>
  <c r="I104" i="27"/>
  <c r="I103" i="27"/>
  <c r="I102" i="27"/>
  <c r="I101" i="27"/>
  <c r="H14" i="11"/>
  <c r="H15" i="11"/>
  <c r="H16" i="11"/>
  <c r="I77" i="27"/>
  <c r="I78" i="27"/>
  <c r="I79" i="27"/>
  <c r="H280" i="11"/>
  <c r="H279" i="11"/>
  <c r="G331" i="26"/>
  <c r="AL4" i="20"/>
  <c r="H302" i="11"/>
  <c r="H299" i="11"/>
  <c r="H298" i="11"/>
  <c r="G408" i="26"/>
  <c r="G449" i="26"/>
  <c r="G448" i="26"/>
  <c r="G447" i="26"/>
  <c r="G446" i="26"/>
  <c r="G445" i="26"/>
  <c r="G444" i="26"/>
  <c r="G443" i="26"/>
  <c r="G442" i="26"/>
  <c r="G441" i="26"/>
  <c r="G440" i="26"/>
  <c r="G569" i="26"/>
  <c r="G571" i="26"/>
  <c r="G572" i="26"/>
  <c r="G573" i="26"/>
  <c r="G574" i="26"/>
  <c r="G575" i="26"/>
  <c r="G576" i="26"/>
  <c r="G577" i="26"/>
  <c r="G578" i="26"/>
  <c r="G580" i="26"/>
  <c r="G581" i="26"/>
  <c r="G582" i="26"/>
  <c r="G583" i="26"/>
  <c r="G584" i="26"/>
  <c r="G585" i="26"/>
  <c r="G586" i="26"/>
  <c r="G587" i="26"/>
  <c r="G588" i="26"/>
  <c r="G589" i="26"/>
  <c r="G590" i="26"/>
  <c r="G591" i="26"/>
  <c r="G592" i="26"/>
  <c r="G593" i="26"/>
  <c r="G594" i="26"/>
  <c r="G595" i="26"/>
  <c r="G596" i="26"/>
  <c r="G597" i="26"/>
  <c r="G598" i="26"/>
  <c r="G599" i="26"/>
  <c r="G600" i="26"/>
  <c r="G601" i="26"/>
  <c r="G602" i="26"/>
  <c r="G603" i="26"/>
  <c r="G604" i="26"/>
  <c r="G605" i="26"/>
  <c r="G606" i="26"/>
  <c r="G607" i="26"/>
  <c r="G608" i="26"/>
  <c r="G609" i="26"/>
  <c r="G610" i="26"/>
  <c r="G611" i="26"/>
  <c r="G612" i="26"/>
  <c r="G613" i="26"/>
  <c r="G614" i="26"/>
  <c r="G615" i="26"/>
  <c r="G464" i="26"/>
  <c r="G463" i="26"/>
  <c r="G462" i="26"/>
  <c r="G461" i="26"/>
  <c r="G460" i="26"/>
  <c r="G459" i="26"/>
  <c r="G458" i="26"/>
  <c r="G457" i="26"/>
  <c r="G456" i="26"/>
  <c r="G455" i="26"/>
  <c r="G454" i="26"/>
  <c r="G453" i="26"/>
  <c r="G452" i="26"/>
  <c r="G439" i="26"/>
  <c r="G438" i="26"/>
  <c r="G437" i="26"/>
  <c r="G436" i="26"/>
  <c r="G435" i="26"/>
  <c r="G434" i="26"/>
  <c r="G433" i="26"/>
  <c r="G432" i="26"/>
  <c r="G431" i="26"/>
  <c r="G475" i="26"/>
  <c r="G524" i="26"/>
  <c r="G525" i="26"/>
  <c r="G526" i="26"/>
  <c r="G527" i="26"/>
  <c r="G528" i="26"/>
  <c r="G529" i="26"/>
  <c r="G530" i="26"/>
  <c r="G531" i="26"/>
  <c r="G532" i="26"/>
  <c r="G533" i="26"/>
  <c r="G534" i="26"/>
  <c r="G535" i="26"/>
  <c r="G536" i="26"/>
  <c r="G537" i="26"/>
  <c r="G538" i="26"/>
  <c r="G539" i="26"/>
  <c r="G540" i="26"/>
  <c r="G541" i="26"/>
  <c r="G542" i="26"/>
  <c r="G543" i="26"/>
  <c r="G544" i="26"/>
  <c r="G545" i="26"/>
  <c r="G547" i="26"/>
  <c r="G548" i="26"/>
  <c r="G549" i="26"/>
  <c r="G551" i="26"/>
  <c r="G552" i="26"/>
  <c r="G553" i="26"/>
  <c r="G554" i="26"/>
  <c r="G555" i="26"/>
  <c r="G556" i="26"/>
  <c r="G557" i="26"/>
  <c r="G558" i="26"/>
  <c r="G559" i="26"/>
  <c r="G560" i="26"/>
  <c r="G561" i="26"/>
  <c r="G562" i="26"/>
  <c r="G563" i="26"/>
  <c r="G564" i="26"/>
  <c r="G565" i="26"/>
  <c r="G430" i="26"/>
  <c r="G429" i="26"/>
  <c r="G428" i="26"/>
  <c r="G427" i="26"/>
  <c r="G426" i="26"/>
  <c r="G425" i="26"/>
  <c r="G424" i="26"/>
  <c r="G423" i="26"/>
  <c r="G422" i="26"/>
  <c r="G421" i="26"/>
  <c r="G420" i="26"/>
  <c r="G419" i="26"/>
  <c r="G418" i="26"/>
  <c r="G417" i="26"/>
  <c r="G416" i="26"/>
  <c r="G415" i="26"/>
  <c r="G414" i="26"/>
  <c r="G413" i="26"/>
  <c r="G412" i="26"/>
  <c r="G411" i="26"/>
  <c r="G410" i="26"/>
  <c r="G409" i="26"/>
  <c r="G268" i="26"/>
  <c r="G269" i="26"/>
  <c r="G270" i="26"/>
  <c r="G271" i="26"/>
  <c r="G272" i="26"/>
  <c r="G273" i="26"/>
  <c r="G274" i="26"/>
  <c r="G275" i="26"/>
  <c r="G276" i="26"/>
  <c r="G277" i="26"/>
  <c r="G278" i="26"/>
  <c r="G279" i="26"/>
  <c r="G280" i="26"/>
  <c r="G281" i="26"/>
  <c r="G282" i="26"/>
  <c r="G283" i="26"/>
  <c r="G284" i="26"/>
  <c r="G285" i="26"/>
  <c r="G286" i="26"/>
  <c r="G287" i="26"/>
  <c r="G288" i="26"/>
  <c r="G289" i="26"/>
  <c r="G290" i="26"/>
  <c r="G291" i="26"/>
  <c r="G292" i="26"/>
  <c r="G293" i="26"/>
  <c r="G294" i="26"/>
  <c r="G295" i="26"/>
  <c r="G296" i="26"/>
  <c r="G297" i="26"/>
  <c r="G298" i="26"/>
  <c r="G299" i="26"/>
  <c r="G300" i="26"/>
  <c r="G301" i="26"/>
  <c r="G302" i="26"/>
  <c r="G303" i="26"/>
  <c r="G304" i="26"/>
  <c r="G305" i="26"/>
  <c r="G306" i="26"/>
  <c r="G307" i="26"/>
  <c r="G308" i="26"/>
  <c r="G309" i="26"/>
  <c r="G310" i="26"/>
  <c r="G311" i="26"/>
  <c r="G312" i="26"/>
  <c r="G313" i="26"/>
  <c r="G314" i="26"/>
  <c r="G315" i="26"/>
  <c r="G316" i="26"/>
  <c r="G317" i="26"/>
  <c r="G318" i="26"/>
  <c r="G319" i="26"/>
  <c r="G320" i="26"/>
  <c r="G321" i="26"/>
  <c r="G322" i="26"/>
  <c r="G323" i="26"/>
  <c r="G324" i="26"/>
  <c r="G325" i="26"/>
  <c r="G326" i="26"/>
  <c r="G327" i="26"/>
  <c r="G328" i="26"/>
  <c r="G329" i="26"/>
  <c r="G330" i="26"/>
  <c r="G332" i="26"/>
  <c r="G333" i="26"/>
  <c r="G334" i="26"/>
  <c r="G335" i="26"/>
  <c r="G336" i="26"/>
  <c r="G337" i="26"/>
  <c r="G338" i="26"/>
  <c r="G339" i="26"/>
  <c r="G340" i="26"/>
  <c r="G341" i="26"/>
  <c r="G342" i="26"/>
  <c r="G343" i="26"/>
  <c r="G344" i="26"/>
  <c r="G345" i="26"/>
  <c r="G346" i="26"/>
  <c r="G347" i="26"/>
  <c r="G348" i="26"/>
  <c r="G349" i="26"/>
  <c r="G350" i="26"/>
  <c r="G351" i="26"/>
  <c r="G352" i="26"/>
  <c r="G353" i="26"/>
  <c r="G354" i="26"/>
  <c r="G355" i="26"/>
  <c r="G356" i="26"/>
  <c r="G357" i="26"/>
  <c r="G358" i="26"/>
  <c r="G359" i="26"/>
  <c r="G360" i="26"/>
  <c r="G361" i="26"/>
  <c r="G362" i="26"/>
  <c r="G363" i="26"/>
  <c r="G364" i="26"/>
  <c r="G365" i="26"/>
  <c r="G366" i="26"/>
  <c r="G367" i="26"/>
  <c r="G368" i="26"/>
  <c r="G369" i="26"/>
  <c r="G465" i="26"/>
  <c r="G466" i="26"/>
  <c r="G467" i="26"/>
  <c r="G468" i="26"/>
  <c r="G469" i="26"/>
  <c r="G370" i="26"/>
  <c r="G371" i="26"/>
  <c r="G372" i="26"/>
  <c r="G373" i="26"/>
  <c r="G374" i="26"/>
  <c r="G375" i="26"/>
  <c r="G376" i="26"/>
  <c r="G377" i="26"/>
  <c r="G378" i="26"/>
  <c r="G379" i="26"/>
  <c r="G380" i="26"/>
  <c r="G381" i="26"/>
  <c r="G382" i="26"/>
  <c r="G383" i="26"/>
  <c r="G384" i="26"/>
  <c r="G385" i="26"/>
  <c r="G386" i="26"/>
  <c r="G387" i="26"/>
  <c r="G388" i="26"/>
  <c r="G389" i="26"/>
  <c r="G390" i="26"/>
  <c r="G391" i="26"/>
  <c r="G392" i="26"/>
  <c r="G393" i="26"/>
  <c r="G394" i="26"/>
  <c r="G395" i="26"/>
  <c r="G396" i="26"/>
  <c r="G397" i="26"/>
  <c r="G398" i="26"/>
  <c r="G399" i="26"/>
  <c r="G400" i="26"/>
  <c r="G401" i="26"/>
  <c r="G402" i="26"/>
  <c r="G403" i="26"/>
  <c r="G404" i="26"/>
  <c r="G405" i="26"/>
  <c r="G406" i="26"/>
  <c r="G40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G174" i="26"/>
  <c r="G175" i="26"/>
  <c r="G176" i="26"/>
  <c r="G177" i="26"/>
  <c r="G178" i="26"/>
  <c r="G179" i="26"/>
  <c r="G180" i="26"/>
  <c r="G181" i="26"/>
  <c r="G182" i="26"/>
  <c r="G183" i="26"/>
  <c r="G184" i="26"/>
  <c r="G185" i="26"/>
  <c r="G186" i="26"/>
  <c r="G187" i="26"/>
  <c r="G188" i="26"/>
  <c r="G189" i="26"/>
  <c r="G190" i="26"/>
  <c r="G191" i="26"/>
  <c r="G192" i="26"/>
  <c r="G193" i="26"/>
  <c r="G194" i="26"/>
  <c r="G195" i="26"/>
  <c r="G196" i="26"/>
  <c r="G197" i="26"/>
  <c r="G198" i="26"/>
  <c r="G199" i="26"/>
  <c r="G200" i="26"/>
  <c r="G201" i="26"/>
  <c r="G202" i="26"/>
  <c r="G203" i="26"/>
  <c r="G204" i="26"/>
  <c r="G205" i="26"/>
  <c r="G206" i="26"/>
  <c r="G207" i="26"/>
  <c r="G208" i="26"/>
  <c r="G209" i="26"/>
  <c r="G210" i="26"/>
  <c r="G211" i="26"/>
  <c r="G212" i="26"/>
  <c r="G213" i="26"/>
  <c r="G214" i="26"/>
  <c r="G215" i="26"/>
  <c r="G216" i="26"/>
  <c r="G217" i="26"/>
  <c r="G218" i="26"/>
  <c r="G219" i="26"/>
  <c r="G220" i="26"/>
  <c r="G221" i="26"/>
  <c r="G222" i="26"/>
  <c r="G223" i="26"/>
  <c r="G224" i="26"/>
  <c r="G225" i="26"/>
  <c r="G226" i="26"/>
  <c r="G227" i="26"/>
  <c r="G228" i="26"/>
  <c r="G229" i="26"/>
  <c r="G230" i="26"/>
  <c r="G231" i="26"/>
  <c r="G232" i="26"/>
  <c r="G233" i="26"/>
  <c r="G234" i="26"/>
  <c r="G235" i="26"/>
  <c r="G236" i="26"/>
  <c r="G237" i="26"/>
  <c r="G238" i="26"/>
  <c r="G239" i="26"/>
  <c r="G240" i="26"/>
  <c r="G241" i="26"/>
  <c r="G242" i="26"/>
  <c r="G243" i="26"/>
  <c r="G244" i="26"/>
  <c r="G245" i="26"/>
  <c r="G246" i="26"/>
  <c r="G247" i="26"/>
  <c r="G248" i="26"/>
  <c r="G249" i="26"/>
  <c r="G250" i="26"/>
  <c r="G251" i="26"/>
  <c r="G252" i="26"/>
  <c r="G253" i="26"/>
  <c r="G254" i="26"/>
  <c r="G255" i="26"/>
  <c r="G256" i="26"/>
  <c r="G257" i="26"/>
  <c r="G258" i="26"/>
  <c r="G259" i="26"/>
  <c r="G260" i="26"/>
  <c r="G261" i="26"/>
  <c r="G262" i="26"/>
  <c r="G263" i="26"/>
  <c r="G264" i="26"/>
  <c r="G12" i="26"/>
  <c r="L12" i="26" a="1"/>
  <c r="L12" i="26" s="1"/>
  <c r="I42" i="27"/>
  <c r="I41" i="27"/>
  <c r="I40" i="27"/>
  <c r="I39" i="27"/>
  <c r="I38" i="27"/>
  <c r="I45" i="27"/>
  <c r="I46" i="27"/>
  <c r="I47" i="27"/>
  <c r="I48" i="27"/>
  <c r="I49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H311" i="11"/>
  <c r="H310" i="11"/>
  <c r="H312" i="11"/>
  <c r="H313" i="11"/>
  <c r="H314" i="11"/>
  <c r="H315" i="11"/>
  <c r="H316" i="11"/>
  <c r="H317" i="11"/>
  <c r="H318" i="11"/>
  <c r="H319" i="11"/>
  <c r="H327" i="11"/>
  <c r="H328" i="11"/>
  <c r="H329" i="11"/>
  <c r="H330" i="11"/>
  <c r="H331" i="11"/>
  <c r="H332" i="11"/>
  <c r="H333" i="11"/>
  <c r="H334" i="11"/>
  <c r="H335" i="11"/>
  <c r="H288" i="11"/>
  <c r="H289" i="11"/>
  <c r="H290" i="11"/>
  <c r="H292" i="11"/>
  <c r="H336" i="11"/>
  <c r="H337" i="11"/>
  <c r="H338" i="11"/>
  <c r="H339" i="11"/>
  <c r="H340" i="11"/>
  <c r="H341" i="11"/>
  <c r="H342" i="11"/>
  <c r="H343" i="11"/>
  <c r="H344" i="11"/>
  <c r="H345" i="11"/>
  <c r="H346" i="11"/>
  <c r="H293" i="11"/>
  <c r="H294" i="11"/>
  <c r="H295" i="11"/>
  <c r="H296" i="11"/>
  <c r="H309" i="11"/>
  <c r="H308" i="11"/>
  <c r="H349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185" i="11"/>
  <c r="H184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79" i="11"/>
  <c r="O391" i="27" a="1"/>
  <c r="O391" i="27" s="1"/>
  <c r="O390" i="27" a="1"/>
  <c r="O390" i="27" s="1"/>
  <c r="O387" i="27" a="1"/>
  <c r="O387" i="27"/>
  <c r="O386" i="27" a="1"/>
  <c r="O386" i="27" s="1"/>
  <c r="O385" i="27" a="1"/>
  <c r="O385" i="27" s="1"/>
  <c r="O384" i="27" a="1"/>
  <c r="O384" i="27"/>
  <c r="O381" i="27" a="1"/>
  <c r="O381" i="27" s="1"/>
  <c r="O376" i="27" a="1"/>
  <c r="O376" i="27" s="1"/>
  <c r="O375" i="27" a="1"/>
  <c r="O375" i="27" s="1"/>
  <c r="O374" i="27" a="1"/>
  <c r="O374" i="27" s="1"/>
  <c r="O373" i="27" a="1"/>
  <c r="O373" i="27"/>
  <c r="O372" i="27" a="1"/>
  <c r="O372" i="27" s="1"/>
  <c r="O371" i="27" a="1"/>
  <c r="O371" i="27" s="1"/>
  <c r="O370" i="27" a="1"/>
  <c r="O370" i="27"/>
  <c r="O369" i="27" a="1"/>
  <c r="O369" i="27" s="1"/>
  <c r="O368" i="27" a="1"/>
  <c r="O368" i="27" s="1"/>
  <c r="O367" i="27" a="1"/>
  <c r="O367" i="27" s="1"/>
  <c r="O397" i="27" a="1"/>
  <c r="O397" i="27" s="1"/>
  <c r="T397" i="27" a="1"/>
  <c r="T397" i="27"/>
  <c r="O398" i="27" a="1"/>
  <c r="O398" i="27" s="1"/>
  <c r="T398" i="27" a="1"/>
  <c r="T398" i="27" s="1"/>
  <c r="O399" i="27" a="1"/>
  <c r="O399" i="27"/>
  <c r="T399" i="27" a="1"/>
  <c r="T399" i="27" s="1"/>
  <c r="T361" i="27" a="1"/>
  <c r="T361" i="27" s="1"/>
  <c r="O361" i="27" a="1"/>
  <c r="O361" i="27" s="1"/>
  <c r="T360" i="27" a="1"/>
  <c r="T360" i="27" s="1"/>
  <c r="O360" i="27" a="1"/>
  <c r="O360" i="27"/>
  <c r="T357" i="27" a="1"/>
  <c r="T357" i="27" s="1"/>
  <c r="O357" i="27" a="1"/>
  <c r="O357" i="27" s="1"/>
  <c r="T356" i="27" a="1"/>
  <c r="T356" i="27"/>
  <c r="O356" i="27" a="1"/>
  <c r="O356" i="27" s="1"/>
  <c r="T355" i="27" a="1"/>
  <c r="T355" i="27" s="1"/>
  <c r="O355" i="27" a="1"/>
  <c r="O355" i="27" s="1"/>
  <c r="T354" i="27" a="1"/>
  <c r="T354" i="27" s="1"/>
  <c r="O354" i="27" a="1"/>
  <c r="O354" i="27"/>
  <c r="T353" i="27" a="1"/>
  <c r="T353" i="27" s="1"/>
  <c r="O353" i="27" a="1"/>
  <c r="O353" i="27" s="1"/>
  <c r="T352" i="27" a="1"/>
  <c r="T352" i="27"/>
  <c r="O352" i="27" a="1"/>
  <c r="O352" i="27" s="1"/>
  <c r="T351" i="27" a="1"/>
  <c r="T351" i="27" s="1"/>
  <c r="O351" i="27" a="1"/>
  <c r="O351" i="27" s="1"/>
  <c r="T350" i="27" a="1"/>
  <c r="T350" i="27" s="1"/>
  <c r="O350" i="27" a="1"/>
  <c r="O350" i="27"/>
  <c r="T349" i="27" a="1"/>
  <c r="T349" i="27" s="1"/>
  <c r="O349" i="27" a="1"/>
  <c r="O349" i="27" s="1"/>
  <c r="T348" i="27" a="1"/>
  <c r="T348" i="27"/>
  <c r="O348" i="27" a="1"/>
  <c r="O348" i="27" s="1"/>
  <c r="T347" i="27" a="1"/>
  <c r="T347" i="27" s="1"/>
  <c r="O347" i="27" a="1"/>
  <c r="O347" i="27" s="1"/>
  <c r="T344" i="27" a="1"/>
  <c r="T344" i="27" s="1"/>
  <c r="T343" i="27" a="1"/>
  <c r="T343" i="27"/>
  <c r="T338" i="27" a="1"/>
  <c r="T338" i="27" s="1"/>
  <c r="O338" i="27" a="1"/>
  <c r="O338" i="27" s="1"/>
  <c r="T337" i="27" a="1"/>
  <c r="T337" i="27"/>
  <c r="O337" i="27" a="1"/>
  <c r="O337" i="27" s="1"/>
  <c r="T336" i="27" a="1"/>
  <c r="T336" i="27" s="1"/>
  <c r="O336" i="27" a="1"/>
  <c r="O336" i="27" s="1"/>
  <c r="T335" i="27" a="1"/>
  <c r="T335" i="27" s="1"/>
  <c r="O335" i="27" a="1"/>
  <c r="O335" i="27"/>
  <c r="T334" i="27" a="1"/>
  <c r="T334" i="27" s="1"/>
  <c r="O334" i="27" a="1"/>
  <c r="O334" i="27" s="1"/>
  <c r="T333" i="27" a="1"/>
  <c r="T333" i="27"/>
  <c r="O333" i="27" a="1"/>
  <c r="O333" i="27" s="1"/>
  <c r="T332" i="27" a="1"/>
  <c r="T332" i="27" s="1"/>
  <c r="O332" i="27" a="1"/>
  <c r="O332" i="27" s="1"/>
  <c r="T331" i="27" a="1"/>
  <c r="T331" i="27" s="1"/>
  <c r="O331" i="27" a="1"/>
  <c r="O331" i="27"/>
  <c r="T330" i="27" a="1"/>
  <c r="T330" i="27" s="1"/>
  <c r="O330" i="27" a="1"/>
  <c r="O330" i="27" s="1"/>
  <c r="T329" i="27" a="1"/>
  <c r="T329" i="27"/>
  <c r="O329" i="27" a="1"/>
  <c r="O329" i="27" s="1"/>
  <c r="M780" i="11" a="1"/>
  <c r="M780" i="11" s="1"/>
  <c r="H780" i="11"/>
  <c r="R132" i="16" a="1"/>
  <c r="R132" i="16" s="1"/>
  <c r="M132" i="16" a="1"/>
  <c r="M132" i="16" s="1"/>
  <c r="H132" i="16"/>
  <c r="R131" i="16" a="1"/>
  <c r="R131" i="16" s="1"/>
  <c r="M131" i="16" a="1"/>
  <c r="M131" i="16" s="1"/>
  <c r="H131" i="16"/>
  <c r="R130" i="16" a="1"/>
  <c r="R130" i="16" s="1"/>
  <c r="M130" i="16" a="1"/>
  <c r="M130" i="16" s="1"/>
  <c r="H130" i="16"/>
  <c r="R129" i="16" a="1"/>
  <c r="R129" i="16" s="1"/>
  <c r="M129" i="16" a="1"/>
  <c r="M129" i="16" s="1"/>
  <c r="H129" i="16"/>
  <c r="R128" i="16" a="1"/>
  <c r="R128" i="16"/>
  <c r="M128" i="16" a="1"/>
  <c r="M128" i="16"/>
  <c r="H128" i="16"/>
  <c r="R127" i="16" a="1"/>
  <c r="R127" i="16" s="1"/>
  <c r="M127" i="16" a="1"/>
  <c r="M127" i="16"/>
  <c r="H127" i="16"/>
  <c r="R126" i="16" a="1"/>
  <c r="R126" i="16"/>
  <c r="M126" i="16" a="1"/>
  <c r="M126" i="16" s="1"/>
  <c r="H126" i="16"/>
  <c r="R125" i="16" a="1"/>
  <c r="R125" i="16"/>
  <c r="M125" i="16" a="1"/>
  <c r="M125" i="16" s="1"/>
  <c r="H125" i="16"/>
  <c r="R124" i="16" a="1"/>
  <c r="R124" i="16" s="1"/>
  <c r="M124" i="16" a="1"/>
  <c r="M124" i="16"/>
  <c r="H124" i="16"/>
  <c r="G17" i="22"/>
  <c r="AT3" i="11"/>
  <c r="AS3" i="11"/>
  <c r="AR3" i="11"/>
  <c r="AQ3" i="11"/>
  <c r="AO3" i="11"/>
  <c r="AN3" i="11"/>
  <c r="AM3" i="11"/>
  <c r="AL3" i="11"/>
  <c r="AH3" i="11"/>
  <c r="AG3" i="11"/>
  <c r="AF3" i="11"/>
  <c r="AE3" i="11"/>
  <c r="AC3" i="11"/>
  <c r="AB3" i="11"/>
  <c r="AA3" i="11"/>
  <c r="Z3" i="11"/>
  <c r="V3" i="11"/>
  <c r="U3" i="11"/>
  <c r="T3" i="11"/>
  <c r="S3" i="11"/>
  <c r="Q3" i="11"/>
  <c r="P3" i="11"/>
  <c r="O3" i="11"/>
  <c r="N3" i="11"/>
  <c r="M776" i="11" a="1"/>
  <c r="M776" i="11" s="1"/>
  <c r="H776" i="11"/>
  <c r="M775" i="11" a="1"/>
  <c r="M775" i="11" s="1"/>
  <c r="H775" i="11"/>
  <c r="M774" i="11" a="1"/>
  <c r="M774" i="11" s="1"/>
  <c r="H774" i="11"/>
  <c r="M773" i="11" a="1"/>
  <c r="M773" i="11" s="1"/>
  <c r="H773" i="11"/>
  <c r="M772" i="11" a="1"/>
  <c r="M772" i="11" s="1"/>
  <c r="H772" i="11"/>
  <c r="M771" i="11" a="1"/>
  <c r="M771" i="11" s="1"/>
  <c r="H771" i="11"/>
  <c r="M770" i="11" a="1"/>
  <c r="M770" i="11" s="1"/>
  <c r="H770" i="11"/>
  <c r="M769" i="11" a="1"/>
  <c r="M769" i="11" s="1"/>
  <c r="H769" i="11"/>
  <c r="M767" i="11" a="1"/>
  <c r="M767" i="11" s="1"/>
  <c r="H767" i="11"/>
  <c r="M766" i="11" a="1"/>
  <c r="M766" i="11" s="1"/>
  <c r="H766" i="11"/>
  <c r="M765" i="11" a="1"/>
  <c r="M765" i="11" s="1"/>
  <c r="H765" i="11"/>
  <c r="M764" i="11" a="1"/>
  <c r="M764" i="11" s="1"/>
  <c r="H764" i="11"/>
  <c r="M763" i="11" a="1"/>
  <c r="M763" i="11" s="1"/>
  <c r="H763" i="11"/>
  <c r="M762" i="11" a="1"/>
  <c r="M762" i="11" s="1"/>
  <c r="H762" i="11"/>
  <c r="M761" i="11" a="1"/>
  <c r="M761" i="11" s="1"/>
  <c r="H761" i="11"/>
  <c r="M760" i="11" a="1"/>
  <c r="M760" i="11" s="1"/>
  <c r="H760" i="11"/>
  <c r="M759" i="11" a="1"/>
  <c r="M759" i="11" s="1"/>
  <c r="H759" i="11"/>
  <c r="M755" i="11" a="1"/>
  <c r="M755" i="11" s="1"/>
  <c r="H755" i="11"/>
  <c r="M754" i="11" a="1"/>
  <c r="M754" i="11" s="1"/>
  <c r="H754" i="11"/>
  <c r="M753" i="11" a="1"/>
  <c r="M753" i="11" s="1"/>
  <c r="H753" i="11"/>
  <c r="M750" i="11" a="1"/>
  <c r="M750" i="11" s="1"/>
  <c r="H750" i="11"/>
  <c r="M749" i="11" a="1"/>
  <c r="M749" i="11" s="1"/>
  <c r="H749" i="11"/>
  <c r="M748" i="11" a="1"/>
  <c r="M748" i="11" s="1"/>
  <c r="H748" i="11"/>
  <c r="M747" i="11" a="1"/>
  <c r="M747" i="11" s="1"/>
  <c r="H747" i="11"/>
  <c r="M746" i="11" a="1"/>
  <c r="M746" i="11" s="1"/>
  <c r="H746" i="11"/>
  <c r="M745" i="11" a="1"/>
  <c r="M745" i="11" s="1"/>
  <c r="H745" i="11"/>
  <c r="M744" i="11" a="1"/>
  <c r="M744" i="11" s="1"/>
  <c r="H744" i="11"/>
  <c r="M743" i="11" a="1"/>
  <c r="M743" i="11" s="1"/>
  <c r="H743" i="11"/>
  <c r="M742" i="11" a="1"/>
  <c r="M742" i="11" s="1"/>
  <c r="H742" i="11"/>
  <c r="M741" i="11" a="1"/>
  <c r="M741" i="11" s="1"/>
  <c r="H741" i="11"/>
  <c r="M740" i="11" a="1"/>
  <c r="M740" i="11" s="1"/>
  <c r="H740" i="11"/>
  <c r="M739" i="11" a="1"/>
  <c r="M739" i="11" s="1"/>
  <c r="H739" i="11"/>
  <c r="M738" i="11" a="1"/>
  <c r="M738" i="11" s="1"/>
  <c r="H738" i="11"/>
  <c r="M737" i="11" a="1"/>
  <c r="M737" i="11" s="1"/>
  <c r="H737" i="11"/>
  <c r="M736" i="11" a="1"/>
  <c r="M736" i="11" s="1"/>
  <c r="H736" i="11"/>
  <c r="M735" i="11" a="1"/>
  <c r="M735" i="11" s="1"/>
  <c r="H735" i="11"/>
  <c r="M734" i="11" a="1"/>
  <c r="M734" i="11" s="1"/>
  <c r="H734" i="11"/>
  <c r="M733" i="11" a="1"/>
  <c r="M733" i="11" s="1"/>
  <c r="H733" i="11"/>
  <c r="M732" i="11" a="1"/>
  <c r="M732" i="11" s="1"/>
  <c r="H732" i="11"/>
  <c r="M731" i="11" a="1"/>
  <c r="M731" i="11" s="1"/>
  <c r="H731" i="11"/>
  <c r="M730" i="11" a="1"/>
  <c r="M730" i="11" s="1"/>
  <c r="H730" i="11"/>
  <c r="M729" i="11" a="1"/>
  <c r="M729" i="11" s="1"/>
  <c r="H729" i="11"/>
  <c r="M728" i="11" a="1"/>
  <c r="M728" i="11" s="1"/>
  <c r="H728" i="11"/>
  <c r="M727" i="11" a="1"/>
  <c r="M727" i="11" s="1"/>
  <c r="H727" i="11"/>
  <c r="M726" i="11" a="1"/>
  <c r="M726" i="11" s="1"/>
  <c r="H726" i="11"/>
  <c r="M723" i="11" a="1"/>
  <c r="M723" i="11" s="1"/>
  <c r="H723" i="11"/>
  <c r="M722" i="11" a="1"/>
  <c r="M722" i="11" s="1"/>
  <c r="H722" i="11"/>
  <c r="M721" i="11" a="1"/>
  <c r="M721" i="11" s="1"/>
  <c r="H721" i="11"/>
  <c r="M720" i="11" a="1"/>
  <c r="M720" i="11" s="1"/>
  <c r="H720" i="11"/>
  <c r="M719" i="11" a="1"/>
  <c r="M719" i="11" s="1"/>
  <c r="H719" i="11"/>
  <c r="M718" i="11" a="1"/>
  <c r="M718" i="11" s="1"/>
  <c r="H718" i="11"/>
  <c r="M717" i="11" a="1"/>
  <c r="M717" i="11" s="1"/>
  <c r="H717" i="11"/>
  <c r="M716" i="11" a="1"/>
  <c r="M716" i="11" s="1"/>
  <c r="H716" i="11"/>
  <c r="M715" i="11" a="1"/>
  <c r="M715" i="11" s="1"/>
  <c r="H715" i="11"/>
  <c r="M714" i="11" a="1"/>
  <c r="M714" i="11" s="1"/>
  <c r="H714" i="11"/>
  <c r="M708" i="11" a="1"/>
  <c r="M708" i="11" s="1"/>
  <c r="H708" i="11"/>
  <c r="M707" i="11" a="1"/>
  <c r="M707" i="11" s="1"/>
  <c r="H707" i="11"/>
  <c r="M704" i="11" a="1"/>
  <c r="M704" i="11" s="1"/>
  <c r="H704" i="11"/>
  <c r="M703" i="11" a="1"/>
  <c r="M703" i="11" s="1"/>
  <c r="H703" i="11"/>
  <c r="M702" i="11" a="1"/>
  <c r="M702" i="11" s="1"/>
  <c r="H702" i="11"/>
  <c r="M701" i="11" a="1"/>
  <c r="M701" i="11" s="1"/>
  <c r="H701" i="11"/>
  <c r="M700" i="11" a="1"/>
  <c r="M700" i="11" s="1"/>
  <c r="H700" i="11"/>
  <c r="M699" i="11" a="1"/>
  <c r="M699" i="11" s="1"/>
  <c r="H699" i="11"/>
  <c r="M698" i="11" a="1"/>
  <c r="M698" i="11" s="1"/>
  <c r="H698" i="11"/>
  <c r="M697" i="11" a="1"/>
  <c r="M697" i="11" s="1"/>
  <c r="H697" i="11"/>
  <c r="M696" i="11" a="1"/>
  <c r="M696" i="11" s="1"/>
  <c r="H696" i="11"/>
  <c r="M695" i="11" a="1"/>
  <c r="M695" i="11" s="1"/>
  <c r="H695" i="11"/>
  <c r="M694" i="11" a="1"/>
  <c r="M694" i="11" s="1"/>
  <c r="H694" i="11"/>
  <c r="M693" i="11" a="1"/>
  <c r="M693" i="11" s="1"/>
  <c r="H693" i="11"/>
  <c r="M691" i="11" a="1"/>
  <c r="M691" i="11" s="1"/>
  <c r="H691" i="11"/>
  <c r="M690" i="11" a="1"/>
  <c r="M690" i="11" s="1"/>
  <c r="H690" i="11"/>
  <c r="M689" i="11" a="1"/>
  <c r="M689" i="11" s="1"/>
  <c r="H689" i="11"/>
  <c r="M688" i="11" a="1"/>
  <c r="M688" i="11" s="1"/>
  <c r="H688" i="11"/>
  <c r="M687" i="11" a="1"/>
  <c r="M687" i="11" s="1"/>
  <c r="H687" i="11"/>
  <c r="M686" i="11" a="1"/>
  <c r="M686" i="11" s="1"/>
  <c r="H686" i="11"/>
  <c r="M685" i="11" a="1"/>
  <c r="M685" i="11" s="1"/>
  <c r="H685" i="11"/>
  <c r="M684" i="11" a="1"/>
  <c r="M684" i="11" s="1"/>
  <c r="H684" i="11"/>
  <c r="M683" i="11" a="1"/>
  <c r="M683" i="11" s="1"/>
  <c r="H683" i="11"/>
  <c r="M682" i="11" a="1"/>
  <c r="M682" i="11" s="1"/>
  <c r="H682" i="11"/>
  <c r="M681" i="11" a="1"/>
  <c r="M681" i="11" s="1"/>
  <c r="H681" i="11"/>
  <c r="M679" i="11" a="1"/>
  <c r="M679" i="11" s="1"/>
  <c r="H679" i="11"/>
  <c r="M678" i="11" a="1"/>
  <c r="M678" i="11" s="1"/>
  <c r="H678" i="11"/>
  <c r="M677" i="11" a="1"/>
  <c r="M677" i="11" s="1"/>
  <c r="H677" i="11"/>
  <c r="M676" i="11" a="1"/>
  <c r="M676" i="11" s="1"/>
  <c r="H676" i="11"/>
  <c r="M675" i="11" a="1"/>
  <c r="M675" i="11" s="1"/>
  <c r="H675" i="11"/>
  <c r="M674" i="11" a="1"/>
  <c r="M674" i="11" s="1"/>
  <c r="H674" i="11"/>
  <c r="M673" i="11" a="1"/>
  <c r="M673" i="11" s="1"/>
  <c r="H673" i="11"/>
  <c r="M672" i="11" a="1"/>
  <c r="M672" i="11" s="1"/>
  <c r="H672" i="11"/>
  <c r="M671" i="11" a="1"/>
  <c r="M671" i="11" s="1"/>
  <c r="H671" i="11"/>
  <c r="M670" i="11" a="1"/>
  <c r="M670" i="11" s="1"/>
  <c r="H670" i="11"/>
  <c r="M669" i="11" a="1"/>
  <c r="M669" i="11" s="1"/>
  <c r="H669" i="11"/>
  <c r="M667" i="11" a="1"/>
  <c r="M667" i="11" s="1"/>
  <c r="H667" i="11"/>
  <c r="M666" i="11" a="1"/>
  <c r="M666" i="11" s="1"/>
  <c r="H666" i="11"/>
  <c r="M665" i="11" a="1"/>
  <c r="M665" i="11" s="1"/>
  <c r="H665" i="11"/>
  <c r="M664" i="11" a="1"/>
  <c r="M664" i="11" s="1"/>
  <c r="H664" i="11"/>
  <c r="M663" i="11" a="1"/>
  <c r="M663" i="11" s="1"/>
  <c r="H663" i="11"/>
  <c r="M662" i="11" a="1"/>
  <c r="M662" i="11" s="1"/>
  <c r="H662" i="11"/>
  <c r="M661" i="11" a="1"/>
  <c r="M661" i="11" s="1"/>
  <c r="H661" i="11"/>
  <c r="M660" i="11" a="1"/>
  <c r="M660" i="11" s="1"/>
  <c r="H660" i="11"/>
  <c r="M659" i="11" a="1"/>
  <c r="M659" i="11" s="1"/>
  <c r="H659" i="11"/>
  <c r="M658" i="11" a="1"/>
  <c r="M658" i="11" s="1"/>
  <c r="H658" i="11"/>
  <c r="M657" i="11" a="1"/>
  <c r="M657" i="11" s="1"/>
  <c r="H657" i="11"/>
  <c r="M653" i="11" a="1"/>
  <c r="M653" i="11" s="1"/>
  <c r="H653" i="11"/>
  <c r="M652" i="11" a="1"/>
  <c r="M652" i="11" s="1"/>
  <c r="H652" i="11"/>
  <c r="M651" i="11" a="1"/>
  <c r="M651" i="11" s="1"/>
  <c r="H651" i="11"/>
  <c r="M650" i="11" a="1"/>
  <c r="M650" i="11" s="1"/>
  <c r="H650" i="11"/>
  <c r="M649" i="11" a="1"/>
  <c r="M649" i="11" s="1"/>
  <c r="H649" i="11"/>
  <c r="M648" i="11" a="1"/>
  <c r="M648" i="11" s="1"/>
  <c r="H648" i="11"/>
  <c r="M647" i="11" a="1"/>
  <c r="M647" i="11" s="1"/>
  <c r="H647" i="11"/>
  <c r="M646" i="11" a="1"/>
  <c r="M646" i="11" s="1"/>
  <c r="H646" i="11"/>
  <c r="M645" i="11" a="1"/>
  <c r="M645" i="11" s="1"/>
  <c r="H645" i="11"/>
  <c r="M643" i="11" a="1"/>
  <c r="M643" i="11" s="1"/>
  <c r="H643" i="11"/>
  <c r="M642" i="11" a="1"/>
  <c r="M642" i="11" s="1"/>
  <c r="H642" i="11"/>
  <c r="M641" i="11" a="1"/>
  <c r="M641" i="11" s="1"/>
  <c r="H641" i="11"/>
  <c r="M640" i="11" a="1"/>
  <c r="M640" i="11" s="1"/>
  <c r="H640" i="11"/>
  <c r="M639" i="11" a="1"/>
  <c r="M639" i="11" s="1"/>
  <c r="H639" i="11"/>
  <c r="M638" i="11" a="1"/>
  <c r="M638" i="11" s="1"/>
  <c r="H638" i="11"/>
  <c r="M637" i="11" a="1"/>
  <c r="M637" i="11" s="1"/>
  <c r="H637" i="11"/>
  <c r="M636" i="11" a="1"/>
  <c r="M636" i="11" s="1"/>
  <c r="H636" i="11"/>
  <c r="M635" i="11" a="1"/>
  <c r="M635" i="11" s="1"/>
  <c r="H635" i="11"/>
  <c r="M634" i="11" a="1"/>
  <c r="M634" i="11" s="1"/>
  <c r="H634" i="11"/>
  <c r="M633" i="11" a="1"/>
  <c r="M633" i="11" s="1"/>
  <c r="H633" i="11"/>
  <c r="M632" i="11" a="1"/>
  <c r="M632" i="11" s="1"/>
  <c r="H632" i="11"/>
  <c r="M631" i="11" a="1"/>
  <c r="M631" i="11" s="1"/>
  <c r="H631" i="11"/>
  <c r="M630" i="11" a="1"/>
  <c r="M630" i="11" s="1"/>
  <c r="H630" i="11"/>
  <c r="M629" i="11" a="1"/>
  <c r="M629" i="11" s="1"/>
  <c r="H629" i="11"/>
  <c r="M628" i="11" a="1"/>
  <c r="M628" i="11" s="1"/>
  <c r="H628" i="11"/>
  <c r="M627" i="11" a="1"/>
  <c r="M627" i="11" s="1"/>
  <c r="H627" i="11"/>
  <c r="M626" i="11" a="1"/>
  <c r="M626" i="11" s="1"/>
  <c r="H626" i="11"/>
  <c r="M625" i="11" a="1"/>
  <c r="M625" i="11" s="1"/>
  <c r="H625" i="11"/>
  <c r="M624" i="11" a="1"/>
  <c r="M624" i="11" s="1"/>
  <c r="H624" i="11"/>
  <c r="M623" i="11" a="1"/>
  <c r="M623" i="11" s="1"/>
  <c r="H623" i="11"/>
  <c r="M622" i="11" a="1"/>
  <c r="M622" i="11" s="1"/>
  <c r="H622" i="11"/>
  <c r="M621" i="11" a="1"/>
  <c r="M621" i="11" s="1"/>
  <c r="H621" i="11"/>
  <c r="M620" i="11" a="1"/>
  <c r="M620" i="11" s="1"/>
  <c r="H620" i="11"/>
  <c r="M608" i="11" a="1"/>
  <c r="M608" i="11" s="1"/>
  <c r="H608" i="11"/>
  <c r="M607" i="11" a="1"/>
  <c r="M607" i="11" s="1"/>
  <c r="H607" i="11"/>
  <c r="M606" i="11" a="1"/>
  <c r="M606" i="11" s="1"/>
  <c r="H606" i="11"/>
  <c r="M605" i="11" a="1"/>
  <c r="M605" i="11" s="1"/>
  <c r="H605" i="11"/>
  <c r="M600" i="11" a="1"/>
  <c r="M600" i="11" s="1"/>
  <c r="H600" i="11"/>
  <c r="M599" i="11" a="1"/>
  <c r="M599" i="11" s="1"/>
  <c r="H599" i="11"/>
  <c r="M598" i="11" a="1"/>
  <c r="M598" i="11" s="1"/>
  <c r="H598" i="11"/>
  <c r="M597" i="11" a="1"/>
  <c r="M597" i="11" s="1"/>
  <c r="H597" i="11"/>
  <c r="M596" i="11" a="1"/>
  <c r="M596" i="11" s="1"/>
  <c r="H596" i="11"/>
  <c r="M595" i="11" a="1"/>
  <c r="M595" i="11" s="1"/>
  <c r="H595" i="11"/>
  <c r="M592" i="11" a="1"/>
  <c r="M592" i="11" s="1"/>
  <c r="H592" i="11"/>
  <c r="M591" i="11" a="1"/>
  <c r="M591" i="11" s="1"/>
  <c r="H591" i="11"/>
  <c r="M590" i="11" a="1"/>
  <c r="M590" i="11" s="1"/>
  <c r="H590" i="11"/>
  <c r="M589" i="11" a="1"/>
  <c r="M589" i="11" s="1"/>
  <c r="H589" i="11"/>
  <c r="M588" i="11" a="1"/>
  <c r="M588" i="11" s="1"/>
  <c r="H588" i="11"/>
  <c r="M587" i="11" a="1"/>
  <c r="M587" i="11" s="1"/>
  <c r="H587" i="11"/>
  <c r="M584" i="11" a="1"/>
  <c r="M584" i="11" s="1"/>
  <c r="H584" i="11"/>
  <c r="M583" i="11" a="1"/>
  <c r="M583" i="11" s="1"/>
  <c r="H583" i="11"/>
  <c r="M582" i="11" a="1"/>
  <c r="M582" i="11" s="1"/>
  <c r="H582" i="11"/>
  <c r="M581" i="11" a="1"/>
  <c r="M581" i="11" s="1"/>
  <c r="H581" i="11"/>
  <c r="M580" i="11" a="1"/>
  <c r="M580" i="11" s="1"/>
  <c r="H580" i="11"/>
  <c r="M579" i="11" a="1"/>
  <c r="M579" i="11" s="1"/>
  <c r="H579" i="11"/>
  <c r="M576" i="11" a="1"/>
  <c r="M576" i="11" s="1"/>
  <c r="H576" i="11"/>
  <c r="M575" i="11" a="1"/>
  <c r="M575" i="11" s="1"/>
  <c r="H575" i="11"/>
  <c r="M574" i="11" a="1"/>
  <c r="M574" i="11" s="1"/>
  <c r="H574" i="11"/>
  <c r="M573" i="11" a="1"/>
  <c r="M573" i="11" s="1"/>
  <c r="H573" i="11"/>
  <c r="M572" i="11" a="1"/>
  <c r="M572" i="11" s="1"/>
  <c r="H572" i="11"/>
  <c r="M571" i="11" a="1"/>
  <c r="M571" i="11" s="1"/>
  <c r="H571" i="11"/>
  <c r="M568" i="11" a="1"/>
  <c r="M568" i="11" s="1"/>
  <c r="H568" i="11"/>
  <c r="M567" i="11" a="1"/>
  <c r="M567" i="11" s="1"/>
  <c r="H567" i="11"/>
  <c r="M566" i="11" a="1"/>
  <c r="M566" i="11" s="1"/>
  <c r="H566" i="11"/>
  <c r="M565" i="11" a="1"/>
  <c r="M565" i="11" s="1"/>
  <c r="H565" i="11"/>
  <c r="M564" i="11" a="1"/>
  <c r="M564" i="11" s="1"/>
  <c r="H564" i="11"/>
  <c r="M563" i="11" a="1"/>
  <c r="M563" i="11" s="1"/>
  <c r="H563" i="11"/>
  <c r="M560" i="11" a="1"/>
  <c r="M560" i="11" s="1"/>
  <c r="H560" i="11"/>
  <c r="M559" i="11" a="1"/>
  <c r="M559" i="11" s="1"/>
  <c r="H559" i="11"/>
  <c r="M558" i="11" a="1"/>
  <c r="M558" i="11" s="1"/>
  <c r="H558" i="11"/>
  <c r="M557" i="11" a="1"/>
  <c r="M557" i="11" s="1"/>
  <c r="H557" i="11"/>
  <c r="M556" i="11" a="1"/>
  <c r="M556" i="11" s="1"/>
  <c r="H556" i="11"/>
  <c r="M555" i="11" a="1"/>
  <c r="M555" i="11" s="1"/>
  <c r="H555" i="11"/>
  <c r="M552" i="11" a="1"/>
  <c r="M552" i="11" s="1"/>
  <c r="H552" i="11"/>
  <c r="M551" i="11" a="1"/>
  <c r="M551" i="11" s="1"/>
  <c r="H551" i="11"/>
  <c r="M550" i="11" a="1"/>
  <c r="M550" i="11" s="1"/>
  <c r="H550" i="11"/>
  <c r="M549" i="11" a="1"/>
  <c r="M549" i="11" s="1"/>
  <c r="H549" i="11"/>
  <c r="M548" i="11" a="1"/>
  <c r="M548" i="11" s="1"/>
  <c r="H548" i="11"/>
  <c r="M547" i="11" a="1"/>
  <c r="M547" i="11" s="1"/>
  <c r="H547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42" i="11"/>
  <c r="H41" i="11"/>
  <c r="H40" i="11"/>
  <c r="H37" i="11"/>
  <c r="H34" i="11"/>
  <c r="H31" i="11"/>
  <c r="H30" i="11"/>
  <c r="H29" i="11"/>
  <c r="H28" i="11"/>
  <c r="H27" i="11"/>
  <c r="H26" i="11"/>
  <c r="H13" i="11"/>
  <c r="H12" i="11"/>
  <c r="H393" i="11"/>
  <c r="H392" i="11"/>
  <c r="H391" i="11"/>
  <c r="H390" i="11"/>
  <c r="H389" i="11"/>
  <c r="H388" i="11"/>
  <c r="H387" i="11"/>
  <c r="H386" i="11"/>
  <c r="H385" i="11"/>
  <c r="H384" i="11"/>
  <c r="H383" i="11"/>
  <c r="H382" i="11"/>
  <c r="H381" i="11"/>
  <c r="H380" i="11"/>
  <c r="H379" i="11"/>
  <c r="H376" i="11"/>
  <c r="H375" i="11"/>
  <c r="H374" i="11"/>
  <c r="H371" i="11"/>
  <c r="H370" i="11"/>
  <c r="H369" i="11"/>
  <c r="H366" i="11"/>
  <c r="H365" i="11"/>
  <c r="H364" i="11"/>
  <c r="H362" i="11"/>
  <c r="H307" i="11"/>
  <c r="H363" i="11"/>
  <c r="H355" i="11"/>
  <c r="H306" i="11"/>
  <c r="H305" i="11"/>
  <c r="H354" i="11"/>
  <c r="H353" i="11"/>
  <c r="H285" i="11"/>
  <c r="H348" i="11"/>
  <c r="H347" i="11"/>
  <c r="H282" i="11"/>
  <c r="H281" i="11"/>
  <c r="H278" i="11"/>
  <c r="H277" i="11"/>
  <c r="H78" i="11"/>
  <c r="I520" i="27"/>
  <c r="I521" i="27"/>
  <c r="I522" i="27"/>
  <c r="I523" i="27"/>
  <c r="I531" i="27"/>
  <c r="I532" i="27"/>
  <c r="I533" i="27"/>
  <c r="I536" i="27"/>
  <c r="G15" i="26"/>
  <c r="G60" i="26"/>
  <c r="G61" i="26"/>
  <c r="G64" i="26"/>
  <c r="G65" i="26"/>
  <c r="G68" i="26"/>
  <c r="G71" i="26"/>
  <c r="G72" i="26"/>
  <c r="G73" i="26"/>
  <c r="G618" i="26"/>
  <c r="G619" i="26"/>
  <c r="G673" i="26"/>
  <c r="G674" i="26"/>
  <c r="G675" i="26"/>
  <c r="G676" i="26"/>
  <c r="G677" i="26"/>
  <c r="G678" i="26"/>
  <c r="G682" i="26"/>
  <c r="G683" i="26"/>
  <c r="G684" i="26"/>
  <c r="G685" i="26"/>
  <c r="G686" i="26"/>
  <c r="G691" i="26"/>
  <c r="G692" i="26"/>
  <c r="G693" i="26"/>
  <c r="G694" i="26"/>
  <c r="G697" i="26"/>
  <c r="G698" i="26"/>
  <c r="G699" i="26"/>
  <c r="T554" i="27" a="1"/>
  <c r="T554" i="27" s="1"/>
  <c r="T551" i="27" a="1"/>
  <c r="T551" i="27" s="1"/>
  <c r="T547" i="27" a="1"/>
  <c r="T547" i="27" s="1"/>
  <c r="T546" i="27" a="1"/>
  <c r="T546" i="27"/>
  <c r="T545" i="27" a="1"/>
  <c r="T545" i="27" s="1"/>
  <c r="T544" i="27" a="1"/>
  <c r="T544" i="27" s="1"/>
  <c r="T543" i="27" a="1"/>
  <c r="T543" i="27"/>
  <c r="T542" i="27" a="1"/>
  <c r="T542" i="27" s="1"/>
  <c r="T541" i="27" a="1"/>
  <c r="T541" i="27" s="1"/>
  <c r="T529" i="27" a="1"/>
  <c r="T529" i="27" s="1"/>
  <c r="T528" i="27" a="1"/>
  <c r="T528" i="27" s="1"/>
  <c r="T527" i="27" a="1"/>
  <c r="T527" i="27"/>
  <c r="T526" i="27" a="1"/>
  <c r="T526" i="27" s="1"/>
  <c r="T523" i="27" a="1"/>
  <c r="T523" i="27" s="1"/>
  <c r="T522" i="27" a="1"/>
  <c r="T522" i="27"/>
  <c r="T521" i="27" a="1"/>
  <c r="T521" i="27" s="1"/>
  <c r="T520" i="27" a="1"/>
  <c r="T520" i="27" s="1"/>
  <c r="T516" i="27" a="1"/>
  <c r="T516" i="27" s="1"/>
  <c r="T515" i="27" a="1"/>
  <c r="T515" i="27" s="1"/>
  <c r="T513" i="27" a="1"/>
  <c r="T513" i="27"/>
  <c r="T512" i="27" a="1"/>
  <c r="T512" i="27" s="1"/>
  <c r="T511" i="27" a="1"/>
  <c r="T511" i="27" s="1"/>
  <c r="T510" i="27" a="1"/>
  <c r="T510" i="27"/>
  <c r="T505" i="27" a="1"/>
  <c r="T505" i="27" s="1"/>
  <c r="T504" i="27" a="1"/>
  <c r="T504" i="27" s="1"/>
  <c r="T501" i="27" a="1"/>
  <c r="T501" i="27" s="1"/>
  <c r="T500" i="27" a="1"/>
  <c r="T500" i="27" s="1"/>
  <c r="T499" i="27" a="1"/>
  <c r="T499" i="27"/>
  <c r="T498" i="27" a="1"/>
  <c r="T498" i="27" s="1"/>
  <c r="T497" i="27" a="1"/>
  <c r="T497" i="27" s="1"/>
  <c r="T496" i="27" a="1"/>
  <c r="T496" i="27"/>
  <c r="T495" i="27" a="1"/>
  <c r="T495" i="27" s="1"/>
  <c r="T494" i="27" a="1"/>
  <c r="T494" i="27" s="1"/>
  <c r="T493" i="27" a="1"/>
  <c r="T493" i="27" s="1"/>
  <c r="T492" i="27" a="1"/>
  <c r="T492" i="27" s="1"/>
  <c r="T491" i="27" a="1"/>
  <c r="T491" i="27"/>
  <c r="T488" i="27" a="1"/>
  <c r="T488" i="27" s="1"/>
  <c r="T487" i="27" a="1"/>
  <c r="T487" i="27" s="1"/>
  <c r="T482" i="27" a="1"/>
  <c r="T482" i="27"/>
  <c r="T481" i="27" a="1"/>
  <c r="T481" i="27" s="1"/>
  <c r="T480" i="27" a="1"/>
  <c r="T480" i="27" s="1"/>
  <c r="T479" i="27" a="1"/>
  <c r="T479" i="27" s="1"/>
  <c r="T478" i="27" a="1"/>
  <c r="T478" i="27" s="1"/>
  <c r="T477" i="27" a="1"/>
  <c r="T477" i="27"/>
  <c r="T476" i="27" a="1"/>
  <c r="T476" i="27" s="1"/>
  <c r="T475" i="27" a="1"/>
  <c r="T475" i="27" s="1"/>
  <c r="T474" i="27" a="1"/>
  <c r="T474" i="27"/>
  <c r="T473" i="27" a="1"/>
  <c r="T473" i="27" s="1"/>
  <c r="T467" i="27" a="1"/>
  <c r="T467" i="27" s="1"/>
  <c r="T466" i="27" a="1"/>
  <c r="T466" i="27" s="1"/>
  <c r="T463" i="27" a="1"/>
  <c r="T463" i="27" s="1"/>
  <c r="T462" i="27" a="1"/>
  <c r="T462" i="27"/>
  <c r="T461" i="27" a="1"/>
  <c r="T461" i="27" s="1"/>
  <c r="T460" i="27" a="1"/>
  <c r="T460" i="27" s="1"/>
  <c r="T459" i="27" a="1"/>
  <c r="T459" i="27"/>
  <c r="T458" i="27" a="1"/>
  <c r="T458" i="27" s="1"/>
  <c r="T457" i="27" a="1"/>
  <c r="T457" i="27" s="1"/>
  <c r="T456" i="27" a="1"/>
  <c r="T456" i="27" s="1"/>
  <c r="T455" i="27" a="1"/>
  <c r="T455" i="27" s="1"/>
  <c r="T454" i="27" a="1"/>
  <c r="T454" i="27"/>
  <c r="T453" i="27" a="1"/>
  <c r="T453" i="27" s="1"/>
  <c r="T450" i="27" a="1"/>
  <c r="T450" i="27" s="1"/>
  <c r="T449" i="27" a="1"/>
  <c r="T449" i="27"/>
  <c r="T444" i="27" a="1"/>
  <c r="T444" i="27" s="1"/>
  <c r="T443" i="27" a="1"/>
  <c r="T443" i="27" s="1"/>
  <c r="T442" i="27" a="1"/>
  <c r="T442" i="27" s="1"/>
  <c r="T441" i="27" a="1"/>
  <c r="T441" i="27" s="1"/>
  <c r="T440" i="27" a="1"/>
  <c r="T440" i="27"/>
  <c r="T439" i="27" a="1"/>
  <c r="T439" i="27" s="1"/>
  <c r="T438" i="27" a="1"/>
  <c r="T438" i="27" s="1"/>
  <c r="T437" i="27" a="1"/>
  <c r="T437" i="27" s="1"/>
  <c r="T436" i="27" a="1"/>
  <c r="T436" i="27"/>
  <c r="T435" i="27" a="1"/>
  <c r="T435" i="27" s="1"/>
  <c r="T429" i="27" a="1"/>
  <c r="T429" i="27" s="1"/>
  <c r="T428" i="27" a="1"/>
  <c r="T428" i="27" s="1"/>
  <c r="T425" i="27" a="1"/>
  <c r="T425" i="27" s="1"/>
  <c r="T424" i="27" a="1"/>
  <c r="T424" i="27" s="1"/>
  <c r="T423" i="27" a="1"/>
  <c r="T423" i="27" s="1"/>
  <c r="T422" i="27" a="1"/>
  <c r="T422" i="27"/>
  <c r="T421" i="27" a="1"/>
  <c r="T421" i="27" s="1"/>
  <c r="T420" i="27" a="1"/>
  <c r="T420" i="27" s="1"/>
  <c r="T419" i="27" a="1"/>
  <c r="T419" i="27" s="1"/>
  <c r="T418" i="27" a="1"/>
  <c r="T418" i="27" s="1"/>
  <c r="T417" i="27" a="1"/>
  <c r="T417" i="27"/>
  <c r="T416" i="27" a="1"/>
  <c r="T416" i="27" s="1"/>
  <c r="T415" i="27" a="1"/>
  <c r="T415" i="27" s="1"/>
  <c r="T412" i="27" a="1"/>
  <c r="T412" i="27" s="1"/>
  <c r="T411" i="27" a="1"/>
  <c r="T411" i="27"/>
  <c r="T406" i="27" a="1"/>
  <c r="T406" i="27" s="1"/>
  <c r="T405" i="27" a="1"/>
  <c r="T405" i="27" s="1"/>
  <c r="T404" i="27" a="1"/>
  <c r="T404" i="27" s="1"/>
  <c r="T403" i="27" a="1"/>
  <c r="T403" i="27" s="1"/>
  <c r="T402" i="27" a="1"/>
  <c r="T402" i="27" s="1"/>
  <c r="T401" i="27" a="1"/>
  <c r="T401" i="27" s="1"/>
  <c r="T400" i="27" a="1"/>
  <c r="T400" i="27"/>
  <c r="T272" i="27" a="1"/>
  <c r="T272" i="27" s="1"/>
  <c r="T271" i="27" a="1"/>
  <c r="T271" i="27" s="1"/>
  <c r="T159" i="27" a="1"/>
  <c r="T159" i="27" s="1"/>
  <c r="T158" i="27" a="1"/>
  <c r="T158" i="27" s="1"/>
  <c r="T157" i="27" a="1"/>
  <c r="T157" i="27"/>
  <c r="T156" i="27" a="1"/>
  <c r="T156" i="27" s="1"/>
  <c r="T155" i="27" a="1"/>
  <c r="T155" i="27" s="1"/>
  <c r="T154" i="27" a="1"/>
  <c r="T154" i="27" s="1"/>
  <c r="T153" i="27" a="1"/>
  <c r="T153" i="27"/>
  <c r="T152" i="27" a="1"/>
  <c r="T152" i="27" s="1"/>
  <c r="T151" i="27" a="1"/>
  <c r="T151" i="27" s="1"/>
  <c r="T150" i="27" a="1"/>
  <c r="T150" i="27" s="1"/>
  <c r="T149" i="27" a="1"/>
  <c r="T149" i="27" s="1"/>
  <c r="T148" i="27" a="1"/>
  <c r="T148" i="27" s="1"/>
  <c r="T147" i="27" a="1"/>
  <c r="T147" i="27" s="1"/>
  <c r="T146" i="27" a="1"/>
  <c r="T146" i="27"/>
  <c r="T142" i="27" a="1"/>
  <c r="T142" i="27" s="1"/>
  <c r="T141" i="27" a="1"/>
  <c r="T141" i="27" s="1"/>
  <c r="T140" i="27" a="1"/>
  <c r="T140" i="27" s="1"/>
  <c r="T139" i="27" a="1"/>
  <c r="T139" i="27" s="1"/>
  <c r="T138" i="27" a="1"/>
  <c r="T138" i="27"/>
  <c r="T137" i="27" a="1"/>
  <c r="T137" i="27" s="1"/>
  <c r="T136" i="27" a="1"/>
  <c r="T136" i="27" s="1"/>
  <c r="T135" i="27" a="1"/>
  <c r="T135" i="27" s="1"/>
  <c r="T134" i="27" a="1"/>
  <c r="T134" i="27"/>
  <c r="T133" i="27" a="1"/>
  <c r="T133" i="27" s="1"/>
  <c r="T132" i="27" a="1"/>
  <c r="T132" i="27" s="1"/>
  <c r="T131" i="27" a="1"/>
  <c r="T131" i="27" s="1"/>
  <c r="T130" i="27" a="1"/>
  <c r="T130" i="27" s="1"/>
  <c r="T129" i="27" a="1"/>
  <c r="T129" i="27" s="1"/>
  <c r="T536" i="27" a="1"/>
  <c r="T536" i="27" s="1"/>
  <c r="T533" i="27" a="1"/>
  <c r="T533" i="27"/>
  <c r="T532" i="27" a="1"/>
  <c r="T532" i="27" s="1"/>
  <c r="T531" i="27" a="1"/>
  <c r="T531" i="27" s="1"/>
  <c r="T530" i="27" a="1"/>
  <c r="T530" i="27" s="1"/>
  <c r="O554" i="27" a="1"/>
  <c r="O554" i="27" s="1"/>
  <c r="O551" i="27" a="1"/>
  <c r="O551" i="27"/>
  <c r="O547" i="27" a="1"/>
  <c r="O547" i="27" s="1"/>
  <c r="O546" i="27" a="1"/>
  <c r="O546" i="27" s="1"/>
  <c r="O545" i="27" a="1"/>
  <c r="O545" i="27" s="1"/>
  <c r="O544" i="27" a="1"/>
  <c r="O544" i="27"/>
  <c r="O543" i="27" a="1"/>
  <c r="O543" i="27" s="1"/>
  <c r="O542" i="27" a="1"/>
  <c r="O542" i="27" s="1"/>
  <c r="O541" i="27" a="1"/>
  <c r="O541" i="27" s="1"/>
  <c r="O529" i="27" a="1"/>
  <c r="O529" i="27" s="1"/>
  <c r="O528" i="27" a="1"/>
  <c r="O528" i="27" s="1"/>
  <c r="O527" i="27" a="1"/>
  <c r="O527" i="27" s="1"/>
  <c r="O526" i="27" a="1"/>
  <c r="O526" i="27"/>
  <c r="O523" i="27" a="1"/>
  <c r="O523" i="27" s="1"/>
  <c r="O522" i="27" a="1"/>
  <c r="O522" i="27" s="1"/>
  <c r="O521" i="27" a="1"/>
  <c r="O521" i="27" s="1"/>
  <c r="O520" i="27" a="1"/>
  <c r="O520" i="27" s="1"/>
  <c r="O519" i="27" a="1"/>
  <c r="O519" i="27"/>
  <c r="O518" i="27" a="1"/>
  <c r="O518" i="27" s="1"/>
  <c r="O517" i="27" a="1"/>
  <c r="O517" i="27" s="1"/>
  <c r="O516" i="27" a="1"/>
  <c r="O516" i="27" s="1"/>
  <c r="O515" i="27" a="1"/>
  <c r="O515" i="27"/>
  <c r="O513" i="27" a="1"/>
  <c r="O513" i="27" s="1"/>
  <c r="O512" i="27" a="1"/>
  <c r="O512" i="27" s="1"/>
  <c r="O511" i="27" a="1"/>
  <c r="O511" i="27" s="1"/>
  <c r="O510" i="27" a="1"/>
  <c r="O510" i="27" s="1"/>
  <c r="O505" i="27" a="1"/>
  <c r="O505" i="27" s="1"/>
  <c r="O504" i="27" a="1"/>
  <c r="O504" i="27" s="1"/>
  <c r="O501" i="27" a="1"/>
  <c r="O501" i="27"/>
  <c r="O500" i="27" a="1"/>
  <c r="O500" i="27" s="1"/>
  <c r="O499" i="27" a="1"/>
  <c r="O499" i="27" s="1"/>
  <c r="O498" i="27" a="1"/>
  <c r="O498" i="27" s="1"/>
  <c r="O497" i="27" a="1"/>
  <c r="O497" i="27" s="1"/>
  <c r="O496" i="27" a="1"/>
  <c r="O496" i="27"/>
  <c r="O495" i="27" a="1"/>
  <c r="O495" i="27" s="1"/>
  <c r="O494" i="27" a="1"/>
  <c r="O494" i="27" s="1"/>
  <c r="O493" i="27" a="1"/>
  <c r="O493" i="27" s="1"/>
  <c r="O492" i="27" a="1"/>
  <c r="O492" i="27"/>
  <c r="O491" i="27" a="1"/>
  <c r="O491" i="27" s="1"/>
  <c r="O488" i="27" a="1"/>
  <c r="O488" i="27" s="1"/>
  <c r="O487" i="27" a="1"/>
  <c r="O487" i="27" s="1"/>
  <c r="O482" i="27" a="1"/>
  <c r="O482" i="27" s="1"/>
  <c r="O481" i="27" a="1"/>
  <c r="O481" i="27" s="1"/>
  <c r="O480" i="27" a="1"/>
  <c r="O480" i="27" s="1"/>
  <c r="O479" i="27" a="1"/>
  <c r="O479" i="27"/>
  <c r="O478" i="27" a="1"/>
  <c r="O478" i="27" s="1"/>
  <c r="O477" i="27" a="1"/>
  <c r="O477" i="27" s="1"/>
  <c r="O476" i="27" a="1"/>
  <c r="O476" i="27" s="1"/>
  <c r="O475" i="27" a="1"/>
  <c r="O475" i="27" s="1"/>
  <c r="O474" i="27" a="1"/>
  <c r="O474" i="27"/>
  <c r="O473" i="27" a="1"/>
  <c r="O473" i="27" s="1"/>
  <c r="O467" i="27" a="1"/>
  <c r="O467" i="27" s="1"/>
  <c r="O466" i="27" a="1"/>
  <c r="O466" i="27" s="1"/>
  <c r="O463" i="27" a="1"/>
  <c r="O463" i="27"/>
  <c r="O462" i="27" a="1"/>
  <c r="O462" i="27" s="1"/>
  <c r="O461" i="27" a="1"/>
  <c r="O461" i="27" s="1"/>
  <c r="O460" i="27" a="1"/>
  <c r="O460" i="27" s="1"/>
  <c r="O459" i="27" a="1"/>
  <c r="O459" i="27" s="1"/>
  <c r="O458" i="27" a="1"/>
  <c r="O458" i="27" s="1"/>
  <c r="O457" i="27" a="1"/>
  <c r="O457" i="27" s="1"/>
  <c r="O456" i="27" a="1"/>
  <c r="O456" i="27"/>
  <c r="O455" i="27" a="1"/>
  <c r="O455" i="27" s="1"/>
  <c r="O454" i="27" a="1"/>
  <c r="O454" i="27" s="1"/>
  <c r="O453" i="27" a="1"/>
  <c r="O453" i="27" s="1"/>
  <c r="O450" i="27" a="1"/>
  <c r="O450" i="27" s="1"/>
  <c r="O449" i="27" a="1"/>
  <c r="O449" i="27"/>
  <c r="O444" i="27" a="1"/>
  <c r="O444" i="27" s="1"/>
  <c r="O443" i="27" a="1"/>
  <c r="O443" i="27" s="1"/>
  <c r="O442" i="27" a="1"/>
  <c r="O442" i="27" s="1"/>
  <c r="O441" i="27" a="1"/>
  <c r="O441" i="27"/>
  <c r="O440" i="27" a="1"/>
  <c r="O440" i="27" s="1"/>
  <c r="O439" i="27" a="1"/>
  <c r="O439" i="27" s="1"/>
  <c r="O438" i="27" a="1"/>
  <c r="O438" i="27" s="1"/>
  <c r="O437" i="27" a="1"/>
  <c r="O437" i="27" s="1"/>
  <c r="O436" i="27" a="1"/>
  <c r="O436" i="27" s="1"/>
  <c r="O435" i="27" a="1"/>
  <c r="O435" i="27" s="1"/>
  <c r="O429" i="27" a="1"/>
  <c r="O429" i="27"/>
  <c r="O428" i="27" a="1"/>
  <c r="O428" i="27" s="1"/>
  <c r="O425" i="27" a="1"/>
  <c r="O425" i="27" s="1"/>
  <c r="O424" i="27" a="1"/>
  <c r="O424" i="27" s="1"/>
  <c r="O423" i="27" a="1"/>
  <c r="O423" i="27" s="1"/>
  <c r="O422" i="27" a="1"/>
  <c r="O422" i="27" s="1"/>
  <c r="O421" i="27" a="1"/>
  <c r="O421" i="27" s="1"/>
  <c r="O420" i="27" a="1"/>
  <c r="O420" i="27" s="1"/>
  <c r="O419" i="27" a="1"/>
  <c r="O419" i="27" s="1"/>
  <c r="O418" i="27" a="1"/>
  <c r="O418" i="27"/>
  <c r="O417" i="27" a="1"/>
  <c r="O417" i="27" s="1"/>
  <c r="O416" i="27" a="1"/>
  <c r="O416" i="27" s="1"/>
  <c r="O415" i="27" a="1"/>
  <c r="O415" i="27" s="1"/>
  <c r="O412" i="27" a="1"/>
  <c r="O412" i="27" s="1"/>
  <c r="O411" i="27" a="1"/>
  <c r="O411" i="27" s="1"/>
  <c r="O406" i="27" a="1"/>
  <c r="O406" i="27" s="1"/>
  <c r="O405" i="27" a="1"/>
  <c r="O405" i="27"/>
  <c r="O404" i="27" a="1"/>
  <c r="O404" i="27" s="1"/>
  <c r="O403" i="27" a="1"/>
  <c r="O403" i="27" s="1"/>
  <c r="O402" i="27" a="1"/>
  <c r="O402" i="27" s="1"/>
  <c r="O401" i="27" a="1"/>
  <c r="O401" i="27" s="1"/>
  <c r="O400" i="27" a="1"/>
  <c r="O400" i="27"/>
  <c r="O317" i="27" a="1"/>
  <c r="O317" i="27" s="1"/>
  <c r="O316" i="27" a="1"/>
  <c r="O316" i="27" s="1"/>
  <c r="O313" i="27" a="1"/>
  <c r="O313" i="27" s="1"/>
  <c r="O312" i="27" a="1"/>
  <c r="O312" i="27"/>
  <c r="O311" i="27" a="1"/>
  <c r="O311" i="27"/>
  <c r="O310" i="27" a="1"/>
  <c r="O310" i="27" s="1"/>
  <c r="O309" i="27" a="1"/>
  <c r="O309" i="27" s="1"/>
  <c r="O308" i="27" a="1"/>
  <c r="O308" i="27" s="1"/>
  <c r="O307" i="27" a="1"/>
  <c r="O307" i="27" s="1"/>
  <c r="O306" i="27" a="1"/>
  <c r="O306" i="27" s="1"/>
  <c r="O305" i="27" a="1"/>
  <c r="O305" i="27" s="1"/>
  <c r="O292" i="27" a="1"/>
  <c r="O292" i="27" s="1"/>
  <c r="O291" i="27" a="1"/>
  <c r="O291" i="27"/>
  <c r="O290" i="27" a="1"/>
  <c r="O290" i="27" s="1"/>
  <c r="O289" i="27" a="1"/>
  <c r="O289" i="27" s="1"/>
  <c r="O288" i="27" a="1"/>
  <c r="O288" i="27" s="1"/>
  <c r="O282" i="27" a="1"/>
  <c r="O282" i="27"/>
  <c r="O281" i="27" a="1"/>
  <c r="O281" i="27"/>
  <c r="O280" i="27" a="1"/>
  <c r="O280" i="27" s="1"/>
  <c r="O279" i="27" a="1"/>
  <c r="O279" i="27" s="1"/>
  <c r="O278" i="27" a="1"/>
  <c r="O278" i="27"/>
  <c r="O272" i="27" a="1"/>
  <c r="O272" i="27"/>
  <c r="O271" i="27" a="1"/>
  <c r="O271" i="27" s="1"/>
  <c r="O159" i="27" a="1"/>
  <c r="O159" i="27" s="1"/>
  <c r="O158" i="27" a="1"/>
  <c r="O158" i="27" s="1"/>
  <c r="O157" i="27" a="1"/>
  <c r="O157" i="27"/>
  <c r="O156" i="27" a="1"/>
  <c r="O156" i="27" s="1"/>
  <c r="O155" i="27" a="1"/>
  <c r="O155" i="27" s="1"/>
  <c r="O154" i="27" a="1"/>
  <c r="O154" i="27"/>
  <c r="O153" i="27" a="1"/>
  <c r="O153" i="27" s="1"/>
  <c r="O152" i="27" a="1"/>
  <c r="O152" i="27" s="1"/>
  <c r="O151" i="27" a="1"/>
  <c r="O151" i="27" s="1"/>
  <c r="O150" i="27" a="1"/>
  <c r="O150" i="27"/>
  <c r="O149" i="27" a="1"/>
  <c r="O149" i="27"/>
  <c r="O148" i="27" a="1"/>
  <c r="O148" i="27" s="1"/>
  <c r="O147" i="27" a="1"/>
  <c r="O147" i="27" s="1"/>
  <c r="O146" i="27" a="1"/>
  <c r="O146" i="27"/>
  <c r="O142" i="27" a="1"/>
  <c r="O142" i="27" s="1"/>
  <c r="O141" i="27" a="1"/>
  <c r="O141" i="27" s="1"/>
  <c r="O140" i="27" a="1"/>
  <c r="O140" i="27" s="1"/>
  <c r="O139" i="27" a="1"/>
  <c r="O139" i="27" s="1"/>
  <c r="O138" i="27" a="1"/>
  <c r="O138" i="27"/>
  <c r="O137" i="27" a="1"/>
  <c r="O137" i="27" s="1"/>
  <c r="O136" i="27" a="1"/>
  <c r="O136" i="27" s="1"/>
  <c r="O135" i="27" a="1"/>
  <c r="O135" i="27"/>
  <c r="O134" i="27" a="1"/>
  <c r="O134" i="27" s="1"/>
  <c r="O133" i="27" a="1"/>
  <c r="O133" i="27" s="1"/>
  <c r="O132" i="27" a="1"/>
  <c r="O132" i="27" s="1"/>
  <c r="O131" i="27" a="1"/>
  <c r="O131" i="27" s="1"/>
  <c r="O130" i="27" a="1"/>
  <c r="O130" i="27"/>
  <c r="O129" i="27" a="1"/>
  <c r="O129" i="27" s="1"/>
  <c r="O536" i="27" a="1"/>
  <c r="O536" i="27" s="1"/>
  <c r="O533" i="27" a="1"/>
  <c r="O533" i="27"/>
  <c r="O532" i="27" a="1"/>
  <c r="O532" i="27" s="1"/>
  <c r="O531" i="27" a="1"/>
  <c r="O531" i="27" s="1"/>
  <c r="O13" i="27" a="1"/>
  <c r="O13" i="27" s="1"/>
  <c r="DK70" i="20" s="1"/>
  <c r="O530" i="27" a="1"/>
  <c r="O530" i="27" s="1"/>
  <c r="I505" i="27"/>
  <c r="I504" i="27"/>
  <c r="I467" i="27"/>
  <c r="I466" i="27"/>
  <c r="I429" i="27"/>
  <c r="I428" i="27"/>
  <c r="I361" i="27"/>
  <c r="I360" i="27"/>
  <c r="I272" i="27"/>
  <c r="I271" i="27"/>
  <c r="I482" i="27"/>
  <c r="I481" i="27"/>
  <c r="I444" i="27"/>
  <c r="I443" i="27"/>
  <c r="I406" i="27"/>
  <c r="I405" i="27"/>
  <c r="I376" i="27"/>
  <c r="I375" i="27"/>
  <c r="I338" i="27"/>
  <c r="I337" i="27"/>
  <c r="I510" i="27"/>
  <c r="AX95" i="25"/>
  <c r="AX94" i="25"/>
  <c r="AX90" i="25"/>
  <c r="AX89" i="25"/>
  <c r="AX88" i="25"/>
  <c r="AX87" i="25"/>
  <c r="AX86" i="25"/>
  <c r="AX83" i="25"/>
  <c r="AX82" i="25"/>
  <c r="AX81" i="25"/>
  <c r="AX80" i="25"/>
  <c r="AX67" i="25"/>
  <c r="AX66" i="25"/>
  <c r="AX65" i="25"/>
  <c r="AX64" i="25"/>
  <c r="AX61" i="25"/>
  <c r="AX60" i="25"/>
  <c r="AX59" i="25"/>
  <c r="AX58" i="25"/>
  <c r="AX57" i="25"/>
  <c r="AX56" i="25"/>
  <c r="AX55" i="25"/>
  <c r="AX54" i="25"/>
  <c r="AX53" i="25"/>
  <c r="AX52" i="25"/>
  <c r="AX47" i="25"/>
  <c r="AX46" i="25"/>
  <c r="AX45" i="25"/>
  <c r="AX44" i="25"/>
  <c r="AX43" i="25"/>
  <c r="AX42" i="25"/>
  <c r="AX41" i="25"/>
  <c r="AX40" i="25"/>
  <c r="AX39" i="25"/>
  <c r="AX37" i="25"/>
  <c r="AX36" i="25"/>
  <c r="AX35" i="25"/>
  <c r="AX34" i="25"/>
  <c r="AX33" i="25"/>
  <c r="AX32" i="25"/>
  <c r="AX31" i="25"/>
  <c r="AX30" i="25"/>
  <c r="AX28" i="25"/>
  <c r="AX27" i="25"/>
  <c r="AX26" i="25"/>
  <c r="AX25" i="25"/>
  <c r="AX24" i="25"/>
  <c r="AX23" i="25"/>
  <c r="AX21" i="25"/>
  <c r="AX20" i="25"/>
  <c r="AX19" i="25"/>
  <c r="AX18" i="25"/>
  <c r="AX17" i="25"/>
  <c r="AX15" i="25"/>
  <c r="AX14" i="25"/>
  <c r="AX13" i="25"/>
  <c r="AX12" i="25"/>
  <c r="AX11" i="25"/>
  <c r="AK95" i="25"/>
  <c r="AK94" i="25"/>
  <c r="AK90" i="25"/>
  <c r="AK89" i="25"/>
  <c r="AK88" i="25"/>
  <c r="AK87" i="25"/>
  <c r="AK86" i="25"/>
  <c r="AK83" i="25"/>
  <c r="AK82" i="25"/>
  <c r="AK81" i="25"/>
  <c r="AK80" i="25"/>
  <c r="AK67" i="25"/>
  <c r="AK66" i="25"/>
  <c r="AK65" i="25"/>
  <c r="AK64" i="25"/>
  <c r="AK61" i="25"/>
  <c r="AK60" i="25"/>
  <c r="AK59" i="25"/>
  <c r="AK58" i="25"/>
  <c r="AK57" i="25"/>
  <c r="AK56" i="25"/>
  <c r="AK55" i="25"/>
  <c r="AK54" i="25"/>
  <c r="AK53" i="25"/>
  <c r="AK52" i="25"/>
  <c r="AK47" i="25"/>
  <c r="AK46" i="25"/>
  <c r="AK45" i="25"/>
  <c r="AK44" i="25"/>
  <c r="AK43" i="25"/>
  <c r="AK42" i="25"/>
  <c r="AK41" i="25"/>
  <c r="AK40" i="25"/>
  <c r="AK39" i="25"/>
  <c r="AK37" i="25"/>
  <c r="AK36" i="25"/>
  <c r="AK35" i="25"/>
  <c r="AK34" i="25"/>
  <c r="AK33" i="25"/>
  <c r="AK32" i="25"/>
  <c r="AK31" i="25"/>
  <c r="AK30" i="25"/>
  <c r="AK28" i="25"/>
  <c r="AK27" i="25"/>
  <c r="AK26" i="25"/>
  <c r="AK25" i="25"/>
  <c r="AK24" i="25"/>
  <c r="AK23" i="25"/>
  <c r="AK21" i="25"/>
  <c r="AK20" i="25"/>
  <c r="AK19" i="25"/>
  <c r="AK18" i="25"/>
  <c r="AK17" i="25"/>
  <c r="AK15" i="25"/>
  <c r="AK14" i="25"/>
  <c r="AK13" i="25"/>
  <c r="AK12" i="25"/>
  <c r="AK11" i="25"/>
  <c r="X95" i="25"/>
  <c r="X94" i="25"/>
  <c r="X90" i="25"/>
  <c r="X89" i="25"/>
  <c r="X88" i="25"/>
  <c r="X87" i="25"/>
  <c r="X86" i="25"/>
  <c r="X83" i="25"/>
  <c r="X82" i="25"/>
  <c r="X81" i="25"/>
  <c r="X80" i="25"/>
  <c r="X77" i="25"/>
  <c r="X76" i="25"/>
  <c r="X75" i="25"/>
  <c r="X74" i="25"/>
  <c r="X73" i="25"/>
  <c r="X72" i="25"/>
  <c r="X71" i="25"/>
  <c r="X70" i="25"/>
  <c r="X67" i="25"/>
  <c r="X66" i="25"/>
  <c r="X65" i="25"/>
  <c r="X64" i="25"/>
  <c r="X61" i="25"/>
  <c r="X60" i="25"/>
  <c r="X59" i="25"/>
  <c r="X58" i="25"/>
  <c r="X57" i="25"/>
  <c r="X56" i="25"/>
  <c r="X55" i="25"/>
  <c r="X54" i="25"/>
  <c r="X53" i="25"/>
  <c r="X52" i="25"/>
  <c r="X47" i="25"/>
  <c r="X46" i="25"/>
  <c r="X45" i="25"/>
  <c r="X44" i="25"/>
  <c r="X43" i="25"/>
  <c r="X42" i="25"/>
  <c r="X41" i="25"/>
  <c r="X40" i="25"/>
  <c r="X39" i="25"/>
  <c r="X37" i="25"/>
  <c r="X36" i="25"/>
  <c r="X35" i="25"/>
  <c r="X34" i="25"/>
  <c r="X33" i="25"/>
  <c r="X32" i="25"/>
  <c r="X31" i="25"/>
  <c r="X30" i="25"/>
  <c r="X28" i="25"/>
  <c r="X27" i="25"/>
  <c r="X26" i="25"/>
  <c r="X25" i="25"/>
  <c r="X24" i="25"/>
  <c r="X23" i="25"/>
  <c r="X21" i="25"/>
  <c r="X20" i="25"/>
  <c r="X19" i="25"/>
  <c r="X18" i="25"/>
  <c r="X17" i="25"/>
  <c r="X15" i="25"/>
  <c r="X14" i="25"/>
  <c r="X13" i="25"/>
  <c r="X12" i="25"/>
  <c r="X11" i="25"/>
  <c r="K95" i="25"/>
  <c r="K94" i="25"/>
  <c r="K90" i="25"/>
  <c r="K89" i="25"/>
  <c r="K88" i="25"/>
  <c r="K87" i="25"/>
  <c r="K86" i="25"/>
  <c r="K83" i="25"/>
  <c r="K82" i="25"/>
  <c r="K81" i="25"/>
  <c r="K80" i="25"/>
  <c r="K67" i="25"/>
  <c r="K66" i="25"/>
  <c r="K65" i="25"/>
  <c r="K64" i="25"/>
  <c r="K61" i="25"/>
  <c r="K60" i="25"/>
  <c r="K59" i="25"/>
  <c r="K58" i="25"/>
  <c r="K57" i="25"/>
  <c r="K56" i="25"/>
  <c r="K55" i="25"/>
  <c r="K54" i="25"/>
  <c r="K53" i="25"/>
  <c r="K52" i="25"/>
  <c r="K47" i="25"/>
  <c r="K46" i="25"/>
  <c r="K45" i="25"/>
  <c r="K44" i="25"/>
  <c r="K43" i="25"/>
  <c r="K42" i="25"/>
  <c r="K41" i="25"/>
  <c r="K40" i="25"/>
  <c r="K39" i="25"/>
  <c r="K37" i="25"/>
  <c r="K36" i="25"/>
  <c r="K35" i="25"/>
  <c r="K34" i="25"/>
  <c r="K33" i="25"/>
  <c r="K32" i="25"/>
  <c r="K31" i="25"/>
  <c r="K30" i="25"/>
  <c r="K28" i="25"/>
  <c r="K27" i="25"/>
  <c r="K26" i="25"/>
  <c r="K25" i="25"/>
  <c r="K24" i="25"/>
  <c r="K23" i="25"/>
  <c r="K21" i="25"/>
  <c r="K20" i="25"/>
  <c r="K19" i="25"/>
  <c r="K18" i="25"/>
  <c r="K17" i="25"/>
  <c r="K15" i="25"/>
  <c r="K14" i="25"/>
  <c r="K13" i="25"/>
  <c r="K12" i="25"/>
  <c r="K11" i="25"/>
  <c r="I554" i="27"/>
  <c r="I551" i="27"/>
  <c r="I547" i="27"/>
  <c r="I546" i="27"/>
  <c r="I545" i="27"/>
  <c r="I544" i="27"/>
  <c r="I543" i="27"/>
  <c r="I542" i="27"/>
  <c r="I541" i="27"/>
  <c r="I529" i="27"/>
  <c r="I528" i="27"/>
  <c r="I527" i="27"/>
  <c r="I526" i="27"/>
  <c r="I519" i="27"/>
  <c r="I518" i="27"/>
  <c r="I517" i="27"/>
  <c r="I516" i="27"/>
  <c r="I515" i="27"/>
  <c r="I513" i="27"/>
  <c r="I512" i="27"/>
  <c r="I511" i="27"/>
  <c r="I501" i="27"/>
  <c r="I500" i="27"/>
  <c r="I499" i="27"/>
  <c r="I498" i="27"/>
  <c r="I497" i="27"/>
  <c r="I496" i="27"/>
  <c r="I495" i="27"/>
  <c r="I494" i="27"/>
  <c r="I493" i="27"/>
  <c r="I492" i="27"/>
  <c r="I491" i="27"/>
  <c r="I488" i="27"/>
  <c r="I487" i="27"/>
  <c r="I480" i="27"/>
  <c r="I479" i="27"/>
  <c r="I478" i="27"/>
  <c r="I477" i="27"/>
  <c r="I476" i="27"/>
  <c r="I475" i="27"/>
  <c r="I474" i="27"/>
  <c r="I473" i="27"/>
  <c r="I463" i="27"/>
  <c r="I462" i="27"/>
  <c r="I461" i="27"/>
  <c r="I460" i="27"/>
  <c r="I459" i="27"/>
  <c r="I458" i="27"/>
  <c r="I457" i="27"/>
  <c r="I456" i="27"/>
  <c r="I455" i="27"/>
  <c r="I454" i="27"/>
  <c r="I453" i="27"/>
  <c r="I450" i="27"/>
  <c r="I449" i="27"/>
  <c r="I442" i="27"/>
  <c r="I441" i="27"/>
  <c r="I440" i="27"/>
  <c r="I439" i="27"/>
  <c r="I438" i="27"/>
  <c r="I437" i="27"/>
  <c r="I436" i="27"/>
  <c r="I435" i="27"/>
  <c r="I425" i="27"/>
  <c r="I424" i="27"/>
  <c r="I423" i="27"/>
  <c r="I422" i="27"/>
  <c r="I421" i="27"/>
  <c r="I420" i="27"/>
  <c r="I419" i="27"/>
  <c r="I418" i="27"/>
  <c r="I417" i="27"/>
  <c r="I416" i="27"/>
  <c r="I415" i="27"/>
  <c r="I412" i="27"/>
  <c r="I411" i="27"/>
  <c r="I404" i="27"/>
  <c r="I403" i="27"/>
  <c r="I402" i="27"/>
  <c r="I401" i="27"/>
  <c r="I400" i="27"/>
  <c r="I399" i="27"/>
  <c r="I398" i="27"/>
  <c r="I397" i="27"/>
  <c r="I391" i="27"/>
  <c r="I390" i="27"/>
  <c r="I387" i="27"/>
  <c r="I386" i="27"/>
  <c r="I385" i="27"/>
  <c r="I384" i="27"/>
  <c r="I381" i="27"/>
  <c r="I374" i="27"/>
  <c r="I373" i="27"/>
  <c r="I372" i="27"/>
  <c r="I371" i="27"/>
  <c r="I370" i="27"/>
  <c r="I369" i="27"/>
  <c r="I368" i="27"/>
  <c r="I367" i="27"/>
  <c r="I357" i="27"/>
  <c r="I356" i="27"/>
  <c r="I355" i="27"/>
  <c r="I354" i="27"/>
  <c r="I353" i="27"/>
  <c r="I352" i="27"/>
  <c r="I351" i="27"/>
  <c r="I350" i="27"/>
  <c r="I349" i="27"/>
  <c r="I348" i="27"/>
  <c r="I347" i="27"/>
  <c r="I344" i="27"/>
  <c r="I343" i="27"/>
  <c r="I336" i="27"/>
  <c r="I335" i="27"/>
  <c r="I334" i="27"/>
  <c r="I333" i="27"/>
  <c r="I332" i="27"/>
  <c r="I331" i="27"/>
  <c r="I330" i="27"/>
  <c r="I329" i="27"/>
  <c r="T221" i="27" a="1"/>
  <c r="T221" i="27" s="1"/>
  <c r="I221" i="27"/>
  <c r="T220" i="27" a="1"/>
  <c r="T220" i="27"/>
  <c r="I220" i="27"/>
  <c r="T202" i="27" a="1"/>
  <c r="T202" i="27" s="1"/>
  <c r="I202" i="27"/>
  <c r="T187" i="27" a="1"/>
  <c r="T187" i="27" s="1"/>
  <c r="I187" i="27"/>
  <c r="T181" i="27" a="1"/>
  <c r="T181" i="27" s="1"/>
  <c r="I181" i="27"/>
  <c r="T180" i="27" a="1"/>
  <c r="T180" i="27" s="1"/>
  <c r="I180" i="27"/>
  <c r="T179" i="27" a="1"/>
  <c r="T179" i="27" s="1"/>
  <c r="I179" i="27"/>
  <c r="T178" i="27" a="1"/>
  <c r="T178" i="27" s="1"/>
  <c r="I178" i="27"/>
  <c r="T177" i="27" a="1"/>
  <c r="T177" i="27"/>
  <c r="I177" i="27"/>
  <c r="I176" i="27"/>
  <c r="I159" i="27"/>
  <c r="I158" i="27"/>
  <c r="I157" i="27"/>
  <c r="I156" i="27"/>
  <c r="I155" i="27"/>
  <c r="I154" i="27"/>
  <c r="I153" i="27"/>
  <c r="I152" i="27"/>
  <c r="I151" i="27"/>
  <c r="I150" i="27"/>
  <c r="I149" i="27"/>
  <c r="I148" i="27"/>
  <c r="I147" i="27"/>
  <c r="I146" i="27"/>
  <c r="I142" i="27"/>
  <c r="I141" i="27"/>
  <c r="I140" i="27"/>
  <c r="I139" i="27"/>
  <c r="I138" i="27"/>
  <c r="I137" i="27"/>
  <c r="I136" i="27"/>
  <c r="I135" i="27"/>
  <c r="I114" i="27"/>
  <c r="I100" i="27"/>
  <c r="I134" i="27"/>
  <c r="I133" i="27"/>
  <c r="I99" i="27"/>
  <c r="I98" i="27"/>
  <c r="I97" i="27"/>
  <c r="I96" i="27"/>
  <c r="I95" i="27"/>
  <c r="I94" i="27"/>
  <c r="I132" i="27"/>
  <c r="I131" i="27"/>
  <c r="I93" i="27"/>
  <c r="I92" i="27"/>
  <c r="I91" i="27"/>
  <c r="I130" i="27"/>
  <c r="I129" i="27"/>
  <c r="I90" i="27"/>
  <c r="I89" i="27"/>
  <c r="I88" i="27"/>
  <c r="I87" i="27"/>
  <c r="I86" i="27"/>
  <c r="I85" i="27"/>
  <c r="I84" i="27"/>
  <c r="I83" i="27"/>
  <c r="I82" i="27"/>
  <c r="I74" i="27"/>
  <c r="I81" i="27"/>
  <c r="I80" i="27"/>
  <c r="I52" i="27"/>
  <c r="I53" i="27"/>
  <c r="I54" i="27"/>
  <c r="I55" i="27"/>
  <c r="I56" i="27"/>
  <c r="I57" i="27"/>
  <c r="I13" i="27"/>
  <c r="DS87" i="20" s="1"/>
  <c r="I530" i="27"/>
  <c r="I58" i="27"/>
  <c r="H12" i="16"/>
  <c r="H13" i="16"/>
  <c r="H14" i="16"/>
  <c r="H15" i="16"/>
  <c r="H16" i="16"/>
  <c r="H17" i="16"/>
  <c r="H20" i="16"/>
  <c r="H21" i="16"/>
  <c r="H22" i="16"/>
  <c r="H23" i="16"/>
  <c r="H24" i="16"/>
  <c r="H25" i="16"/>
  <c r="H26" i="16"/>
  <c r="H27" i="16"/>
  <c r="H30" i="16"/>
  <c r="H31" i="16"/>
  <c r="H32" i="16"/>
  <c r="H33" i="16"/>
  <c r="H34" i="16"/>
  <c r="H35" i="16"/>
  <c r="H36" i="16"/>
  <c r="H37" i="16"/>
  <c r="H40" i="16"/>
  <c r="H41" i="16"/>
  <c r="H42" i="16"/>
  <c r="H43" i="16"/>
  <c r="H44" i="16"/>
  <c r="H45" i="16"/>
  <c r="H46" i="16"/>
  <c r="H47" i="16"/>
  <c r="H50" i="16"/>
  <c r="H51" i="16"/>
  <c r="H52" i="16"/>
  <c r="H53" i="16"/>
  <c r="H54" i="16"/>
  <c r="H55" i="16"/>
  <c r="H56" i="16"/>
  <c r="H57" i="16"/>
  <c r="H58" i="16"/>
  <c r="H59" i="16"/>
  <c r="H62" i="16"/>
  <c r="H63" i="16"/>
  <c r="H64" i="16"/>
  <c r="H65" i="16"/>
  <c r="H66" i="16"/>
  <c r="H67" i="16"/>
  <c r="H68" i="16"/>
  <c r="H69" i="16"/>
  <c r="H72" i="16"/>
  <c r="H73" i="16"/>
  <c r="H74" i="16"/>
  <c r="H75" i="16"/>
  <c r="H76" i="16"/>
  <c r="H77" i="16"/>
  <c r="H78" i="16"/>
  <c r="H79" i="16"/>
  <c r="H82" i="16"/>
  <c r="H83" i="16"/>
  <c r="H84" i="16"/>
  <c r="H85" i="16"/>
  <c r="H86" i="16"/>
  <c r="H87" i="16"/>
  <c r="H88" i="16"/>
  <c r="H89" i="16"/>
  <c r="H94" i="16"/>
  <c r="H95" i="16"/>
  <c r="H96" i="16"/>
  <c r="H97" i="16"/>
  <c r="H98" i="16"/>
  <c r="H99" i="16"/>
  <c r="H100" i="16"/>
  <c r="H101" i="16"/>
  <c r="H102" i="16"/>
  <c r="H105" i="16"/>
  <c r="H106" i="16"/>
  <c r="H107" i="16"/>
  <c r="H113" i="16"/>
  <c r="H114" i="16"/>
  <c r="H115" i="16"/>
  <c r="H116" i="16"/>
  <c r="H117" i="16"/>
  <c r="H120" i="16"/>
  <c r="H121" i="16"/>
  <c r="BC71" i="20"/>
  <c r="R89" i="16" a="1"/>
  <c r="R89" i="16"/>
  <c r="M89" i="16" a="1"/>
  <c r="M89" i="16"/>
  <c r="R88" i="16" a="1"/>
  <c r="R88" i="16" s="1"/>
  <c r="M88" i="16" a="1"/>
  <c r="M88" i="16" s="1"/>
  <c r="R87" i="16" a="1"/>
  <c r="R87" i="16"/>
  <c r="M87" i="16" a="1"/>
  <c r="M87" i="16"/>
  <c r="R86" i="16" a="1"/>
  <c r="R86" i="16" s="1"/>
  <c r="M86" i="16" a="1"/>
  <c r="M86" i="16" s="1"/>
  <c r="R85" i="16" a="1"/>
  <c r="R85" i="16"/>
  <c r="M85" i="16" a="1"/>
  <c r="M85" i="16"/>
  <c r="R84" i="16" a="1"/>
  <c r="R84" i="16" s="1"/>
  <c r="M84" i="16" a="1"/>
  <c r="M84" i="16" s="1"/>
  <c r="R83" i="16" a="1"/>
  <c r="R83" i="16"/>
  <c r="M83" i="16" a="1"/>
  <c r="M83" i="16"/>
  <c r="R82" i="16" a="1"/>
  <c r="R82" i="16" s="1"/>
  <c r="M82" i="16" a="1"/>
  <c r="M82" i="16" s="1"/>
  <c r="R79" i="16" a="1"/>
  <c r="R79" i="16"/>
  <c r="M79" i="16" a="1"/>
  <c r="M79" i="16" s="1"/>
  <c r="R78" i="16" a="1"/>
  <c r="R78" i="16" s="1"/>
  <c r="M78" i="16" a="1"/>
  <c r="M78" i="16" s="1"/>
  <c r="R77" i="16" a="1"/>
  <c r="R77" i="16"/>
  <c r="M77" i="16" a="1"/>
  <c r="M77" i="16"/>
  <c r="R76" i="16" a="1"/>
  <c r="R76" i="16" s="1"/>
  <c r="M76" i="16" a="1"/>
  <c r="M76" i="16" s="1"/>
  <c r="R75" i="16" a="1"/>
  <c r="R75" i="16"/>
  <c r="M75" i="16" a="1"/>
  <c r="M75" i="16"/>
  <c r="R74" i="16" a="1"/>
  <c r="R74" i="16" s="1"/>
  <c r="M74" i="16" a="1"/>
  <c r="M74" i="16" s="1"/>
  <c r="R73" i="16" a="1"/>
  <c r="R73" i="16"/>
  <c r="M73" i="16" a="1"/>
  <c r="M73" i="16"/>
  <c r="R72" i="16" a="1"/>
  <c r="R72" i="16" s="1"/>
  <c r="M72" i="16" a="1"/>
  <c r="M72" i="16" s="1"/>
  <c r="EU82" i="20" s="1"/>
  <c r="R69" i="16" a="1"/>
  <c r="R69" i="16"/>
  <c r="M69" i="16" a="1"/>
  <c r="M69" i="16" s="1"/>
  <c r="R68" i="16" a="1"/>
  <c r="R68" i="16" s="1"/>
  <c r="M68" i="16" a="1"/>
  <c r="M68" i="16" s="1"/>
  <c r="R67" i="16" a="1"/>
  <c r="R67" i="16"/>
  <c r="M67" i="16" a="1"/>
  <c r="M67" i="16" s="1"/>
  <c r="R66" i="16" a="1"/>
  <c r="R66" i="16" s="1"/>
  <c r="M66" i="16" a="1"/>
  <c r="M66" i="16" s="1"/>
  <c r="R65" i="16" a="1"/>
  <c r="R65" i="16"/>
  <c r="M65" i="16" a="1"/>
  <c r="M65" i="16" s="1"/>
  <c r="R64" i="16" a="1"/>
  <c r="R64" i="16" s="1"/>
  <c r="M64" i="16" a="1"/>
  <c r="M64" i="16" s="1"/>
  <c r="R63" i="16" a="1"/>
  <c r="R63" i="16"/>
  <c r="M63" i="16" a="1"/>
  <c r="M63" i="16"/>
  <c r="R62" i="16" a="1"/>
  <c r="R62" i="16" s="1"/>
  <c r="M62" i="16" a="1"/>
  <c r="M62" i="16" s="1"/>
  <c r="R59" i="16" a="1"/>
  <c r="R59" i="16"/>
  <c r="M59" i="16" a="1"/>
  <c r="M59" i="16" s="1"/>
  <c r="R58" i="16" a="1"/>
  <c r="R58" i="16" s="1"/>
  <c r="M58" i="16" a="1"/>
  <c r="M58" i="16" s="1"/>
  <c r="R57" i="16" a="1"/>
  <c r="R57" i="16"/>
  <c r="M57" i="16" a="1"/>
  <c r="M57" i="16" s="1"/>
  <c r="R56" i="16" a="1"/>
  <c r="R56" i="16" s="1"/>
  <c r="M56" i="16" a="1"/>
  <c r="M56" i="16" s="1"/>
  <c r="R55" i="16" a="1"/>
  <c r="R55" i="16"/>
  <c r="M55" i="16" a="1"/>
  <c r="M55" i="16" s="1"/>
  <c r="R54" i="16" a="1"/>
  <c r="R54" i="16" s="1"/>
  <c r="M54" i="16" a="1"/>
  <c r="M54" i="16" s="1"/>
  <c r="R53" i="16" a="1"/>
  <c r="R53" i="16"/>
  <c r="M53" i="16" a="1"/>
  <c r="M53" i="16"/>
  <c r="R52" i="16" a="1"/>
  <c r="R52" i="16" s="1"/>
  <c r="M52" i="16" a="1"/>
  <c r="M52" i="16" s="1"/>
  <c r="R51" i="16" a="1"/>
  <c r="R51" i="16"/>
  <c r="M51" i="16" a="1"/>
  <c r="M51" i="16" s="1"/>
  <c r="R50" i="16" a="1"/>
  <c r="R50" i="16" s="1"/>
  <c r="M50" i="16" a="1"/>
  <c r="M50" i="16" s="1"/>
  <c r="M121" i="16" a="1"/>
  <c r="M121" i="16"/>
  <c r="M117" i="16" a="1"/>
  <c r="M117" i="16" s="1"/>
  <c r="M116" i="16" a="1"/>
  <c r="M116" i="16" s="1"/>
  <c r="M115" i="16" a="1"/>
  <c r="M115" i="16" s="1"/>
  <c r="M120" i="16" a="1"/>
  <c r="M120" i="16"/>
  <c r="M114" i="16" a="1"/>
  <c r="M114" i="16"/>
  <c r="EU93" i="20" s="1"/>
  <c r="M113" i="16" a="1"/>
  <c r="M113" i="16" s="1"/>
  <c r="AY85" i="25"/>
  <c r="AW85" i="25"/>
  <c r="AL85" i="25"/>
  <c r="AY79" i="25"/>
  <c r="AW79" i="25"/>
  <c r="AL79" i="25"/>
  <c r="AY69" i="25"/>
  <c r="AW69" i="25"/>
  <c r="AL69" i="25"/>
  <c r="AY63" i="25"/>
  <c r="AW63" i="25"/>
  <c r="AL63" i="25"/>
  <c r="AY51" i="25"/>
  <c r="AW51" i="25"/>
  <c r="DX83" i="20"/>
  <c r="AX77" i="25"/>
  <c r="DX82" i="20"/>
  <c r="AX76" i="25"/>
  <c r="DX81" i="20"/>
  <c r="AX75" i="25"/>
  <c r="DX80" i="20"/>
  <c r="AX74" i="25"/>
  <c r="DX79" i="20"/>
  <c r="AX73" i="25"/>
  <c r="DX78" i="20"/>
  <c r="AX72" i="25"/>
  <c r="DX77" i="20"/>
  <c r="AX71" i="25"/>
  <c r="DX76" i="20"/>
  <c r="AX70" i="25"/>
  <c r="CN83" i="20"/>
  <c r="AK77" i="25"/>
  <c r="CN82" i="20"/>
  <c r="AK76" i="25"/>
  <c r="CN81" i="20"/>
  <c r="CN80" i="20"/>
  <c r="AK74" i="25"/>
  <c r="CN79" i="20"/>
  <c r="AK73" i="25"/>
  <c r="CN78" i="20"/>
  <c r="CN77" i="20"/>
  <c r="AK71" i="25"/>
  <c r="CN76" i="20"/>
  <c r="AK70" i="25"/>
  <c r="V83" i="20"/>
  <c r="V82" i="20"/>
  <c r="K76" i="25"/>
  <c r="V81" i="20"/>
  <c r="K75" i="25"/>
  <c r="V80" i="20"/>
  <c r="V79" i="20"/>
  <c r="K73" i="25"/>
  <c r="V78" i="20"/>
  <c r="K72" i="25"/>
  <c r="V77" i="20"/>
  <c r="K71" i="25"/>
  <c r="V76" i="20"/>
  <c r="K70" i="25"/>
  <c r="BC83" i="20"/>
  <c r="BC82" i="20"/>
  <c r="BC81" i="20"/>
  <c r="BC80" i="20"/>
  <c r="S101" i="20"/>
  <c r="R101" i="20"/>
  <c r="Q101" i="20"/>
  <c r="P101" i="20"/>
  <c r="O101" i="20"/>
  <c r="L101" i="20"/>
  <c r="K101" i="20"/>
  <c r="J101" i="20"/>
  <c r="H101" i="20"/>
  <c r="F101" i="20"/>
  <c r="H95" i="25"/>
  <c r="H94" i="25"/>
  <c r="H92" i="25"/>
  <c r="G95" i="25"/>
  <c r="G94" i="25"/>
  <c r="G92" i="25"/>
  <c r="F67" i="25"/>
  <c r="F66" i="25"/>
  <c r="F65" i="25"/>
  <c r="F64" i="25"/>
  <c r="F61" i="25"/>
  <c r="F60" i="25"/>
  <c r="F59" i="25"/>
  <c r="F58" i="25"/>
  <c r="F57" i="25"/>
  <c r="F56" i="25"/>
  <c r="F55" i="25"/>
  <c r="F54" i="25"/>
  <c r="F53" i="25"/>
  <c r="F52" i="25"/>
  <c r="BI95" i="25"/>
  <c r="BI94" i="25"/>
  <c r="BH95" i="25"/>
  <c r="BH94" i="25"/>
  <c r="BG95" i="25"/>
  <c r="BG94" i="25"/>
  <c r="BF95" i="25"/>
  <c r="BF94" i="25"/>
  <c r="BE95" i="25"/>
  <c r="BE94" i="25"/>
  <c r="BC95" i="25"/>
  <c r="BC94" i="25"/>
  <c r="BB95" i="25"/>
  <c r="BB94" i="25"/>
  <c r="BA95" i="25"/>
  <c r="BA94" i="25"/>
  <c r="AV95" i="25"/>
  <c r="AV94" i="25"/>
  <c r="AU95" i="25"/>
  <c r="AU94" i="25"/>
  <c r="AT95" i="25"/>
  <c r="AT94" i="25"/>
  <c r="AS95" i="25"/>
  <c r="AS94" i="25"/>
  <c r="AR95" i="25"/>
  <c r="AR94" i="25"/>
  <c r="AP95" i="25"/>
  <c r="AP94" i="25"/>
  <c r="AO95" i="25"/>
  <c r="AO94" i="25"/>
  <c r="AN95" i="25"/>
  <c r="AN94" i="25"/>
  <c r="AI95" i="25"/>
  <c r="AI94" i="25"/>
  <c r="AH95" i="25"/>
  <c r="AH94" i="25"/>
  <c r="AG95" i="25"/>
  <c r="AG94" i="25"/>
  <c r="AF95" i="25"/>
  <c r="AF94" i="25"/>
  <c r="AE95" i="25"/>
  <c r="AE94" i="25"/>
  <c r="AC95" i="25"/>
  <c r="AC94" i="25"/>
  <c r="AB95" i="25"/>
  <c r="AB94" i="25"/>
  <c r="AA95" i="25"/>
  <c r="AA94" i="25"/>
  <c r="V95" i="25"/>
  <c r="V94" i="25"/>
  <c r="U95" i="25"/>
  <c r="U94" i="25"/>
  <c r="T95" i="25"/>
  <c r="T94" i="25"/>
  <c r="S95" i="25"/>
  <c r="S94" i="25"/>
  <c r="R95" i="25"/>
  <c r="R94" i="25"/>
  <c r="P95" i="25"/>
  <c r="P94" i="25"/>
  <c r="O95" i="25"/>
  <c r="O94" i="25"/>
  <c r="N95" i="25"/>
  <c r="N94" i="25"/>
  <c r="BI47" i="25"/>
  <c r="BH47" i="25"/>
  <c r="BG47" i="25"/>
  <c r="BF47" i="25"/>
  <c r="BE47" i="25"/>
  <c r="BD47" i="25"/>
  <c r="BC47" i="25"/>
  <c r="BB47" i="25"/>
  <c r="BA47" i="25"/>
  <c r="AZ47" i="25"/>
  <c r="AV47" i="25"/>
  <c r="AU47" i="25"/>
  <c r="AT47" i="25"/>
  <c r="AS47" i="25"/>
  <c r="AR47" i="25"/>
  <c r="AQ47" i="25"/>
  <c r="AP47" i="25"/>
  <c r="AO47" i="25"/>
  <c r="AN47" i="25"/>
  <c r="AM47" i="25"/>
  <c r="AI47" i="25"/>
  <c r="AH47" i="25"/>
  <c r="AG47" i="25"/>
  <c r="AF47" i="25"/>
  <c r="AE47" i="25"/>
  <c r="AD47" i="25"/>
  <c r="AC47" i="25"/>
  <c r="AB47" i="25"/>
  <c r="AA47" i="25"/>
  <c r="Z47" i="25"/>
  <c r="V47" i="25"/>
  <c r="U47" i="25"/>
  <c r="T47" i="25"/>
  <c r="S47" i="25"/>
  <c r="R47" i="25"/>
  <c r="Q47" i="25"/>
  <c r="P47" i="25"/>
  <c r="O47" i="25"/>
  <c r="N47" i="25"/>
  <c r="M47" i="25"/>
  <c r="BI46" i="25"/>
  <c r="BH46" i="25"/>
  <c r="BG46" i="25"/>
  <c r="BF46" i="25"/>
  <c r="BE46" i="25"/>
  <c r="BD46" i="25"/>
  <c r="BC46" i="25"/>
  <c r="BB46" i="25"/>
  <c r="BA46" i="25"/>
  <c r="AZ46" i="25"/>
  <c r="AV46" i="25"/>
  <c r="AU46" i="25"/>
  <c r="AT46" i="25"/>
  <c r="AS46" i="25"/>
  <c r="AR46" i="25"/>
  <c r="AQ46" i="25"/>
  <c r="AP46" i="25"/>
  <c r="AO46" i="25"/>
  <c r="AN46" i="25"/>
  <c r="AM46" i="25"/>
  <c r="AI46" i="25"/>
  <c r="AH46" i="25"/>
  <c r="AG46" i="25"/>
  <c r="AF46" i="25"/>
  <c r="AE46" i="25"/>
  <c r="AD46" i="25"/>
  <c r="AC46" i="25"/>
  <c r="AB46" i="25"/>
  <c r="AA46" i="25"/>
  <c r="Z46" i="25"/>
  <c r="V46" i="25"/>
  <c r="U46" i="25"/>
  <c r="T46" i="25"/>
  <c r="S46" i="25"/>
  <c r="R46" i="25"/>
  <c r="Q46" i="25"/>
  <c r="P46" i="25"/>
  <c r="O46" i="25"/>
  <c r="N46" i="25"/>
  <c r="M46" i="25"/>
  <c r="BI45" i="25"/>
  <c r="BH45" i="25"/>
  <c r="BG45" i="25"/>
  <c r="BF45" i="25"/>
  <c r="BE45" i="25"/>
  <c r="BD45" i="25"/>
  <c r="BC45" i="25"/>
  <c r="BB45" i="25"/>
  <c r="BA45" i="25"/>
  <c r="AZ45" i="25"/>
  <c r="AV45" i="25"/>
  <c r="AU45" i="25"/>
  <c r="AT45" i="25"/>
  <c r="AS45" i="25"/>
  <c r="AR45" i="25"/>
  <c r="AQ45" i="25"/>
  <c r="AP45" i="25"/>
  <c r="AO45" i="25"/>
  <c r="AN45" i="25"/>
  <c r="AM45" i="25"/>
  <c r="AI45" i="25"/>
  <c r="AH45" i="25"/>
  <c r="AG45" i="25"/>
  <c r="AF45" i="25"/>
  <c r="AE45" i="25"/>
  <c r="AD45" i="25"/>
  <c r="AC45" i="25"/>
  <c r="AB45" i="25"/>
  <c r="AA45" i="25"/>
  <c r="Z45" i="25"/>
  <c r="V45" i="25"/>
  <c r="U45" i="25"/>
  <c r="T45" i="25"/>
  <c r="S45" i="25"/>
  <c r="R45" i="25"/>
  <c r="Q45" i="25"/>
  <c r="P45" i="25"/>
  <c r="O45" i="25"/>
  <c r="N45" i="25"/>
  <c r="M45" i="25"/>
  <c r="BI44" i="25"/>
  <c r="BH44" i="25"/>
  <c r="BG44" i="25"/>
  <c r="BF44" i="25"/>
  <c r="BE44" i="25"/>
  <c r="BD44" i="25"/>
  <c r="BC44" i="25"/>
  <c r="BB44" i="25"/>
  <c r="BA44" i="25"/>
  <c r="AZ44" i="25"/>
  <c r="AV44" i="25"/>
  <c r="AU44" i="25"/>
  <c r="AT44" i="25"/>
  <c r="AS44" i="25"/>
  <c r="AR44" i="25"/>
  <c r="AQ44" i="25"/>
  <c r="AP44" i="25"/>
  <c r="AO44" i="25"/>
  <c r="AN44" i="25"/>
  <c r="AM44" i="25"/>
  <c r="AI44" i="25"/>
  <c r="AH44" i="25"/>
  <c r="AG44" i="25"/>
  <c r="AF44" i="25"/>
  <c r="AE44" i="25"/>
  <c r="AD44" i="25"/>
  <c r="AC44" i="25"/>
  <c r="AB44" i="25"/>
  <c r="AA44" i="25"/>
  <c r="Z44" i="25"/>
  <c r="V44" i="25"/>
  <c r="U44" i="25"/>
  <c r="T44" i="25"/>
  <c r="S44" i="25"/>
  <c r="R44" i="25"/>
  <c r="Q44" i="25"/>
  <c r="P44" i="25"/>
  <c r="O44" i="25"/>
  <c r="N44" i="25"/>
  <c r="M44" i="25"/>
  <c r="BI43" i="25"/>
  <c r="BH43" i="25"/>
  <c r="BG43" i="25"/>
  <c r="BF43" i="25"/>
  <c r="BE43" i="25"/>
  <c r="BD43" i="25"/>
  <c r="BC43" i="25"/>
  <c r="BB43" i="25"/>
  <c r="BA43" i="25"/>
  <c r="AZ43" i="25"/>
  <c r="AV43" i="25"/>
  <c r="AU43" i="25"/>
  <c r="AT43" i="25"/>
  <c r="AS43" i="25"/>
  <c r="AR43" i="25"/>
  <c r="AQ43" i="25"/>
  <c r="AP43" i="25"/>
  <c r="AO43" i="25"/>
  <c r="AN43" i="25"/>
  <c r="AM43" i="25"/>
  <c r="AI43" i="25"/>
  <c r="AH43" i="25"/>
  <c r="AG43" i="25"/>
  <c r="AF43" i="25"/>
  <c r="AE43" i="25"/>
  <c r="AD43" i="25"/>
  <c r="AC43" i="25"/>
  <c r="AB43" i="25"/>
  <c r="AA43" i="25"/>
  <c r="Z43" i="25"/>
  <c r="V43" i="25"/>
  <c r="U43" i="25"/>
  <c r="T43" i="25"/>
  <c r="S43" i="25"/>
  <c r="R43" i="25"/>
  <c r="Q43" i="25"/>
  <c r="P43" i="25"/>
  <c r="O43" i="25"/>
  <c r="N43" i="25"/>
  <c r="M43" i="25"/>
  <c r="BI42" i="25"/>
  <c r="BH42" i="25"/>
  <c r="BG42" i="25"/>
  <c r="BF42" i="25"/>
  <c r="BE42" i="25"/>
  <c r="BD42" i="25"/>
  <c r="BC42" i="25"/>
  <c r="BB42" i="25"/>
  <c r="BA42" i="25"/>
  <c r="AZ42" i="25"/>
  <c r="AV42" i="25"/>
  <c r="AU42" i="25"/>
  <c r="AT42" i="25"/>
  <c r="AS42" i="25"/>
  <c r="AR42" i="25"/>
  <c r="AQ42" i="25"/>
  <c r="AP42" i="25"/>
  <c r="AO42" i="25"/>
  <c r="AN42" i="25"/>
  <c r="AM42" i="25"/>
  <c r="AI42" i="25"/>
  <c r="AH42" i="25"/>
  <c r="AG42" i="25"/>
  <c r="AF42" i="25"/>
  <c r="AE42" i="25"/>
  <c r="AD42" i="25"/>
  <c r="AC42" i="25"/>
  <c r="AB42" i="25"/>
  <c r="AA42" i="25"/>
  <c r="Z42" i="25"/>
  <c r="V42" i="25"/>
  <c r="U42" i="25"/>
  <c r="T42" i="25"/>
  <c r="S42" i="25"/>
  <c r="R42" i="25"/>
  <c r="Q42" i="25"/>
  <c r="P42" i="25"/>
  <c r="O42" i="25"/>
  <c r="N42" i="25"/>
  <c r="M42" i="25"/>
  <c r="BI41" i="25"/>
  <c r="BH41" i="25"/>
  <c r="BG41" i="25"/>
  <c r="BF41" i="25"/>
  <c r="BE41" i="25"/>
  <c r="BD41" i="25"/>
  <c r="BC41" i="25"/>
  <c r="BB41" i="25"/>
  <c r="BA41" i="25"/>
  <c r="AZ41" i="25"/>
  <c r="AV41" i="25"/>
  <c r="AU41" i="25"/>
  <c r="AT41" i="25"/>
  <c r="AS41" i="25"/>
  <c r="AR41" i="25"/>
  <c r="AQ41" i="25"/>
  <c r="AP41" i="25"/>
  <c r="AO41" i="25"/>
  <c r="AN41" i="25"/>
  <c r="AM41" i="25"/>
  <c r="AI41" i="25"/>
  <c r="AH41" i="25"/>
  <c r="AG41" i="25"/>
  <c r="AF41" i="25"/>
  <c r="AE41" i="25"/>
  <c r="AD41" i="25"/>
  <c r="AC41" i="25"/>
  <c r="AB41" i="25"/>
  <c r="AA41" i="25"/>
  <c r="Z41" i="25"/>
  <c r="V41" i="25"/>
  <c r="U41" i="25"/>
  <c r="T41" i="25"/>
  <c r="S41" i="25"/>
  <c r="R41" i="25"/>
  <c r="Q41" i="25"/>
  <c r="P41" i="25"/>
  <c r="O41" i="25"/>
  <c r="N41" i="25"/>
  <c r="M41" i="25"/>
  <c r="BI40" i="25"/>
  <c r="BH40" i="25"/>
  <c r="BG40" i="25"/>
  <c r="BF40" i="25"/>
  <c r="BE40" i="25"/>
  <c r="BD40" i="25"/>
  <c r="BC40" i="25"/>
  <c r="BB40" i="25"/>
  <c r="BA40" i="25"/>
  <c r="AZ40" i="25"/>
  <c r="AV40" i="25"/>
  <c r="AU40" i="25"/>
  <c r="AT40" i="25"/>
  <c r="AS40" i="25"/>
  <c r="AR40" i="25"/>
  <c r="AQ40" i="25"/>
  <c r="AP40" i="25"/>
  <c r="AO40" i="25"/>
  <c r="AN40" i="25"/>
  <c r="AM40" i="25"/>
  <c r="AI40" i="25"/>
  <c r="AH40" i="25"/>
  <c r="AG40" i="25"/>
  <c r="AF40" i="25"/>
  <c r="AE40" i="25"/>
  <c r="AD40" i="25"/>
  <c r="AC40" i="25"/>
  <c r="AB40" i="25"/>
  <c r="AA40" i="25"/>
  <c r="Z40" i="25"/>
  <c r="V40" i="25"/>
  <c r="U40" i="25"/>
  <c r="T40" i="25"/>
  <c r="S40" i="25"/>
  <c r="R40" i="25"/>
  <c r="Q40" i="25"/>
  <c r="P40" i="25"/>
  <c r="O40" i="25"/>
  <c r="N40" i="25"/>
  <c r="M40" i="25"/>
  <c r="BA39" i="25"/>
  <c r="AZ39" i="25"/>
  <c r="AI39" i="25"/>
  <c r="AH39" i="25"/>
  <c r="AG39" i="25"/>
  <c r="AF39" i="25"/>
  <c r="AE39" i="25"/>
  <c r="N39" i="25"/>
  <c r="M39" i="25"/>
  <c r="BI37" i="25"/>
  <c r="BH37" i="25"/>
  <c r="BG37" i="25"/>
  <c r="BF37" i="25"/>
  <c r="BE37" i="25"/>
  <c r="BD37" i="25"/>
  <c r="BC37" i="25"/>
  <c r="BB37" i="25"/>
  <c r="BA37" i="25"/>
  <c r="AZ37" i="25"/>
  <c r="AV37" i="25"/>
  <c r="AU37" i="25"/>
  <c r="AT37" i="25"/>
  <c r="AS37" i="25"/>
  <c r="AR37" i="25"/>
  <c r="AQ37" i="25"/>
  <c r="AP37" i="25"/>
  <c r="AO37" i="25"/>
  <c r="AN37" i="25"/>
  <c r="AM37" i="25"/>
  <c r="AI37" i="25"/>
  <c r="AH37" i="25"/>
  <c r="AG37" i="25"/>
  <c r="AF37" i="25"/>
  <c r="AE37" i="25"/>
  <c r="AD37" i="25"/>
  <c r="AC37" i="25"/>
  <c r="AB37" i="25"/>
  <c r="AA37" i="25"/>
  <c r="Z37" i="25"/>
  <c r="V37" i="25"/>
  <c r="U37" i="25"/>
  <c r="T37" i="25"/>
  <c r="S37" i="25"/>
  <c r="R37" i="25"/>
  <c r="Q37" i="25"/>
  <c r="P37" i="25"/>
  <c r="O37" i="25"/>
  <c r="N37" i="25"/>
  <c r="M37" i="25"/>
  <c r="BI36" i="25"/>
  <c r="BH36" i="25"/>
  <c r="BG36" i="25"/>
  <c r="BF36" i="25"/>
  <c r="BE36" i="25"/>
  <c r="BD36" i="25"/>
  <c r="BC36" i="25"/>
  <c r="BB36" i="25"/>
  <c r="BA36" i="25"/>
  <c r="AZ36" i="25"/>
  <c r="AV36" i="25"/>
  <c r="AU36" i="25"/>
  <c r="AT36" i="25"/>
  <c r="AS36" i="25"/>
  <c r="AR36" i="25"/>
  <c r="AQ36" i="25"/>
  <c r="AP36" i="25"/>
  <c r="AO36" i="25"/>
  <c r="AN36" i="25"/>
  <c r="AM36" i="25"/>
  <c r="AI36" i="25"/>
  <c r="AH36" i="25"/>
  <c r="AG36" i="25"/>
  <c r="AF36" i="25"/>
  <c r="AE36" i="25"/>
  <c r="AD36" i="25"/>
  <c r="AC36" i="25"/>
  <c r="AB36" i="25"/>
  <c r="AA36" i="25"/>
  <c r="Z36" i="25"/>
  <c r="V36" i="25"/>
  <c r="U36" i="25"/>
  <c r="T36" i="25"/>
  <c r="S36" i="25"/>
  <c r="R36" i="25"/>
  <c r="Q36" i="25"/>
  <c r="P36" i="25"/>
  <c r="O36" i="25"/>
  <c r="N36" i="25"/>
  <c r="M36" i="25"/>
  <c r="BI35" i="25"/>
  <c r="BH35" i="25"/>
  <c r="BG35" i="25"/>
  <c r="BF35" i="25"/>
  <c r="BE35" i="25"/>
  <c r="BD35" i="25"/>
  <c r="BC35" i="25"/>
  <c r="BB35" i="25"/>
  <c r="BA35" i="25"/>
  <c r="AZ35" i="25"/>
  <c r="AV35" i="25"/>
  <c r="AU35" i="25"/>
  <c r="AT35" i="25"/>
  <c r="AS35" i="25"/>
  <c r="AR35" i="25"/>
  <c r="AQ35" i="25"/>
  <c r="AP35" i="25"/>
  <c r="AO35" i="25"/>
  <c r="AN35" i="25"/>
  <c r="AM35" i="25"/>
  <c r="AI35" i="25"/>
  <c r="AH35" i="25"/>
  <c r="AG35" i="25"/>
  <c r="AF35" i="25"/>
  <c r="AE35" i="25"/>
  <c r="AD35" i="25"/>
  <c r="AC35" i="25"/>
  <c r="AB35" i="25"/>
  <c r="AA35" i="25"/>
  <c r="Z35" i="25"/>
  <c r="V35" i="25"/>
  <c r="U35" i="25"/>
  <c r="T35" i="25"/>
  <c r="S35" i="25"/>
  <c r="R35" i="25"/>
  <c r="Q35" i="25"/>
  <c r="P35" i="25"/>
  <c r="O35" i="25"/>
  <c r="N35" i="25"/>
  <c r="M35" i="25"/>
  <c r="BI34" i="25"/>
  <c r="BH34" i="25"/>
  <c r="BG34" i="25"/>
  <c r="BF34" i="25"/>
  <c r="BE34" i="25"/>
  <c r="BD34" i="25"/>
  <c r="BC34" i="25"/>
  <c r="BB34" i="25"/>
  <c r="BA34" i="25"/>
  <c r="AZ34" i="25"/>
  <c r="AV34" i="25"/>
  <c r="AU34" i="25"/>
  <c r="AT34" i="25"/>
  <c r="AS34" i="25"/>
  <c r="AR34" i="25"/>
  <c r="AQ34" i="25"/>
  <c r="AP34" i="25"/>
  <c r="AO34" i="25"/>
  <c r="AN34" i="25"/>
  <c r="AM34" i="25"/>
  <c r="AI34" i="25"/>
  <c r="AH34" i="25"/>
  <c r="AG34" i="25"/>
  <c r="AF34" i="25"/>
  <c r="AE34" i="25"/>
  <c r="AD34" i="25"/>
  <c r="AC34" i="25"/>
  <c r="AB34" i="25"/>
  <c r="AA34" i="25"/>
  <c r="Z34" i="25"/>
  <c r="V34" i="25"/>
  <c r="U34" i="25"/>
  <c r="T34" i="25"/>
  <c r="S34" i="25"/>
  <c r="R34" i="25"/>
  <c r="Q34" i="25"/>
  <c r="P34" i="25"/>
  <c r="O34" i="25"/>
  <c r="N34" i="25"/>
  <c r="M34" i="25"/>
  <c r="BI33" i="25"/>
  <c r="BH33" i="25"/>
  <c r="BG33" i="25"/>
  <c r="BF33" i="25"/>
  <c r="BE33" i="25"/>
  <c r="BD33" i="25"/>
  <c r="BC33" i="25"/>
  <c r="BB33" i="25"/>
  <c r="BA33" i="25"/>
  <c r="AZ33" i="25"/>
  <c r="AV33" i="25"/>
  <c r="AU33" i="25"/>
  <c r="AT33" i="25"/>
  <c r="AS33" i="25"/>
  <c r="AR33" i="25"/>
  <c r="AQ33" i="25"/>
  <c r="AP33" i="25"/>
  <c r="AO33" i="25"/>
  <c r="AN33" i="25"/>
  <c r="AM33" i="25"/>
  <c r="AI33" i="25"/>
  <c r="AH33" i="25"/>
  <c r="AG33" i="25"/>
  <c r="AF33" i="25"/>
  <c r="AE33" i="25"/>
  <c r="AD33" i="25"/>
  <c r="AC33" i="25"/>
  <c r="AB33" i="25"/>
  <c r="AA33" i="25"/>
  <c r="Z33" i="25"/>
  <c r="V33" i="25"/>
  <c r="U33" i="25"/>
  <c r="T33" i="25"/>
  <c r="S33" i="25"/>
  <c r="R33" i="25"/>
  <c r="Q33" i="25"/>
  <c r="P33" i="25"/>
  <c r="O33" i="25"/>
  <c r="N33" i="25"/>
  <c r="M33" i="25"/>
  <c r="BI32" i="25"/>
  <c r="BH32" i="25"/>
  <c r="BG32" i="25"/>
  <c r="BF32" i="25"/>
  <c r="BE32" i="25"/>
  <c r="BD32" i="25"/>
  <c r="BC32" i="25"/>
  <c r="BB32" i="25"/>
  <c r="BA32" i="25"/>
  <c r="AZ32" i="25"/>
  <c r="AV32" i="25"/>
  <c r="AU32" i="25"/>
  <c r="AT32" i="25"/>
  <c r="AS32" i="25"/>
  <c r="AR32" i="25"/>
  <c r="AQ32" i="25"/>
  <c r="AP32" i="25"/>
  <c r="AO32" i="25"/>
  <c r="AN32" i="25"/>
  <c r="AM32" i="25"/>
  <c r="AI32" i="25"/>
  <c r="AH32" i="25"/>
  <c r="AG32" i="25"/>
  <c r="AF32" i="25"/>
  <c r="AE32" i="25"/>
  <c r="AD32" i="25"/>
  <c r="AC32" i="25"/>
  <c r="AB32" i="25"/>
  <c r="AA32" i="25"/>
  <c r="Z32" i="25"/>
  <c r="V32" i="25"/>
  <c r="U32" i="25"/>
  <c r="T32" i="25"/>
  <c r="S32" i="25"/>
  <c r="R32" i="25"/>
  <c r="Q32" i="25"/>
  <c r="P32" i="25"/>
  <c r="O32" i="25"/>
  <c r="N32" i="25"/>
  <c r="M32" i="25"/>
  <c r="BI31" i="25"/>
  <c r="BH31" i="25"/>
  <c r="BG31" i="25"/>
  <c r="BF31" i="25"/>
  <c r="BE31" i="25"/>
  <c r="BD31" i="25"/>
  <c r="BC31" i="25"/>
  <c r="BB31" i="25"/>
  <c r="BA31" i="25"/>
  <c r="AZ31" i="25"/>
  <c r="AV31" i="25"/>
  <c r="AU31" i="25"/>
  <c r="AT31" i="25"/>
  <c r="AS31" i="25"/>
  <c r="AR31" i="25"/>
  <c r="AQ31" i="25"/>
  <c r="AP31" i="25"/>
  <c r="AO31" i="25"/>
  <c r="AN31" i="25"/>
  <c r="AM31" i="25"/>
  <c r="AI31" i="25"/>
  <c r="AH31" i="25"/>
  <c r="AG31" i="25"/>
  <c r="AF31" i="25"/>
  <c r="AE31" i="25"/>
  <c r="AD31" i="25"/>
  <c r="AC31" i="25"/>
  <c r="AB31" i="25"/>
  <c r="AA31" i="25"/>
  <c r="Z31" i="25"/>
  <c r="V31" i="25"/>
  <c r="U31" i="25"/>
  <c r="T31" i="25"/>
  <c r="S31" i="25"/>
  <c r="R31" i="25"/>
  <c r="Q31" i="25"/>
  <c r="P31" i="25"/>
  <c r="O31" i="25"/>
  <c r="N31" i="25"/>
  <c r="M31" i="25"/>
  <c r="BA30" i="25"/>
  <c r="AZ30" i="25"/>
  <c r="AN30" i="25"/>
  <c r="AM30" i="25"/>
  <c r="AI30" i="25"/>
  <c r="AH30" i="25"/>
  <c r="AG30" i="25"/>
  <c r="AF30" i="25"/>
  <c r="AE30" i="25"/>
  <c r="N30" i="25"/>
  <c r="M30" i="25"/>
  <c r="BI28" i="25"/>
  <c r="BH28" i="25"/>
  <c r="BG28" i="25"/>
  <c r="BF28" i="25"/>
  <c r="BE28" i="25"/>
  <c r="BD28" i="25"/>
  <c r="BC28" i="25"/>
  <c r="BB28" i="25"/>
  <c r="BA28" i="25"/>
  <c r="AZ28" i="25"/>
  <c r="AV28" i="25"/>
  <c r="AU28" i="25"/>
  <c r="AT28" i="25"/>
  <c r="AS28" i="25"/>
  <c r="AR28" i="25"/>
  <c r="AQ28" i="25"/>
  <c r="AP28" i="25"/>
  <c r="AO28" i="25"/>
  <c r="AN28" i="25"/>
  <c r="AM28" i="25"/>
  <c r="AI28" i="25"/>
  <c r="AH28" i="25"/>
  <c r="AG28" i="25"/>
  <c r="AF28" i="25"/>
  <c r="AE28" i="25"/>
  <c r="AD28" i="25"/>
  <c r="AC28" i="25"/>
  <c r="AB28" i="25"/>
  <c r="AA28" i="25"/>
  <c r="Z28" i="25"/>
  <c r="V28" i="25"/>
  <c r="U28" i="25"/>
  <c r="T28" i="25"/>
  <c r="S28" i="25"/>
  <c r="R28" i="25"/>
  <c r="Q28" i="25"/>
  <c r="P28" i="25"/>
  <c r="O28" i="25"/>
  <c r="N28" i="25"/>
  <c r="M28" i="25"/>
  <c r="BI27" i="25"/>
  <c r="BH27" i="25"/>
  <c r="BG27" i="25"/>
  <c r="BF27" i="25"/>
  <c r="BE27" i="25"/>
  <c r="BD27" i="25"/>
  <c r="BC27" i="25"/>
  <c r="BB27" i="25"/>
  <c r="BA27" i="25"/>
  <c r="AZ27" i="25"/>
  <c r="AV27" i="25"/>
  <c r="AU27" i="25"/>
  <c r="AT27" i="25"/>
  <c r="AS27" i="25"/>
  <c r="AR27" i="25"/>
  <c r="AQ27" i="25"/>
  <c r="AP27" i="25"/>
  <c r="AO27" i="25"/>
  <c r="AN27" i="25"/>
  <c r="AM27" i="25"/>
  <c r="AI27" i="25"/>
  <c r="AH27" i="25"/>
  <c r="AG27" i="25"/>
  <c r="AF27" i="25"/>
  <c r="AE27" i="25"/>
  <c r="AD27" i="25"/>
  <c r="AC27" i="25"/>
  <c r="AB27" i="25"/>
  <c r="AA27" i="25"/>
  <c r="Z27" i="25"/>
  <c r="V27" i="25"/>
  <c r="U27" i="25"/>
  <c r="T27" i="25"/>
  <c r="S27" i="25"/>
  <c r="R27" i="25"/>
  <c r="Q27" i="25"/>
  <c r="P27" i="25"/>
  <c r="O27" i="25"/>
  <c r="N27" i="25"/>
  <c r="M27" i="25"/>
  <c r="BI26" i="25"/>
  <c r="BH26" i="25"/>
  <c r="BG26" i="25"/>
  <c r="BF26" i="25"/>
  <c r="BE26" i="25"/>
  <c r="BD26" i="25"/>
  <c r="BC26" i="25"/>
  <c r="BB26" i="25"/>
  <c r="BA26" i="25"/>
  <c r="AZ26" i="25"/>
  <c r="AV26" i="25"/>
  <c r="AU26" i="25"/>
  <c r="AT26" i="25"/>
  <c r="AS26" i="25"/>
  <c r="AR26" i="25"/>
  <c r="AQ26" i="25"/>
  <c r="AP26" i="25"/>
  <c r="AO26" i="25"/>
  <c r="AN26" i="25"/>
  <c r="AM26" i="25"/>
  <c r="AI26" i="25"/>
  <c r="AH26" i="25"/>
  <c r="AG26" i="25"/>
  <c r="AF26" i="25"/>
  <c r="AE26" i="25"/>
  <c r="AD26" i="25"/>
  <c r="AC26" i="25"/>
  <c r="AB26" i="25"/>
  <c r="AA26" i="25"/>
  <c r="Z26" i="25"/>
  <c r="V26" i="25"/>
  <c r="U26" i="25"/>
  <c r="T26" i="25"/>
  <c r="S26" i="25"/>
  <c r="R26" i="25"/>
  <c r="Q26" i="25"/>
  <c r="P26" i="25"/>
  <c r="O26" i="25"/>
  <c r="N26" i="25"/>
  <c r="M26" i="25"/>
  <c r="BI25" i="25"/>
  <c r="BH25" i="25"/>
  <c r="BG25" i="25"/>
  <c r="BF25" i="25"/>
  <c r="BE25" i="25"/>
  <c r="BD25" i="25"/>
  <c r="BC25" i="25"/>
  <c r="BB25" i="25"/>
  <c r="BA25" i="25"/>
  <c r="AZ25" i="25"/>
  <c r="AV25" i="25"/>
  <c r="AU25" i="25"/>
  <c r="AT25" i="25"/>
  <c r="AS25" i="25"/>
  <c r="AR25" i="25"/>
  <c r="AQ25" i="25"/>
  <c r="AP25" i="25"/>
  <c r="AO25" i="25"/>
  <c r="AN25" i="25"/>
  <c r="AM25" i="25"/>
  <c r="AI25" i="25"/>
  <c r="AH25" i="25"/>
  <c r="AG25" i="25"/>
  <c r="AF25" i="25"/>
  <c r="AE25" i="25"/>
  <c r="AD25" i="25"/>
  <c r="AC25" i="25"/>
  <c r="AB25" i="25"/>
  <c r="AA25" i="25"/>
  <c r="Z25" i="25"/>
  <c r="V25" i="25"/>
  <c r="U25" i="25"/>
  <c r="T25" i="25"/>
  <c r="S25" i="25"/>
  <c r="R25" i="25"/>
  <c r="Q25" i="25"/>
  <c r="P25" i="25"/>
  <c r="O25" i="25"/>
  <c r="N25" i="25"/>
  <c r="M25" i="25"/>
  <c r="BI24" i="25"/>
  <c r="BH24" i="25"/>
  <c r="BG24" i="25"/>
  <c r="BF24" i="25"/>
  <c r="BE24" i="25"/>
  <c r="BD24" i="25"/>
  <c r="BC24" i="25"/>
  <c r="BB24" i="25"/>
  <c r="BA24" i="25"/>
  <c r="AZ24" i="25"/>
  <c r="AV24" i="25"/>
  <c r="AU24" i="25"/>
  <c r="AT24" i="25"/>
  <c r="AS24" i="25"/>
  <c r="AR24" i="25"/>
  <c r="AQ24" i="25"/>
  <c r="AP24" i="25"/>
  <c r="AO24" i="25"/>
  <c r="AN24" i="25"/>
  <c r="AM24" i="25"/>
  <c r="AI24" i="25"/>
  <c r="AH24" i="25"/>
  <c r="AG24" i="25"/>
  <c r="AF24" i="25"/>
  <c r="AE24" i="25"/>
  <c r="AD24" i="25"/>
  <c r="AC24" i="25"/>
  <c r="AB24" i="25"/>
  <c r="AA24" i="25"/>
  <c r="Z24" i="25"/>
  <c r="V24" i="25"/>
  <c r="U24" i="25"/>
  <c r="T24" i="25"/>
  <c r="S24" i="25"/>
  <c r="R24" i="25"/>
  <c r="Q24" i="25"/>
  <c r="P24" i="25"/>
  <c r="O24" i="25"/>
  <c r="N24" i="25"/>
  <c r="M24" i="25"/>
  <c r="BA23" i="25"/>
  <c r="AZ23" i="25"/>
  <c r="AN23" i="25"/>
  <c r="AM23" i="25"/>
  <c r="AI23" i="25"/>
  <c r="AH23" i="25"/>
  <c r="AG23" i="25"/>
  <c r="AF23" i="25"/>
  <c r="AE23" i="25"/>
  <c r="AA23" i="25"/>
  <c r="Z23" i="25"/>
  <c r="N23" i="25"/>
  <c r="M23" i="25"/>
  <c r="BI21" i="25"/>
  <c r="BH21" i="25"/>
  <c r="BG21" i="25"/>
  <c r="BF21" i="25"/>
  <c r="BE21" i="25"/>
  <c r="BD21" i="25"/>
  <c r="BC21" i="25"/>
  <c r="BB21" i="25"/>
  <c r="BA21" i="25"/>
  <c r="AZ21" i="25"/>
  <c r="AV21" i="25"/>
  <c r="AU21" i="25"/>
  <c r="AT21" i="25"/>
  <c r="AS21" i="25"/>
  <c r="AR21" i="25"/>
  <c r="AQ21" i="25"/>
  <c r="AP21" i="25"/>
  <c r="AO21" i="25"/>
  <c r="AN21" i="25"/>
  <c r="AM21" i="25"/>
  <c r="AI21" i="25"/>
  <c r="AH21" i="25"/>
  <c r="AG21" i="25"/>
  <c r="AF21" i="25"/>
  <c r="AE21" i="25"/>
  <c r="AD21" i="25"/>
  <c r="AC21" i="25"/>
  <c r="AB21" i="25"/>
  <c r="AA21" i="25"/>
  <c r="Z21" i="25"/>
  <c r="V21" i="25"/>
  <c r="U21" i="25"/>
  <c r="T21" i="25"/>
  <c r="S21" i="25"/>
  <c r="R21" i="25"/>
  <c r="Q21" i="25"/>
  <c r="P21" i="25"/>
  <c r="O21" i="25"/>
  <c r="N21" i="25"/>
  <c r="M21" i="25"/>
  <c r="BI20" i="25"/>
  <c r="BH20" i="25"/>
  <c r="BG20" i="25"/>
  <c r="BF20" i="25"/>
  <c r="BE20" i="25"/>
  <c r="BD20" i="25"/>
  <c r="BC20" i="25"/>
  <c r="BB20" i="25"/>
  <c r="BA20" i="25"/>
  <c r="AZ20" i="25"/>
  <c r="AV20" i="25"/>
  <c r="AU20" i="25"/>
  <c r="AT20" i="25"/>
  <c r="AS20" i="25"/>
  <c r="AR20" i="25"/>
  <c r="AQ20" i="25"/>
  <c r="AP20" i="25"/>
  <c r="AO20" i="25"/>
  <c r="AN20" i="25"/>
  <c r="AM20" i="25"/>
  <c r="AI20" i="25"/>
  <c r="AH20" i="25"/>
  <c r="AG20" i="25"/>
  <c r="AF20" i="25"/>
  <c r="AE20" i="25"/>
  <c r="AD20" i="25"/>
  <c r="AC20" i="25"/>
  <c r="AB20" i="25"/>
  <c r="AA20" i="25"/>
  <c r="Z20" i="25"/>
  <c r="V20" i="25"/>
  <c r="U20" i="25"/>
  <c r="T20" i="25"/>
  <c r="S20" i="25"/>
  <c r="R20" i="25"/>
  <c r="Q20" i="25"/>
  <c r="P20" i="25"/>
  <c r="O20" i="25"/>
  <c r="N20" i="25"/>
  <c r="M20" i="25"/>
  <c r="BI19" i="25"/>
  <c r="BH19" i="25"/>
  <c r="BG19" i="25"/>
  <c r="BF19" i="25"/>
  <c r="BE19" i="25"/>
  <c r="BD19" i="25"/>
  <c r="BC19" i="25"/>
  <c r="BB19" i="25"/>
  <c r="BA19" i="25"/>
  <c r="AZ19" i="25"/>
  <c r="AV19" i="25"/>
  <c r="AU19" i="25"/>
  <c r="AT19" i="25"/>
  <c r="AS19" i="25"/>
  <c r="AR19" i="25"/>
  <c r="AQ19" i="25"/>
  <c r="AP19" i="25"/>
  <c r="AO19" i="25"/>
  <c r="AN19" i="25"/>
  <c r="AM19" i="25"/>
  <c r="AI19" i="25"/>
  <c r="AH19" i="25"/>
  <c r="AG19" i="25"/>
  <c r="AF19" i="25"/>
  <c r="AE19" i="25"/>
  <c r="AD19" i="25"/>
  <c r="AC19" i="25"/>
  <c r="AB19" i="25"/>
  <c r="AA19" i="25"/>
  <c r="Z19" i="25"/>
  <c r="V19" i="25"/>
  <c r="U19" i="25"/>
  <c r="T19" i="25"/>
  <c r="S19" i="25"/>
  <c r="R19" i="25"/>
  <c r="Q19" i="25"/>
  <c r="P19" i="25"/>
  <c r="O19" i="25"/>
  <c r="N19" i="25"/>
  <c r="M19" i="25"/>
  <c r="BI18" i="25"/>
  <c r="BH18" i="25"/>
  <c r="BG18" i="25"/>
  <c r="BF18" i="25"/>
  <c r="BE18" i="25"/>
  <c r="BD18" i="25"/>
  <c r="BC18" i="25"/>
  <c r="BB18" i="25"/>
  <c r="BA18" i="25"/>
  <c r="AZ18" i="25"/>
  <c r="AV18" i="25"/>
  <c r="AU18" i="25"/>
  <c r="AT18" i="25"/>
  <c r="AS18" i="25"/>
  <c r="AR18" i="25"/>
  <c r="AQ18" i="25"/>
  <c r="AP18" i="25"/>
  <c r="AO18" i="25"/>
  <c r="AN18" i="25"/>
  <c r="AM18" i="25"/>
  <c r="AI18" i="25"/>
  <c r="AH18" i="25"/>
  <c r="AG18" i="25"/>
  <c r="AF18" i="25"/>
  <c r="AE18" i="25"/>
  <c r="AD18" i="25"/>
  <c r="AC18" i="25"/>
  <c r="AB18" i="25"/>
  <c r="AA18" i="25"/>
  <c r="Z18" i="25"/>
  <c r="V18" i="25"/>
  <c r="U18" i="25"/>
  <c r="T18" i="25"/>
  <c r="S18" i="25"/>
  <c r="R18" i="25"/>
  <c r="Q18" i="25"/>
  <c r="P18" i="25"/>
  <c r="O18" i="25"/>
  <c r="N18" i="25"/>
  <c r="M18" i="25"/>
  <c r="BA17" i="25"/>
  <c r="AN17" i="25"/>
  <c r="AM17" i="25"/>
  <c r="AI17" i="25"/>
  <c r="AH17" i="25"/>
  <c r="AG17" i="25"/>
  <c r="AA17" i="25"/>
  <c r="Z17" i="25"/>
  <c r="N17" i="25"/>
  <c r="M17" i="25"/>
  <c r="BI15" i="25"/>
  <c r="BH15" i="25"/>
  <c r="BG15" i="25"/>
  <c r="BF15" i="25"/>
  <c r="BE15" i="25"/>
  <c r="BD15" i="25"/>
  <c r="BC15" i="25"/>
  <c r="BB15" i="25"/>
  <c r="BA15" i="25"/>
  <c r="AZ15" i="25"/>
  <c r="AV15" i="25"/>
  <c r="AU15" i="25"/>
  <c r="AT15" i="25"/>
  <c r="AS15" i="25"/>
  <c r="AR15" i="25"/>
  <c r="AQ15" i="25"/>
  <c r="AP15" i="25"/>
  <c r="AO15" i="25"/>
  <c r="AN15" i="25"/>
  <c r="AM15" i="25"/>
  <c r="AI15" i="25"/>
  <c r="AH15" i="25"/>
  <c r="AG15" i="25"/>
  <c r="AF15" i="25"/>
  <c r="AE15" i="25"/>
  <c r="AD15" i="25"/>
  <c r="AC15" i="25"/>
  <c r="AB15" i="25"/>
  <c r="AA15" i="25"/>
  <c r="Z15" i="25"/>
  <c r="V15" i="25"/>
  <c r="U15" i="25"/>
  <c r="T15" i="25"/>
  <c r="S15" i="25"/>
  <c r="R15" i="25"/>
  <c r="Q15" i="25"/>
  <c r="P15" i="25"/>
  <c r="O15" i="25"/>
  <c r="N15" i="25"/>
  <c r="M15" i="25"/>
  <c r="BI14" i="25"/>
  <c r="BH14" i="25"/>
  <c r="BG14" i="25"/>
  <c r="BF14" i="25"/>
  <c r="BE14" i="25"/>
  <c r="BD14" i="25"/>
  <c r="BC14" i="25"/>
  <c r="BB14" i="25"/>
  <c r="BA14" i="25"/>
  <c r="AZ14" i="25"/>
  <c r="AV14" i="25"/>
  <c r="AU14" i="25"/>
  <c r="AT14" i="25"/>
  <c r="AS14" i="25"/>
  <c r="AR14" i="25"/>
  <c r="AQ14" i="25"/>
  <c r="AP14" i="25"/>
  <c r="AO14" i="25"/>
  <c r="AN14" i="25"/>
  <c r="AM14" i="25"/>
  <c r="AI14" i="25"/>
  <c r="AH14" i="25"/>
  <c r="AG14" i="25"/>
  <c r="AF14" i="25"/>
  <c r="AE14" i="25"/>
  <c r="AD14" i="25"/>
  <c r="AC14" i="25"/>
  <c r="AB14" i="25"/>
  <c r="AA14" i="25"/>
  <c r="Z14" i="25"/>
  <c r="V14" i="25"/>
  <c r="U14" i="25"/>
  <c r="T14" i="25"/>
  <c r="S14" i="25"/>
  <c r="R14" i="25"/>
  <c r="Q14" i="25"/>
  <c r="P14" i="25"/>
  <c r="O14" i="25"/>
  <c r="N14" i="25"/>
  <c r="M14" i="25"/>
  <c r="BI13" i="25"/>
  <c r="BH13" i="25"/>
  <c r="BG13" i="25"/>
  <c r="BF13" i="25"/>
  <c r="BE13" i="25"/>
  <c r="BD13" i="25"/>
  <c r="BC13" i="25"/>
  <c r="BB13" i="25"/>
  <c r="BA13" i="25"/>
  <c r="AZ13" i="25"/>
  <c r="AV13" i="25"/>
  <c r="AU13" i="25"/>
  <c r="AT13" i="25"/>
  <c r="AS13" i="25"/>
  <c r="AR13" i="25"/>
  <c r="AQ13" i="25"/>
  <c r="AP13" i="25"/>
  <c r="AO13" i="25"/>
  <c r="AN13" i="25"/>
  <c r="AM13" i="25"/>
  <c r="AI13" i="25"/>
  <c r="AH13" i="25"/>
  <c r="AG13" i="25"/>
  <c r="AF13" i="25"/>
  <c r="AE13" i="25"/>
  <c r="AD13" i="25"/>
  <c r="AC13" i="25"/>
  <c r="AB13" i="25"/>
  <c r="AA13" i="25"/>
  <c r="Z13" i="25"/>
  <c r="V13" i="25"/>
  <c r="U13" i="25"/>
  <c r="T13" i="25"/>
  <c r="S13" i="25"/>
  <c r="R13" i="25"/>
  <c r="Q13" i="25"/>
  <c r="P13" i="25"/>
  <c r="O13" i="25"/>
  <c r="N13" i="25"/>
  <c r="M13" i="25"/>
  <c r="BI12" i="25"/>
  <c r="BH12" i="25"/>
  <c r="BG12" i="25"/>
  <c r="BF12" i="25"/>
  <c r="BE12" i="25"/>
  <c r="BD12" i="25"/>
  <c r="BC12" i="25"/>
  <c r="BB12" i="25"/>
  <c r="BA12" i="25"/>
  <c r="AZ12" i="25"/>
  <c r="AV12" i="25"/>
  <c r="AU12" i="25"/>
  <c r="AT12" i="25"/>
  <c r="AS12" i="25"/>
  <c r="AR12" i="25"/>
  <c r="AQ12" i="25"/>
  <c r="AP12" i="25"/>
  <c r="AO12" i="25"/>
  <c r="AN12" i="25"/>
  <c r="AM12" i="25"/>
  <c r="AI12" i="25"/>
  <c r="AH12" i="25"/>
  <c r="AG12" i="25"/>
  <c r="AF12" i="25"/>
  <c r="AE12" i="25"/>
  <c r="AD12" i="25"/>
  <c r="AC12" i="25"/>
  <c r="AB12" i="25"/>
  <c r="AA12" i="25"/>
  <c r="Z12" i="25"/>
  <c r="V12" i="25"/>
  <c r="U12" i="25"/>
  <c r="T12" i="25"/>
  <c r="S12" i="25"/>
  <c r="R12" i="25"/>
  <c r="Q12" i="25"/>
  <c r="P12" i="25"/>
  <c r="O12" i="25"/>
  <c r="N12" i="25"/>
  <c r="M12" i="25"/>
  <c r="AI11" i="25"/>
  <c r="AH11" i="25"/>
  <c r="AG11" i="25"/>
  <c r="AF11" i="25"/>
  <c r="AE11" i="25"/>
  <c r="N11" i="25"/>
  <c r="M11" i="25"/>
  <c r="R121" i="16" a="1"/>
  <c r="R121" i="16" s="1"/>
  <c r="R117" i="16" a="1"/>
  <c r="R117" i="16" s="1"/>
  <c r="R116" i="16" a="1"/>
  <c r="R116" i="16"/>
  <c r="R115" i="16" a="1"/>
  <c r="R115" i="16"/>
  <c r="R120" i="16" a="1"/>
  <c r="R120" i="16" s="1"/>
  <c r="R114" i="16" a="1"/>
  <c r="R114" i="16" s="1"/>
  <c r="R113" i="16" a="1"/>
  <c r="R113" i="16"/>
  <c r="R107" i="16" a="1"/>
  <c r="R107" i="16" s="1"/>
  <c r="R102" i="16" a="1"/>
  <c r="R102" i="16" s="1"/>
  <c r="R101" i="16" a="1"/>
  <c r="R101" i="16" s="1"/>
  <c r="R100" i="16" a="1"/>
  <c r="R100" i="16"/>
  <c r="R99" i="16" a="1"/>
  <c r="R99" i="16" s="1"/>
  <c r="R106" i="16" a="1"/>
  <c r="R106" i="16" s="1"/>
  <c r="R98" i="16" a="1"/>
  <c r="R98" i="16" s="1"/>
  <c r="R97" i="16" a="1"/>
  <c r="R97" i="16"/>
  <c r="R96" i="16" a="1"/>
  <c r="R96" i="16"/>
  <c r="R105" i="16" a="1"/>
  <c r="R105" i="16" s="1"/>
  <c r="R95" i="16" a="1"/>
  <c r="R95" i="16" s="1"/>
  <c r="R94" i="16" a="1"/>
  <c r="R94" i="16"/>
  <c r="M107" i="16" a="1"/>
  <c r="M107" i="16"/>
  <c r="M102" i="16" a="1"/>
  <c r="M102" i="16" s="1"/>
  <c r="M101" i="16" a="1"/>
  <c r="M101" i="16" s="1"/>
  <c r="M100" i="16" a="1"/>
  <c r="M100" i="16"/>
  <c r="M99" i="16" a="1"/>
  <c r="M99" i="16" s="1"/>
  <c r="EU86" i="20" s="1"/>
  <c r="M106" i="16" a="1"/>
  <c r="M106" i="16" s="1"/>
  <c r="M98" i="16" a="1"/>
  <c r="M98" i="16" s="1"/>
  <c r="M97" i="16" a="1"/>
  <c r="M97" i="16"/>
  <c r="M96" i="16" a="1"/>
  <c r="M96" i="16" s="1"/>
  <c r="M105" i="16" a="1"/>
  <c r="M105" i="16" s="1"/>
  <c r="M95" i="16" a="1"/>
  <c r="M95" i="16" s="1"/>
  <c r="M94" i="16" a="1"/>
  <c r="M94" i="16"/>
  <c r="J17" i="20"/>
  <c r="J23" i="20"/>
  <c r="I23" i="20"/>
  <c r="J39" i="20"/>
  <c r="I39" i="20"/>
  <c r="FE9" i="20"/>
  <c r="FD9" i="20"/>
  <c r="FC9" i="20"/>
  <c r="FB9" i="20"/>
  <c r="FA9" i="20"/>
  <c r="DU9" i="20"/>
  <c r="DT9" i="20"/>
  <c r="DS9" i="20"/>
  <c r="DR9" i="20"/>
  <c r="DQ9" i="20"/>
  <c r="CL9" i="20"/>
  <c r="CK9" i="20"/>
  <c r="CJ9" i="20"/>
  <c r="CI9" i="20"/>
  <c r="CH9" i="20"/>
  <c r="BT9" i="20"/>
  <c r="BS9" i="20"/>
  <c r="BR9" i="20"/>
  <c r="BC9" i="20"/>
  <c r="BB9" i="20"/>
  <c r="BA9" i="20"/>
  <c r="AZ9" i="20"/>
  <c r="AY9" i="20"/>
  <c r="AA9" i="20"/>
  <c r="AB9" i="20"/>
  <c r="BC96" i="20"/>
  <c r="BC95" i="20"/>
  <c r="BC94" i="20"/>
  <c r="BC93" i="20"/>
  <c r="BC92" i="20"/>
  <c r="BC89" i="20"/>
  <c r="BC88" i="20"/>
  <c r="BC87" i="20"/>
  <c r="BC86" i="20"/>
  <c r="BC79" i="20"/>
  <c r="BC78" i="20"/>
  <c r="BC77" i="20"/>
  <c r="BC76" i="20"/>
  <c r="BC73" i="20"/>
  <c r="BC72" i="20"/>
  <c r="BC70" i="20"/>
  <c r="BC69" i="20"/>
  <c r="BC66" i="20"/>
  <c r="BC65" i="20"/>
  <c r="BC64" i="20"/>
  <c r="BC63" i="20"/>
  <c r="BC62" i="20"/>
  <c r="BC61" i="20"/>
  <c r="BC60" i="20"/>
  <c r="BC59" i="20"/>
  <c r="BC58" i="20"/>
  <c r="BC57" i="20"/>
  <c r="FE100" i="20"/>
  <c r="FE98" i="20"/>
  <c r="FD100" i="20"/>
  <c r="FD98" i="20"/>
  <c r="FC100" i="20"/>
  <c r="FC98" i="20"/>
  <c r="FB100" i="20"/>
  <c r="FB98" i="20"/>
  <c r="FA100" i="20"/>
  <c r="FA98" i="20"/>
  <c r="EY100" i="20"/>
  <c r="EY98" i="20"/>
  <c r="EX100" i="20"/>
  <c r="EX98" i="20"/>
  <c r="EW100" i="20"/>
  <c r="EW98" i="20"/>
  <c r="EV100" i="20"/>
  <c r="EV98" i="20"/>
  <c r="EU100" i="20"/>
  <c r="EU98" i="20"/>
  <c r="ET100" i="20"/>
  <c r="ET98" i="20"/>
  <c r="ES100" i="20"/>
  <c r="ES98" i="20"/>
  <c r="EQ100" i="20"/>
  <c r="EQ98" i="20"/>
  <c r="EQ5" i="20"/>
  <c r="EP100" i="20"/>
  <c r="EP98" i="20"/>
  <c r="EP5" i="20"/>
  <c r="EO100" i="20"/>
  <c r="EO98" i="20"/>
  <c r="EO5" i="20"/>
  <c r="EM100" i="20"/>
  <c r="EM98" i="20"/>
  <c r="EL100" i="20"/>
  <c r="EL98" i="20"/>
  <c r="EK100" i="20"/>
  <c r="EK98" i="20"/>
  <c r="EJ100" i="20"/>
  <c r="EJ98" i="20"/>
  <c r="EI100" i="20"/>
  <c r="EI98" i="20"/>
  <c r="EF100" i="20"/>
  <c r="EF98" i="20"/>
  <c r="EE100" i="20"/>
  <c r="EE98" i="20"/>
  <c r="ED100" i="20"/>
  <c r="ED98" i="20"/>
  <c r="EB100" i="20"/>
  <c r="EA100" i="20"/>
  <c r="DU100" i="20"/>
  <c r="DU98" i="20"/>
  <c r="DT100" i="20"/>
  <c r="DT98" i="20"/>
  <c r="DS100" i="20"/>
  <c r="DS98" i="20"/>
  <c r="DR100" i="20"/>
  <c r="DR98" i="20"/>
  <c r="DQ100" i="20"/>
  <c r="DQ98" i="20"/>
  <c r="DO100" i="20"/>
  <c r="DO98" i="20"/>
  <c r="DN100" i="20"/>
  <c r="DN98" i="20"/>
  <c r="DM100" i="20"/>
  <c r="DM98" i="20"/>
  <c r="DL100" i="20"/>
  <c r="DL98" i="20"/>
  <c r="DK100" i="20"/>
  <c r="DK98" i="20"/>
  <c r="DJ100" i="20"/>
  <c r="DJ98" i="20"/>
  <c r="DI100" i="20"/>
  <c r="DI98" i="20"/>
  <c r="DG100" i="20"/>
  <c r="DG98" i="20"/>
  <c r="DG5" i="20"/>
  <c r="DF100" i="20"/>
  <c r="DF98" i="20"/>
  <c r="DF5" i="20"/>
  <c r="DE100" i="20"/>
  <c r="DE98" i="20"/>
  <c r="DE5" i="20"/>
  <c r="DC100" i="20"/>
  <c r="DC98" i="20"/>
  <c r="DB100" i="20"/>
  <c r="DB98" i="20"/>
  <c r="DA100" i="20"/>
  <c r="DA98" i="20"/>
  <c r="CZ100" i="20"/>
  <c r="CZ98" i="20"/>
  <c r="CY100" i="20"/>
  <c r="CY98" i="20"/>
  <c r="CV100" i="20"/>
  <c r="CV98" i="20"/>
  <c r="CU100" i="20"/>
  <c r="CU98" i="20"/>
  <c r="CT100" i="20"/>
  <c r="CT98" i="20"/>
  <c r="CR100" i="20"/>
  <c r="CQ100" i="20"/>
  <c r="CL100" i="20"/>
  <c r="CL98" i="20"/>
  <c r="CK100" i="20"/>
  <c r="CK98" i="20"/>
  <c r="CJ100" i="20"/>
  <c r="CJ98" i="20"/>
  <c r="CI100" i="20"/>
  <c r="CI98" i="20"/>
  <c r="CH100" i="20"/>
  <c r="CH98" i="20"/>
  <c r="CF100" i="20"/>
  <c r="CF98" i="20"/>
  <c r="CE100" i="20"/>
  <c r="CE98" i="20"/>
  <c r="CD100" i="20"/>
  <c r="CD98" i="20"/>
  <c r="CC100" i="20"/>
  <c r="CC98" i="20"/>
  <c r="CB100" i="20"/>
  <c r="CB98" i="20"/>
  <c r="CA100" i="20"/>
  <c r="CA98" i="20"/>
  <c r="BZ100" i="20"/>
  <c r="BZ98" i="20"/>
  <c r="BX100" i="20"/>
  <c r="BX98" i="20"/>
  <c r="BW100" i="20"/>
  <c r="BW98" i="20"/>
  <c r="BV100" i="20"/>
  <c r="BV98" i="20"/>
  <c r="BT100" i="20"/>
  <c r="BS100" i="20"/>
  <c r="BS98" i="20"/>
  <c r="BR100" i="20"/>
  <c r="BQ100" i="20"/>
  <c r="BQ98" i="20"/>
  <c r="BP100" i="20"/>
  <c r="BP98" i="20"/>
  <c r="BM100" i="20"/>
  <c r="BM98" i="20"/>
  <c r="BL100" i="20"/>
  <c r="BL98" i="20"/>
  <c r="BK100" i="20"/>
  <c r="BK98" i="20"/>
  <c r="BI100" i="20"/>
  <c r="BH100" i="20"/>
  <c r="BC100" i="20"/>
  <c r="BC98" i="20"/>
  <c r="BB100" i="20"/>
  <c r="BB98" i="20"/>
  <c r="BA100" i="20"/>
  <c r="BA98" i="20"/>
  <c r="AZ100" i="20"/>
  <c r="AZ98" i="20"/>
  <c r="AY100" i="20"/>
  <c r="AY98" i="20"/>
  <c r="AW100" i="20"/>
  <c r="AW98" i="20"/>
  <c r="AV100" i="20"/>
  <c r="AV98" i="20"/>
  <c r="AU100" i="20"/>
  <c r="AU98" i="20"/>
  <c r="AT100" i="20"/>
  <c r="AT98" i="20"/>
  <c r="AS100" i="20"/>
  <c r="AS98" i="20"/>
  <c r="AR100" i="20"/>
  <c r="AR98" i="20"/>
  <c r="AQ100" i="20"/>
  <c r="AQ98" i="20"/>
  <c r="AO98" i="20"/>
  <c r="AN98" i="20"/>
  <c r="AM98" i="20"/>
  <c r="AK100" i="20"/>
  <c r="AK98" i="20"/>
  <c r="AJ100" i="20"/>
  <c r="AJ98" i="20"/>
  <c r="AI100" i="20"/>
  <c r="AI98" i="20"/>
  <c r="AH100" i="20"/>
  <c r="AH98" i="20"/>
  <c r="AG100" i="20"/>
  <c r="AG98" i="20"/>
  <c r="AD100" i="20"/>
  <c r="AD98" i="20"/>
  <c r="AC100" i="20"/>
  <c r="AB100" i="20"/>
  <c r="EK44" i="20"/>
  <c r="BG39" i="25"/>
  <c r="EI44" i="20"/>
  <c r="EJ44" i="20"/>
  <c r="BF39" i="25"/>
  <c r="EG44" i="20"/>
  <c r="BD39" i="25"/>
  <c r="EF44" i="20"/>
  <c r="BC39" i="25"/>
  <c r="EE44" i="20"/>
  <c r="EI30" i="20"/>
  <c r="EJ30" i="20"/>
  <c r="BF30" i="25"/>
  <c r="EG30" i="20"/>
  <c r="BD30" i="25"/>
  <c r="EF30" i="20"/>
  <c r="EF23" i="20"/>
  <c r="EI23" i="20"/>
  <c r="EJ23" i="20"/>
  <c r="BF23" i="25"/>
  <c r="EE30" i="20"/>
  <c r="EE23" i="20"/>
  <c r="EK17" i="20"/>
  <c r="EF17" i="20"/>
  <c r="EE17" i="20"/>
  <c r="CY39" i="20"/>
  <c r="CZ39" i="20"/>
  <c r="CW39" i="20"/>
  <c r="CV39" i="20"/>
  <c r="CU39" i="20"/>
  <c r="CY30" i="20"/>
  <c r="CW30" i="20"/>
  <c r="CW23" i="20"/>
  <c r="AQ23" i="25"/>
  <c r="CV30" i="20"/>
  <c r="CV23" i="20"/>
  <c r="AP23" i="25"/>
  <c r="CU30" i="20"/>
  <c r="AO30" i="25"/>
  <c r="CY17" i="20"/>
  <c r="AR17" i="25"/>
  <c r="CW17" i="20"/>
  <c r="CV17" i="20"/>
  <c r="CU17" i="20"/>
  <c r="BP39" i="20"/>
  <c r="BQ39" i="20"/>
  <c r="BN39" i="20"/>
  <c r="BM39" i="20"/>
  <c r="BL39" i="20"/>
  <c r="BP17" i="20"/>
  <c r="BN17" i="20"/>
  <c r="BM17" i="20"/>
  <c r="BL17" i="20"/>
  <c r="AG44" i="20"/>
  <c r="R39" i="25"/>
  <c r="AE44" i="20"/>
  <c r="Q39" i="25"/>
  <c r="AD44" i="20"/>
  <c r="P39" i="25"/>
  <c r="AC44" i="20"/>
  <c r="O39" i="25"/>
  <c r="AG39" i="20"/>
  <c r="AH39" i="20"/>
  <c r="AE39" i="20"/>
  <c r="AD39" i="20"/>
  <c r="AC39" i="20"/>
  <c r="AG30" i="20"/>
  <c r="AE30" i="20"/>
  <c r="AE23" i="20"/>
  <c r="Q23" i="25"/>
  <c r="AD30" i="20"/>
  <c r="P30" i="25"/>
  <c r="AC30" i="20"/>
  <c r="AC23" i="20"/>
  <c r="AG17" i="20"/>
  <c r="Y17" i="20"/>
  <c r="AE17" i="20"/>
  <c r="AD17" i="20"/>
  <c r="AC17" i="20"/>
  <c r="BE91" i="20"/>
  <c r="BG91" i="20"/>
  <c r="V68" i="20"/>
  <c r="X68" i="20"/>
  <c r="X72" i="20"/>
  <c r="V85" i="20"/>
  <c r="X85" i="20"/>
  <c r="X87" i="20"/>
  <c r="V91" i="20"/>
  <c r="X91" i="20"/>
  <c r="X93" i="20"/>
  <c r="EM44" i="20"/>
  <c r="BI39" i="25"/>
  <c r="EL44" i="20"/>
  <c r="EL39" i="20"/>
  <c r="EM30" i="20"/>
  <c r="EL30" i="20"/>
  <c r="BH30" i="25"/>
  <c r="EL17" i="20"/>
  <c r="EM11" i="20"/>
  <c r="BI11" i="25"/>
  <c r="EL11" i="20"/>
  <c r="EK11" i="20"/>
  <c r="DC44" i="20"/>
  <c r="DC39" i="20"/>
  <c r="DB44" i="20"/>
  <c r="AU39" i="25"/>
  <c r="DA44" i="20"/>
  <c r="DA39" i="20"/>
  <c r="DC30" i="20"/>
  <c r="AV30" i="25"/>
  <c r="DB30" i="20"/>
  <c r="AU30" i="25"/>
  <c r="DA30" i="20"/>
  <c r="DA23" i="20"/>
  <c r="AT23" i="25"/>
  <c r="DC17" i="20"/>
  <c r="DB17" i="20"/>
  <c r="DA17" i="20"/>
  <c r="DC11" i="20"/>
  <c r="AV11" i="25"/>
  <c r="DB11" i="20"/>
  <c r="AU11" i="25"/>
  <c r="DA11" i="20"/>
  <c r="AT11" i="25"/>
  <c r="AK44" i="20"/>
  <c r="V39" i="25"/>
  <c r="AJ44" i="20"/>
  <c r="AI44" i="20"/>
  <c r="AK30" i="20"/>
  <c r="AJ30" i="20"/>
  <c r="U30" i="25"/>
  <c r="AI30" i="20"/>
  <c r="AI23" i="20"/>
  <c r="AK17" i="20"/>
  <c r="AJ17" i="20"/>
  <c r="AI17" i="20"/>
  <c r="AK11" i="20"/>
  <c r="V11" i="25"/>
  <c r="AJ11" i="20"/>
  <c r="AI11" i="20"/>
  <c r="T11" i="25"/>
  <c r="EJ74" i="20"/>
  <c r="EK74" i="20"/>
  <c r="EM74" i="20"/>
  <c r="EI74" i="20"/>
  <c r="CZ74" i="20"/>
  <c r="DA74" i="20"/>
  <c r="DC74" i="20"/>
  <c r="CY74" i="20"/>
  <c r="CN68" i="20"/>
  <c r="CP68" i="20"/>
  <c r="CP71" i="20"/>
  <c r="ER91" i="20"/>
  <c r="DX91" i="20"/>
  <c r="ER85" i="20"/>
  <c r="DX85" i="20"/>
  <c r="DZ85" i="20"/>
  <c r="DZ88" i="20"/>
  <c r="F82" i="25"/>
  <c r="ER68" i="20"/>
  <c r="ER56" i="20"/>
  <c r="DX56" i="20"/>
  <c r="DZ56" i="20"/>
  <c r="EY44" i="20"/>
  <c r="EY39" i="20"/>
  <c r="EX44" i="20"/>
  <c r="EX39" i="20"/>
  <c r="EW44" i="20"/>
  <c r="EW39" i="20"/>
  <c r="EV44" i="20"/>
  <c r="EV39" i="20"/>
  <c r="EU44" i="20"/>
  <c r="EU39" i="20"/>
  <c r="ET44" i="20"/>
  <c r="ET39" i="20"/>
  <c r="ES44" i="20"/>
  <c r="ES39" i="20"/>
  <c r="ER44" i="20"/>
  <c r="ER39" i="20"/>
  <c r="EY30" i="20"/>
  <c r="EY23" i="20"/>
  <c r="EX30" i="20"/>
  <c r="EX23" i="20"/>
  <c r="EW30" i="20"/>
  <c r="EW23" i="20"/>
  <c r="EV30" i="20"/>
  <c r="EV23" i="20"/>
  <c r="EU30" i="20"/>
  <c r="EU23" i="20"/>
  <c r="ET30" i="20"/>
  <c r="ET23" i="20"/>
  <c r="ES30" i="20"/>
  <c r="ES23" i="20"/>
  <c r="ER30" i="20"/>
  <c r="ER23" i="20"/>
  <c r="EY17" i="20"/>
  <c r="EX17" i="20"/>
  <c r="EW17" i="20"/>
  <c r="EV17" i="20"/>
  <c r="EU17" i="20"/>
  <c r="ET17" i="20"/>
  <c r="ES17" i="20"/>
  <c r="ER17" i="20"/>
  <c r="EY11" i="20"/>
  <c r="EX11" i="20"/>
  <c r="EW11" i="20"/>
  <c r="EV11" i="20"/>
  <c r="EU11" i="20"/>
  <c r="ET11" i="20"/>
  <c r="ES11" i="20"/>
  <c r="ER11" i="20"/>
  <c r="EG11" i="20"/>
  <c r="BD11" i="25"/>
  <c r="EF11" i="20"/>
  <c r="EI11" i="20"/>
  <c r="EE11" i="20"/>
  <c r="BB11" i="25"/>
  <c r="DH91" i="20"/>
  <c r="CN91" i="20"/>
  <c r="CP91" i="20"/>
  <c r="DH85" i="20"/>
  <c r="CN85" i="20"/>
  <c r="CP85" i="20"/>
  <c r="CP87" i="20"/>
  <c r="DH68" i="20"/>
  <c r="DH56" i="20"/>
  <c r="CN56" i="20"/>
  <c r="CP56" i="20"/>
  <c r="CP65" i="20"/>
  <c r="DO44" i="20"/>
  <c r="DO39" i="20"/>
  <c r="DN44" i="20"/>
  <c r="DN39" i="20"/>
  <c r="DM44" i="20"/>
  <c r="DM39" i="20"/>
  <c r="DL44" i="20"/>
  <c r="DL39" i="20"/>
  <c r="DK44" i="20"/>
  <c r="DK39" i="20"/>
  <c r="DJ44" i="20"/>
  <c r="DJ39" i="20"/>
  <c r="DI44" i="20"/>
  <c r="DI39" i="20"/>
  <c r="DH44" i="20"/>
  <c r="DH39" i="20"/>
  <c r="CW44" i="20"/>
  <c r="AQ39" i="25"/>
  <c r="CV44" i="20"/>
  <c r="CU44" i="20"/>
  <c r="AO39" i="25"/>
  <c r="DO30" i="20"/>
  <c r="DO23" i="20"/>
  <c r="DN30" i="20"/>
  <c r="DN23" i="20"/>
  <c r="DM30" i="20"/>
  <c r="DM23" i="20"/>
  <c r="DL30" i="20"/>
  <c r="DL23" i="20"/>
  <c r="DK30" i="20"/>
  <c r="DK23" i="20"/>
  <c r="DJ30" i="20"/>
  <c r="DJ23" i="20"/>
  <c r="DI30" i="20"/>
  <c r="DI23" i="20"/>
  <c r="DH30" i="20"/>
  <c r="DH23" i="20"/>
  <c r="DO17" i="20"/>
  <c r="DN17" i="20"/>
  <c r="DM17" i="20"/>
  <c r="DL17" i="20"/>
  <c r="DK17" i="20"/>
  <c r="DJ17" i="20"/>
  <c r="DI17" i="20"/>
  <c r="DH17" i="20"/>
  <c r="DO11" i="20"/>
  <c r="DN11" i="20"/>
  <c r="DM11" i="20"/>
  <c r="DL11" i="20"/>
  <c r="DK11" i="20"/>
  <c r="DJ11" i="20"/>
  <c r="DI11" i="20"/>
  <c r="DH11" i="20"/>
  <c r="CW11" i="20"/>
  <c r="AQ11" i="25"/>
  <c r="CV11" i="20"/>
  <c r="AP11" i="25"/>
  <c r="CU11" i="20"/>
  <c r="I19" i="24"/>
  <c r="J19" i="24"/>
  <c r="BQ74" i="20"/>
  <c r="BR74" i="20"/>
  <c r="BT74" i="20"/>
  <c r="BP74" i="20"/>
  <c r="BE85" i="20"/>
  <c r="BG85" i="20"/>
  <c r="BG88" i="20"/>
  <c r="BE75" i="20"/>
  <c r="BE68" i="20"/>
  <c r="BG68" i="20"/>
  <c r="BE56" i="20"/>
  <c r="BG56" i="20"/>
  <c r="BJ44" i="20"/>
  <c r="Z39" i="25"/>
  <c r="BJ30" i="20"/>
  <c r="Z30" i="25"/>
  <c r="BJ11" i="20"/>
  <c r="BK11" i="20"/>
  <c r="BY91" i="20"/>
  <c r="BY85" i="20"/>
  <c r="BY68" i="20"/>
  <c r="BY56" i="20"/>
  <c r="CF44" i="20"/>
  <c r="CF39" i="20"/>
  <c r="CE44" i="20"/>
  <c r="CE39" i="20"/>
  <c r="CD44" i="20"/>
  <c r="CD39" i="20"/>
  <c r="CC44" i="20"/>
  <c r="CC39" i="20"/>
  <c r="CB44" i="20"/>
  <c r="CB39" i="20"/>
  <c r="CA44" i="20"/>
  <c r="CA39" i="20"/>
  <c r="BZ44" i="20"/>
  <c r="BZ39" i="20"/>
  <c r="BY44" i="20"/>
  <c r="BY39" i="20"/>
  <c r="BN44" i="20"/>
  <c r="BM44" i="20"/>
  <c r="AC39" i="25"/>
  <c r="BL44" i="20"/>
  <c r="AB39" i="25"/>
  <c r="CF30" i="20"/>
  <c r="CF23" i="20"/>
  <c r="CE30" i="20"/>
  <c r="CE23" i="20"/>
  <c r="CD30" i="20"/>
  <c r="CD23" i="20"/>
  <c r="CC30" i="20"/>
  <c r="CC23" i="20"/>
  <c r="CB30" i="20"/>
  <c r="CA30" i="20"/>
  <c r="CA23" i="20"/>
  <c r="BZ30" i="20"/>
  <c r="BZ23" i="20"/>
  <c r="BY30" i="20"/>
  <c r="BY23" i="20"/>
  <c r="BN30" i="20"/>
  <c r="AD30" i="25"/>
  <c r="BM30" i="20"/>
  <c r="BL30" i="20"/>
  <c r="CF17" i="20"/>
  <c r="CE17" i="20"/>
  <c r="CD17" i="20"/>
  <c r="CC17" i="20"/>
  <c r="CB17" i="20"/>
  <c r="CA17" i="20"/>
  <c r="BZ17" i="20"/>
  <c r="BY17" i="20"/>
  <c r="CF11" i="20"/>
  <c r="CE11" i="20"/>
  <c r="CD11" i="20"/>
  <c r="CC11" i="20"/>
  <c r="CB11" i="20"/>
  <c r="CA11" i="20"/>
  <c r="BZ11" i="20"/>
  <c r="BY11" i="20"/>
  <c r="BN11" i="20"/>
  <c r="BM11" i="20"/>
  <c r="AC11" i="25"/>
  <c r="BL11" i="20"/>
  <c r="AB11" i="25"/>
  <c r="X75" i="20"/>
  <c r="AH74" i="20"/>
  <c r="AI74" i="20"/>
  <c r="AG74" i="20"/>
  <c r="I47" i="24"/>
  <c r="J47" i="24"/>
  <c r="K47" i="24"/>
  <c r="I46" i="24"/>
  <c r="J46" i="24"/>
  <c r="K46" i="24"/>
  <c r="I45" i="24"/>
  <c r="J45" i="24"/>
  <c r="K45" i="24"/>
  <c r="I44" i="24"/>
  <c r="J44" i="24"/>
  <c r="K44" i="24"/>
  <c r="I43" i="24"/>
  <c r="J43" i="24"/>
  <c r="K43" i="24"/>
  <c r="I40" i="24"/>
  <c r="J40" i="24"/>
  <c r="K40" i="24"/>
  <c r="I39" i="24"/>
  <c r="J39" i="24"/>
  <c r="K39" i="24"/>
  <c r="I38" i="24"/>
  <c r="J38" i="24"/>
  <c r="K38" i="24"/>
  <c r="I37" i="24"/>
  <c r="J37" i="24"/>
  <c r="K37" i="24"/>
  <c r="I36" i="24"/>
  <c r="J36" i="24"/>
  <c r="K36" i="24"/>
  <c r="I35" i="24"/>
  <c r="J35" i="24"/>
  <c r="K35" i="24"/>
  <c r="I34" i="24"/>
  <c r="J34" i="24"/>
  <c r="K34" i="24"/>
  <c r="I33" i="24"/>
  <c r="J33" i="24"/>
  <c r="K33" i="24"/>
  <c r="I32" i="24"/>
  <c r="J32" i="24"/>
  <c r="K32" i="24"/>
  <c r="K19" i="24"/>
  <c r="I18" i="24"/>
  <c r="J18" i="24"/>
  <c r="K18" i="24"/>
  <c r="I17" i="24"/>
  <c r="J17" i="24"/>
  <c r="K17" i="24"/>
  <c r="I16" i="24"/>
  <c r="J16" i="24"/>
  <c r="K16" i="24"/>
  <c r="V56" i="20"/>
  <c r="X56" i="20"/>
  <c r="X61" i="20"/>
  <c r="D19" i="24"/>
  <c r="E19" i="24"/>
  <c r="F19" i="24"/>
  <c r="D18" i="24"/>
  <c r="E18" i="24"/>
  <c r="F18" i="24"/>
  <c r="D17" i="24"/>
  <c r="E17" i="24"/>
  <c r="F17" i="24"/>
  <c r="D16" i="24"/>
  <c r="E16" i="24"/>
  <c r="F16" i="24"/>
  <c r="D47" i="24"/>
  <c r="E47" i="24"/>
  <c r="F47" i="24"/>
  <c r="D46" i="24"/>
  <c r="E46" i="24"/>
  <c r="F46" i="24"/>
  <c r="D45" i="24"/>
  <c r="E45" i="24"/>
  <c r="F45" i="24"/>
  <c r="D44" i="24"/>
  <c r="E44" i="24"/>
  <c r="F44" i="24"/>
  <c r="D43" i="24"/>
  <c r="E43" i="24"/>
  <c r="F43" i="24"/>
  <c r="D40" i="24"/>
  <c r="E40" i="24"/>
  <c r="F40" i="24"/>
  <c r="D39" i="24"/>
  <c r="E39" i="24"/>
  <c r="F39" i="24"/>
  <c r="D38" i="24"/>
  <c r="E38" i="24"/>
  <c r="F38" i="24"/>
  <c r="D37" i="24"/>
  <c r="E37" i="24"/>
  <c r="F37" i="24"/>
  <c r="D36" i="24"/>
  <c r="E36" i="24"/>
  <c r="F36" i="24"/>
  <c r="D35" i="24"/>
  <c r="E35" i="24"/>
  <c r="F35" i="24"/>
  <c r="D34" i="24"/>
  <c r="E34" i="24"/>
  <c r="F34" i="24"/>
  <c r="D33" i="24"/>
  <c r="E33" i="24"/>
  <c r="F33" i="24"/>
  <c r="D32" i="24"/>
  <c r="E32" i="24"/>
  <c r="F32" i="24"/>
  <c r="G4" i="22"/>
  <c r="H19" i="22"/>
  <c r="AP68" i="20"/>
  <c r="E4" i="22"/>
  <c r="H17" i="22"/>
  <c r="F4" i="22"/>
  <c r="F23" i="22"/>
  <c r="AP44" i="20"/>
  <c r="AP39" i="20"/>
  <c r="AQ44" i="20"/>
  <c r="AQ39" i="20"/>
  <c r="AR44" i="20"/>
  <c r="AR39" i="20"/>
  <c r="AS44" i="20"/>
  <c r="AS39" i="20"/>
  <c r="AT44" i="20"/>
  <c r="AT39" i="20"/>
  <c r="AU44" i="20"/>
  <c r="AU39" i="20"/>
  <c r="AV44" i="20"/>
  <c r="AV39" i="20"/>
  <c r="AW44" i="20"/>
  <c r="AW39" i="20"/>
  <c r="AP30" i="20"/>
  <c r="AP23" i="20"/>
  <c r="AQ30" i="20"/>
  <c r="AQ23" i="20"/>
  <c r="AR30" i="20"/>
  <c r="AR23" i="20"/>
  <c r="AS30" i="20"/>
  <c r="AS23" i="20"/>
  <c r="AT30" i="20"/>
  <c r="AT23" i="20"/>
  <c r="AU30" i="20"/>
  <c r="AU23" i="20"/>
  <c r="AV30" i="20"/>
  <c r="AV23" i="20"/>
  <c r="AW30" i="20"/>
  <c r="AW23" i="20"/>
  <c r="AP17" i="20"/>
  <c r="AQ17" i="20"/>
  <c r="AR17" i="20"/>
  <c r="AS17" i="20"/>
  <c r="AT17" i="20"/>
  <c r="AU17" i="20"/>
  <c r="AV17" i="20"/>
  <c r="AW17" i="20"/>
  <c r="AC11" i="20"/>
  <c r="O11" i="25"/>
  <c r="AD11" i="20"/>
  <c r="P11" i="25"/>
  <c r="AE11" i="20"/>
  <c r="Q11" i="25"/>
  <c r="AP11" i="20"/>
  <c r="AQ11" i="20"/>
  <c r="AR11" i="20"/>
  <c r="AS11" i="20"/>
  <c r="AT11" i="20"/>
  <c r="AU11" i="20"/>
  <c r="AV11" i="20"/>
  <c r="AW11" i="20"/>
  <c r="AP91" i="20"/>
  <c r="AP85" i="20"/>
  <c r="AP56" i="20"/>
  <c r="H160" i="23"/>
  <c r="H159" i="23"/>
  <c r="H158" i="23"/>
  <c r="H157" i="23"/>
  <c r="H156" i="23"/>
  <c r="H155" i="23"/>
  <c r="H154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6" i="23"/>
  <c r="H135" i="23"/>
  <c r="H134" i="23"/>
  <c r="H133" i="23"/>
  <c r="H132" i="23"/>
  <c r="H131" i="23"/>
  <c r="H130" i="23"/>
  <c r="H129" i="23"/>
  <c r="H126" i="23"/>
  <c r="H125" i="23"/>
  <c r="H124" i="23"/>
  <c r="H123" i="23"/>
  <c r="H122" i="23"/>
  <c r="H121" i="23"/>
  <c r="H120" i="23"/>
  <c r="H117" i="23"/>
  <c r="H116" i="23"/>
  <c r="H115" i="23"/>
  <c r="H114" i="23"/>
  <c r="H113" i="23"/>
  <c r="H112" i="23"/>
  <c r="H111" i="23"/>
  <c r="H110" i="23"/>
  <c r="H107" i="23"/>
  <c r="H106" i="23"/>
  <c r="H105" i="23"/>
  <c r="H104" i="23"/>
  <c r="H103" i="23"/>
  <c r="H102" i="23"/>
  <c r="H101" i="23"/>
  <c r="H100" i="23"/>
  <c r="H97" i="23"/>
  <c r="H96" i="23"/>
  <c r="H95" i="23"/>
  <c r="H94" i="23"/>
  <c r="H93" i="23"/>
  <c r="H92" i="23"/>
  <c r="H91" i="23"/>
  <c r="H90" i="23"/>
  <c r="H89" i="23"/>
  <c r="H88" i="23"/>
  <c r="H84" i="23"/>
  <c r="H83" i="23"/>
  <c r="H82" i="23"/>
  <c r="H81" i="23"/>
  <c r="H80" i="23"/>
  <c r="H79" i="23"/>
  <c r="H78" i="23"/>
  <c r="H77" i="23"/>
  <c r="H76" i="23"/>
  <c r="H74" i="23"/>
  <c r="H73" i="23"/>
  <c r="H72" i="23"/>
  <c r="H71" i="23"/>
  <c r="H70" i="23"/>
  <c r="H69" i="23"/>
  <c r="H68" i="23"/>
  <c r="H67" i="23"/>
  <c r="H66" i="23"/>
  <c r="H63" i="23"/>
  <c r="H61" i="23"/>
  <c r="H58" i="23"/>
  <c r="H55" i="23"/>
  <c r="H54" i="23"/>
  <c r="H53" i="23"/>
  <c r="H52" i="23"/>
  <c r="H51" i="23"/>
  <c r="H50" i="23"/>
  <c r="H49" i="23"/>
  <c r="H48" i="23"/>
  <c r="H47" i="23"/>
  <c r="H46" i="23"/>
  <c r="H45" i="23"/>
  <c r="H42" i="23"/>
  <c r="H39" i="23"/>
  <c r="H38" i="23"/>
  <c r="H37" i="23"/>
  <c r="H36" i="23"/>
  <c r="H35" i="23"/>
  <c r="H34" i="23"/>
  <c r="H33" i="23"/>
  <c r="H32" i="23"/>
  <c r="H31" i="23"/>
  <c r="H30" i="23"/>
  <c r="H29" i="23"/>
  <c r="H26" i="23"/>
  <c r="H23" i="23"/>
  <c r="H22" i="23"/>
  <c r="H21" i="23"/>
  <c r="H20" i="23"/>
  <c r="H19" i="23"/>
  <c r="H18" i="23"/>
  <c r="H17" i="23"/>
  <c r="H16" i="23"/>
  <c r="H15" i="23"/>
  <c r="H14" i="23"/>
  <c r="H13" i="23"/>
  <c r="H10" i="23"/>
  <c r="H7" i="23"/>
  <c r="BG39" i="20"/>
  <c r="BI39" i="20"/>
  <c r="BH39" i="20"/>
  <c r="BG23" i="20"/>
  <c r="BI23" i="20"/>
  <c r="BH23" i="20"/>
  <c r="BG17" i="20"/>
  <c r="X39" i="20"/>
  <c r="Z39" i="20"/>
  <c r="X100" i="20"/>
  <c r="X44" i="20"/>
  <c r="Z44" i="20"/>
  <c r="Y44" i="20"/>
  <c r="X30" i="20"/>
  <c r="Z30" i="20"/>
  <c r="X23" i="20"/>
  <c r="E23" i="22"/>
  <c r="Z100" i="20"/>
  <c r="Y100" i="20"/>
  <c r="AG11" i="20"/>
  <c r="R11" i="25"/>
  <c r="K77" i="25"/>
  <c r="EB98" i="20"/>
  <c r="EA98" i="20"/>
  <c r="AC98" i="20"/>
  <c r="DB23" i="20"/>
  <c r="Y30" i="20"/>
  <c r="Y39" i="20"/>
  <c r="FE94" i="20"/>
  <c r="EV94" i="20"/>
  <c r="FE88" i="20"/>
  <c r="EV80" i="20"/>
  <c r="FA79" i="20"/>
  <c r="EV76" i="20"/>
  <c r="FA65" i="20"/>
  <c r="FE64" i="20"/>
  <c r="FA61" i="20"/>
  <c r="EY61" i="20"/>
  <c r="EY59" i="20"/>
  <c r="ET69" i="20"/>
  <c r="EU92" i="20"/>
  <c r="EY89" i="20"/>
  <c r="EY77" i="20"/>
  <c r="FD76" i="20"/>
  <c r="EY71" i="20"/>
  <c r="FC71" i="20"/>
  <c r="ET65" i="20"/>
  <c r="FC94" i="20"/>
  <c r="ET86" i="20"/>
  <c r="EX83" i="20"/>
  <c r="ET80" i="20"/>
  <c r="EX71" i="20"/>
  <c r="FC70" i="20"/>
  <c r="EX65" i="20"/>
  <c r="FC58" i="20"/>
  <c r="ET58" i="20"/>
  <c r="EV61" i="20"/>
  <c r="ES96" i="20"/>
  <c r="EW95" i="20"/>
  <c r="ES92" i="20"/>
  <c r="EW81" i="20"/>
  <c r="FB80" i="20"/>
  <c r="EW77" i="20"/>
  <c r="FB66" i="20"/>
  <c r="ES66" i="20"/>
  <c r="FB62" i="20"/>
  <c r="FE63" i="20"/>
  <c r="FE61" i="20"/>
  <c r="ET77" i="20"/>
  <c r="FA92" i="20"/>
  <c r="FE89" i="20"/>
  <c r="FA86" i="20"/>
  <c r="FE77" i="20"/>
  <c r="EV77" i="20"/>
  <c r="FE71" i="20"/>
  <c r="EX78" i="20"/>
  <c r="EX72" i="20"/>
  <c r="EU95" i="20"/>
  <c r="EY86" i="20"/>
  <c r="FD83" i="20"/>
  <c r="EY80" i="20"/>
  <c r="FD71" i="20"/>
  <c r="EU71" i="20"/>
  <c r="FD65" i="20"/>
  <c r="EU59" i="20"/>
  <c r="EY58" i="20"/>
  <c r="ET95" i="20"/>
  <c r="FC61" i="20"/>
  <c r="ET57" i="20"/>
  <c r="FB93" i="20"/>
  <c r="ES83" i="20"/>
  <c r="EW82" i="20"/>
  <c r="ES79" i="20"/>
  <c r="EW70" i="20"/>
  <c r="FB69" i="20"/>
  <c r="EW64" i="20"/>
  <c r="FB57" i="20"/>
  <c r="ES57" i="20"/>
  <c r="FD58" i="20"/>
  <c r="DT78" i="20"/>
  <c r="DT75" i="20" s="1"/>
  <c r="DU78" i="20"/>
  <c r="BE11" i="25"/>
  <c r="EA11" i="20"/>
  <c r="BC17" i="25"/>
  <c r="BB17" i="25"/>
  <c r="AQ17" i="25"/>
  <c r="AO17" i="25"/>
  <c r="AD17" i="25"/>
  <c r="AB17" i="25"/>
  <c r="P17" i="25"/>
  <c r="O17" i="25"/>
  <c r="BG17" i="25"/>
  <c r="BH17" i="25"/>
  <c r="AV17" i="25"/>
  <c r="AU17" i="25"/>
  <c r="T17" i="25"/>
  <c r="X92" i="20"/>
  <c r="X94" i="20"/>
  <c r="X96" i="20"/>
  <c r="X95" i="20"/>
  <c r="CU23" i="20"/>
  <c r="BE30" i="25"/>
  <c r="BE23" i="25"/>
  <c r="O30" i="20"/>
  <c r="K30" i="20"/>
  <c r="BI17" i="20"/>
  <c r="BH17" i="20"/>
  <c r="EG39" i="20"/>
  <c r="M39" i="20"/>
  <c r="DS96" i="20"/>
  <c r="DO95" i="20"/>
  <c r="DU94" i="20"/>
  <c r="DT89" i="20"/>
  <c r="DO83" i="20"/>
  <c r="DU82" i="20"/>
  <c r="DT79" i="20"/>
  <c r="DO73" i="20"/>
  <c r="DU72" i="20"/>
  <c r="DT94" i="20"/>
  <c r="DO88" i="20"/>
  <c r="DU87" i="20"/>
  <c r="DT82" i="20"/>
  <c r="DO78" i="20"/>
  <c r="DU77" i="20"/>
  <c r="DO93" i="20"/>
  <c r="DU92" i="20"/>
  <c r="DT87" i="20"/>
  <c r="DO81" i="20"/>
  <c r="DU80" i="20"/>
  <c r="DT77" i="20"/>
  <c r="DO71" i="20"/>
  <c r="DO96" i="20"/>
  <c r="DU95" i="20"/>
  <c r="DT92" i="20"/>
  <c r="DO86" i="20"/>
  <c r="DU83" i="20"/>
  <c r="DT80" i="20"/>
  <c r="DO76" i="20"/>
  <c r="DU73" i="20"/>
  <c r="DT95" i="20"/>
  <c r="DO89" i="20"/>
  <c r="DU88" i="20"/>
  <c r="DT83" i="20"/>
  <c r="DO79" i="20"/>
  <c r="DT73" i="20"/>
  <c r="DO94" i="20"/>
  <c r="DU93" i="20"/>
  <c r="DT88" i="20"/>
  <c r="DO82" i="20"/>
  <c r="DU81" i="20"/>
  <c r="DU96" i="20"/>
  <c r="DT93" i="20"/>
  <c r="DO87" i="20"/>
  <c r="DO85" i="20" s="1"/>
  <c r="DU86" i="20"/>
  <c r="DT81" i="20"/>
  <c r="DO77" i="20"/>
  <c r="DU76" i="20"/>
  <c r="DT71" i="20"/>
  <c r="DO72" i="20"/>
  <c r="DT69" i="20"/>
  <c r="DS64" i="20"/>
  <c r="DO63" i="20"/>
  <c r="DU62" i="20"/>
  <c r="DT59" i="20"/>
  <c r="DT70" i="20"/>
  <c r="DO66" i="20"/>
  <c r="DU65" i="20"/>
  <c r="DT62" i="20"/>
  <c r="DO58" i="20"/>
  <c r="DU57" i="20"/>
  <c r="DU89" i="20"/>
  <c r="DU63" i="20"/>
  <c r="DT96" i="20"/>
  <c r="DU70" i="20"/>
  <c r="DT65" i="20"/>
  <c r="DO61" i="20"/>
  <c r="DU60" i="20"/>
  <c r="DT57" i="20"/>
  <c r="DT56" i="20" s="1"/>
  <c r="DT86" i="20"/>
  <c r="DT85" i="20" s="1"/>
  <c r="DO64" i="20"/>
  <c r="DO80" i="20"/>
  <c r="DT66" i="20"/>
  <c r="DO62" i="20"/>
  <c r="DU61" i="20"/>
  <c r="DR60" i="20"/>
  <c r="DT58" i="20"/>
  <c r="DO65" i="20"/>
  <c r="DU64" i="20"/>
  <c r="DT61" i="20"/>
  <c r="DO57" i="20"/>
  <c r="DT72" i="20"/>
  <c r="DT68" i="20" s="1"/>
  <c r="DU71" i="20"/>
  <c r="DO70" i="20"/>
  <c r="DU69" i="20"/>
  <c r="DT64" i="20"/>
  <c r="DO60" i="20"/>
  <c r="DO92" i="20"/>
  <c r="DO59" i="20"/>
  <c r="DU66" i="20"/>
  <c r="DO69" i="20"/>
  <c r="DO68" i="20" s="1"/>
  <c r="DT76" i="20"/>
  <c r="DU79" i="20"/>
  <c r="DT63" i="20"/>
  <c r="DT60" i="20"/>
  <c r="DU59" i="20"/>
  <c r="DU58" i="20"/>
  <c r="DU56" i="20" s="1"/>
  <c r="CK96" i="20"/>
  <c r="CD95" i="20"/>
  <c r="CK92" i="20"/>
  <c r="CD89" i="20"/>
  <c r="CK86" i="20"/>
  <c r="CD83" i="20"/>
  <c r="CK80" i="20"/>
  <c r="CD79" i="20"/>
  <c r="CK76" i="20"/>
  <c r="CD73" i="20"/>
  <c r="CK70" i="20"/>
  <c r="CD69" i="20"/>
  <c r="CL95" i="20"/>
  <c r="CE94" i="20"/>
  <c r="CL89" i="20"/>
  <c r="CE88" i="20"/>
  <c r="CL83" i="20"/>
  <c r="CE82" i="20"/>
  <c r="CL79" i="20"/>
  <c r="CE78" i="20"/>
  <c r="CL73" i="20"/>
  <c r="CE72" i="20"/>
  <c r="CL69" i="20"/>
  <c r="CK95" i="20"/>
  <c r="CD94" i="20"/>
  <c r="CK89" i="20"/>
  <c r="CD88" i="20"/>
  <c r="CK83" i="20"/>
  <c r="CD82" i="20"/>
  <c r="CK79" i="20"/>
  <c r="CD78" i="20"/>
  <c r="CK73" i="20"/>
  <c r="CD72" i="20"/>
  <c r="CK69" i="20"/>
  <c r="CL94" i="20"/>
  <c r="CE93" i="20"/>
  <c r="CL88" i="20"/>
  <c r="CE87" i="20"/>
  <c r="CL82" i="20"/>
  <c r="CE81" i="20"/>
  <c r="CL78" i="20"/>
  <c r="CE77" i="20"/>
  <c r="CD96" i="20"/>
  <c r="CK93" i="20"/>
  <c r="CD92" i="20"/>
  <c r="CK87" i="20"/>
  <c r="CD86" i="20"/>
  <c r="CK81" i="20"/>
  <c r="CD80" i="20"/>
  <c r="CK77" i="20"/>
  <c r="CD76" i="20"/>
  <c r="CK71" i="20"/>
  <c r="CD70" i="20"/>
  <c r="CL96" i="20"/>
  <c r="CE95" i="20"/>
  <c r="CL92" i="20"/>
  <c r="CE89" i="20"/>
  <c r="CL86" i="20"/>
  <c r="CE83" i="20"/>
  <c r="CK82" i="20"/>
  <c r="CL77" i="20"/>
  <c r="CE96" i="20"/>
  <c r="CL81" i="20"/>
  <c r="CL76" i="20"/>
  <c r="CE70" i="20"/>
  <c r="CK64" i="20"/>
  <c r="CD63" i="20"/>
  <c r="CK60" i="20"/>
  <c r="CD59" i="20"/>
  <c r="CK88" i="20"/>
  <c r="CE92" i="20"/>
  <c r="CL80" i="20"/>
  <c r="CD77" i="20"/>
  <c r="CL71" i="20"/>
  <c r="CE66" i="20"/>
  <c r="CL63" i="20"/>
  <c r="CE62" i="20"/>
  <c r="CL59" i="20"/>
  <c r="CE58" i="20"/>
  <c r="CE86" i="20"/>
  <c r="CD81" i="20"/>
  <c r="CE79" i="20"/>
  <c r="CE69" i="20"/>
  <c r="CD66" i="20"/>
  <c r="CK63" i="20"/>
  <c r="CD62" i="20"/>
  <c r="CK59" i="20"/>
  <c r="CD58" i="20"/>
  <c r="CK94" i="20"/>
  <c r="CD87" i="20"/>
  <c r="CK72" i="20"/>
  <c r="CK68" i="20" s="1"/>
  <c r="CK78" i="20"/>
  <c r="CL93" i="20"/>
  <c r="CE80" i="20"/>
  <c r="CE76" i="20"/>
  <c r="CE71" i="20"/>
  <c r="CL66" i="20"/>
  <c r="CE65" i="20"/>
  <c r="CL62" i="20"/>
  <c r="CE61" i="20"/>
  <c r="CL58" i="20"/>
  <c r="CE57" i="20"/>
  <c r="CL70" i="20"/>
  <c r="CL57" i="20"/>
  <c r="CK65" i="20"/>
  <c r="CD93" i="20"/>
  <c r="CL87" i="20"/>
  <c r="CL72" i="20"/>
  <c r="CD71" i="20"/>
  <c r="CK66" i="20"/>
  <c r="CD65" i="20"/>
  <c r="CK62" i="20"/>
  <c r="CD61" i="20"/>
  <c r="CK58" i="20"/>
  <c r="CD57" i="20"/>
  <c r="CE73" i="20"/>
  <c r="CL65" i="20"/>
  <c r="CE64" i="20"/>
  <c r="CL61" i="20"/>
  <c r="CE60" i="20"/>
  <c r="CK57" i="20"/>
  <c r="CE59" i="20"/>
  <c r="CE63" i="20"/>
  <c r="CL64" i="20"/>
  <c r="CD64" i="20"/>
  <c r="CL60" i="20"/>
  <c r="CD60" i="20"/>
  <c r="CK61" i="20"/>
  <c r="BN23" i="20"/>
  <c r="AD23" i="25"/>
  <c r="Z11" i="25"/>
  <c r="O30" i="25"/>
  <c r="DB39" i="20"/>
  <c r="DB9" i="20"/>
  <c r="H4" i="22"/>
  <c r="DZ75" i="20"/>
  <c r="CP39" i="20"/>
  <c r="CR39" i="20"/>
  <c r="CQ39" i="20"/>
  <c r="G23" i="22"/>
  <c r="CP44" i="20"/>
  <c r="CS44" i="20"/>
  <c r="CP17" i="20"/>
  <c r="CP100" i="20"/>
  <c r="CP11" i="20"/>
  <c r="CS11" i="20"/>
  <c r="CT11" i="20"/>
  <c r="CP23" i="20"/>
  <c r="CR23" i="20"/>
  <c r="CP30" i="20"/>
  <c r="CR30" i="20"/>
  <c r="CQ30" i="20"/>
  <c r="CP75" i="20"/>
  <c r="X11" i="20"/>
  <c r="Z11" i="20"/>
  <c r="BG100" i="20"/>
  <c r="DZ91" i="20"/>
  <c r="DZ95" i="20"/>
  <c r="F89" i="25"/>
  <c r="BG87" i="20"/>
  <c r="AX85" i="25"/>
  <c r="EF39" i="20"/>
  <c r="EF9" i="20"/>
  <c r="S44" i="20"/>
  <c r="AV39" i="25"/>
  <c r="K44" i="20"/>
  <c r="BH39" i="25"/>
  <c r="BC30" i="25"/>
  <c r="CY23" i="20"/>
  <c r="EE39" i="20"/>
  <c r="EE9" i="20"/>
  <c r="AK85" i="25"/>
  <c r="AX63" i="25"/>
  <c r="EM39" i="20"/>
  <c r="BB39" i="25"/>
  <c r="AT30" i="25"/>
  <c r="EL23" i="20"/>
  <c r="BH23" i="25"/>
  <c r="EY9" i="20"/>
  <c r="Q30" i="25"/>
  <c r="CZ17" i="20"/>
  <c r="AS17" i="25"/>
  <c r="AK39" i="20"/>
  <c r="AK79" i="25"/>
  <c r="AB30" i="25"/>
  <c r="O100" i="20"/>
  <c r="AQ30" i="25"/>
  <c r="BL23" i="20"/>
  <c r="AB23" i="25"/>
  <c r="AW58" i="20"/>
  <c r="BB92" i="20"/>
  <c r="X79" i="25"/>
  <c r="X63" i="25"/>
  <c r="S11" i="20"/>
  <c r="Q11" i="20"/>
  <c r="CP93" i="20"/>
  <c r="CP95" i="20"/>
  <c r="CP94" i="20"/>
  <c r="CP96" i="20"/>
  <c r="CP92" i="20"/>
  <c r="Z98" i="20"/>
  <c r="Y98" i="20"/>
  <c r="AK75" i="25"/>
  <c r="R17" i="20"/>
  <c r="U17" i="25"/>
  <c r="V17" i="25"/>
  <c r="K100" i="20"/>
  <c r="P100" i="20"/>
  <c r="L98" i="20"/>
  <c r="K79" i="25"/>
  <c r="X85" i="25"/>
  <c r="EV9" i="20"/>
  <c r="K98" i="20"/>
  <c r="BJ9" i="20"/>
  <c r="AJ23" i="20"/>
  <c r="BC11" i="25"/>
  <c r="AP30" i="25"/>
  <c r="BB30" i="25"/>
  <c r="AD23" i="20"/>
  <c r="AD9" i="20"/>
  <c r="DZ89" i="20"/>
  <c r="F83" i="25"/>
  <c r="R30" i="20"/>
  <c r="L100" i="20"/>
  <c r="BZ9" i="20"/>
  <c r="BP9" i="20"/>
  <c r="ET9" i="20"/>
  <c r="DN9" i="20"/>
  <c r="CP88" i="20"/>
  <c r="CP86" i="20"/>
  <c r="K74" i="25"/>
  <c r="K69" i="25"/>
  <c r="BY9" i="20"/>
  <c r="AE9" i="20"/>
  <c r="CP89" i="20"/>
  <c r="X86" i="20"/>
  <c r="X88" i="20"/>
  <c r="X89" i="20"/>
  <c r="BK30" i="20"/>
  <c r="I30" i="20"/>
  <c r="X69" i="25"/>
  <c r="F51" i="25"/>
  <c r="X101" i="20"/>
  <c r="AE101" i="20"/>
  <c r="X98" i="20"/>
  <c r="AU9" i="20"/>
  <c r="AK63" i="25"/>
  <c r="R11" i="20"/>
  <c r="AX69" i="25"/>
  <c r="K85" i="25"/>
  <c r="T30" i="25"/>
  <c r="DZ87" i="20"/>
  <c r="F81" i="25"/>
  <c r="AT39" i="25"/>
  <c r="R100" i="20"/>
  <c r="DZ86" i="20"/>
  <c r="F80" i="25"/>
  <c r="CP66" i="20"/>
  <c r="K51" i="25"/>
  <c r="AK51" i="25"/>
  <c r="X51" i="25"/>
  <c r="CP61" i="20"/>
  <c r="F63" i="25"/>
  <c r="CP72" i="20"/>
  <c r="CP73" i="20"/>
  <c r="AP54" i="20"/>
  <c r="CP70" i="20"/>
  <c r="X70" i="20"/>
  <c r="CP69" i="20"/>
  <c r="X73" i="20"/>
  <c r="BG64" i="20"/>
  <c r="BG58" i="20"/>
  <c r="BG60" i="20"/>
  <c r="BG59" i="20"/>
  <c r="BG62" i="20"/>
  <c r="BG65" i="20"/>
  <c r="BG63" i="20"/>
  <c r="BG66" i="20"/>
  <c r="BG57" i="20"/>
  <c r="BG61" i="20"/>
  <c r="CP57" i="20"/>
  <c r="AX51" i="25"/>
  <c r="CP62" i="20"/>
  <c r="X66" i="20"/>
  <c r="CP60" i="20"/>
  <c r="CP64" i="20"/>
  <c r="E56" i="20"/>
  <c r="X65" i="20"/>
  <c r="CP58" i="20"/>
  <c r="X58" i="20"/>
  <c r="X62" i="20"/>
  <c r="BG69" i="20"/>
  <c r="BG72" i="20"/>
  <c r="BG54" i="20"/>
  <c r="E68" i="20"/>
  <c r="BG71" i="20"/>
  <c r="BG70" i="20"/>
  <c r="BG73" i="20"/>
  <c r="X78" i="20"/>
  <c r="X76" i="20"/>
  <c r="X77" i="20"/>
  <c r="X83" i="20"/>
  <c r="X81" i="20"/>
  <c r="X80" i="20"/>
  <c r="X82" i="20"/>
  <c r="X79" i="20"/>
  <c r="X54" i="20"/>
  <c r="AH11" i="20"/>
  <c r="S11" i="25"/>
  <c r="AU23" i="25"/>
  <c r="AP39" i="25"/>
  <c r="CY44" i="20"/>
  <c r="CQ44" i="20"/>
  <c r="BM23" i="20"/>
  <c r="AC30" i="25"/>
  <c r="X64" i="20"/>
  <c r="X59" i="20"/>
  <c r="X57" i="20"/>
  <c r="X63" i="20"/>
  <c r="X60" i="20"/>
  <c r="AD39" i="25"/>
  <c r="M44" i="20"/>
  <c r="DH9" i="20"/>
  <c r="DM9" i="20"/>
  <c r="BY54" i="20"/>
  <c r="ER54" i="20"/>
  <c r="AJ39" i="20"/>
  <c r="U39" i="25"/>
  <c r="X69" i="20"/>
  <c r="AX79" i="25"/>
  <c r="P98" i="20"/>
  <c r="E85" i="20"/>
  <c r="CP59" i="20"/>
  <c r="CP63" i="20"/>
  <c r="Q100" i="20"/>
  <c r="BR98" i="20"/>
  <c r="Q98" i="20"/>
  <c r="Z23" i="20"/>
  <c r="X71" i="20"/>
  <c r="CA9" i="20"/>
  <c r="AK72" i="25"/>
  <c r="R17" i="25"/>
  <c r="AH17" i="20"/>
  <c r="S17" i="25"/>
  <c r="L44" i="20"/>
  <c r="ES9" i="20"/>
  <c r="DA9" i="20"/>
  <c r="AT17" i="25"/>
  <c r="AQ9" i="20"/>
  <c r="AO11" i="25"/>
  <c r="DI9" i="20"/>
  <c r="DH54" i="20"/>
  <c r="EU9" i="20"/>
  <c r="AK74" i="20"/>
  <c r="CY11" i="20"/>
  <c r="CQ11" i="20"/>
  <c r="CV9" i="20"/>
  <c r="AP17" i="25"/>
  <c r="CE9" i="20"/>
  <c r="EW9" i="20"/>
  <c r="K63" i="25"/>
  <c r="CF9" i="20"/>
  <c r="CW9" i="20"/>
  <c r="DO9" i="20"/>
  <c r="AP9" i="20"/>
  <c r="AA11" i="25"/>
  <c r="DL9" i="20"/>
  <c r="O23" i="25"/>
  <c r="BI30" i="25"/>
  <c r="EM23" i="20"/>
  <c r="AT9" i="20"/>
  <c r="DJ9" i="20"/>
  <c r="T23" i="25"/>
  <c r="BG11" i="25"/>
  <c r="EG23" i="20"/>
  <c r="M30" i="20"/>
  <c r="AS9" i="20"/>
  <c r="M11" i="20"/>
  <c r="AD11" i="25"/>
  <c r="V30" i="25"/>
  <c r="S30" i="20"/>
  <c r="AK23" i="20"/>
  <c r="AH30" i="20"/>
  <c r="R30" i="25"/>
  <c r="AC17" i="25"/>
  <c r="BB23" i="25"/>
  <c r="K17" i="20"/>
  <c r="AW9" i="20"/>
  <c r="BG9" i="20"/>
  <c r="DK9" i="20"/>
  <c r="EX9" i="20"/>
  <c r="AR9" i="20"/>
  <c r="Q44" i="20"/>
  <c r="T39" i="25"/>
  <c r="BH11" i="25"/>
  <c r="DC23" i="20"/>
  <c r="AV23" i="25"/>
  <c r="AV9" i="20"/>
  <c r="BK44" i="20"/>
  <c r="BC23" i="25"/>
  <c r="P39" i="20"/>
  <c r="L11" i="20"/>
  <c r="AH44" i="20"/>
  <c r="EJ11" i="20"/>
  <c r="R44" i="20"/>
  <c r="L17" i="20"/>
  <c r="AE17" i="25"/>
  <c r="BQ17" i="20"/>
  <c r="AI39" i="20"/>
  <c r="Q17" i="20"/>
  <c r="O39" i="20"/>
  <c r="CC9" i="20"/>
  <c r="ER9" i="20"/>
  <c r="BE39" i="25"/>
  <c r="U11" i="25"/>
  <c r="CD9" i="20"/>
  <c r="AR30" i="25"/>
  <c r="CZ30" i="20"/>
  <c r="AS30" i="25"/>
  <c r="AC9" i="20"/>
  <c r="K11" i="20"/>
  <c r="CB23" i="20"/>
  <c r="CB9" i="20"/>
  <c r="L30" i="20"/>
  <c r="EK39" i="20"/>
  <c r="EK30" i="20"/>
  <c r="Q30" i="20"/>
  <c r="Q17" i="25"/>
  <c r="AW82" i="20"/>
  <c r="BB82" i="20"/>
  <c r="BB77" i="20"/>
  <c r="BB89" i="20"/>
  <c r="AW70" i="20"/>
  <c r="BB65" i="20"/>
  <c r="BB95" i="20"/>
  <c r="AW80" i="20"/>
  <c r="BB63" i="20"/>
  <c r="AW60" i="20"/>
  <c r="AW71" i="20"/>
  <c r="AW76" i="20"/>
  <c r="BB66" i="20"/>
  <c r="BB69" i="20"/>
  <c r="BB57" i="20"/>
  <c r="AW69" i="20"/>
  <c r="BB87" i="20"/>
  <c r="BB59" i="20"/>
  <c r="AW64" i="20"/>
  <c r="AW78" i="20"/>
  <c r="BB73" i="20"/>
  <c r="AW95" i="20"/>
  <c r="BB78" i="20"/>
  <c r="BB71" i="20"/>
  <c r="AW81" i="20"/>
  <c r="BB61" i="20"/>
  <c r="BB64" i="20"/>
  <c r="AW57" i="20"/>
  <c r="AW66" i="20"/>
  <c r="BB70" i="20"/>
  <c r="AW62" i="20"/>
  <c r="BB93" i="20"/>
  <c r="AW63" i="20"/>
  <c r="AW77" i="20"/>
  <c r="AW65" i="20"/>
  <c r="BB80" i="20"/>
  <c r="BB79" i="20"/>
  <c r="AW93" i="20"/>
  <c r="AW92" i="20"/>
  <c r="BB83" i="20"/>
  <c r="BB96" i="20"/>
  <c r="BB94" i="20"/>
  <c r="BB76" i="20"/>
  <c r="AW86" i="20"/>
  <c r="AW94" i="20"/>
  <c r="AW59" i="20"/>
  <c r="BB58" i="20"/>
  <c r="BB72" i="20"/>
  <c r="BB88" i="20"/>
  <c r="AW73" i="20"/>
  <c r="AW96" i="20"/>
  <c r="BB86" i="20"/>
  <c r="AW89" i="20"/>
  <c r="BB62" i="20"/>
  <c r="AW87" i="20"/>
  <c r="BB81" i="20"/>
  <c r="BB60" i="20"/>
  <c r="AW83" i="20"/>
  <c r="AW72" i="20"/>
  <c r="AW61" i="20"/>
  <c r="AW79" i="20"/>
  <c r="AW88" i="20"/>
  <c r="BZ76" i="20"/>
  <c r="BX76" i="20" s="1"/>
  <c r="AB98" i="20"/>
  <c r="J100" i="20"/>
  <c r="CR98" i="20"/>
  <c r="CQ98" i="20"/>
  <c r="O98" i="20"/>
  <c r="BI98" i="20"/>
  <c r="BH98" i="20"/>
  <c r="H100" i="20"/>
  <c r="R98" i="20"/>
  <c r="BT98" i="20"/>
  <c r="S100" i="20"/>
  <c r="CQ23" i="20"/>
  <c r="X4" i="20"/>
  <c r="H11" i="20"/>
  <c r="Y11" i="20"/>
  <c r="BI9" i="20"/>
  <c r="R39" i="20"/>
  <c r="AO23" i="25"/>
  <c r="CU9" i="20"/>
  <c r="DZ77" i="20"/>
  <c r="DZ83" i="20"/>
  <c r="F77" i="25"/>
  <c r="DZ79" i="20"/>
  <c r="F73" i="25"/>
  <c r="DZ81" i="20"/>
  <c r="F75" i="25"/>
  <c r="DZ76" i="20"/>
  <c r="F70" i="25"/>
  <c r="DZ82" i="20"/>
  <c r="F76" i="25"/>
  <c r="DZ78" i="20"/>
  <c r="F72" i="25"/>
  <c r="DZ80" i="20"/>
  <c r="F74" i="25"/>
  <c r="AM39" i="25"/>
  <c r="CT44" i="20"/>
  <c r="I44" i="20"/>
  <c r="CP80" i="20"/>
  <c r="CP76" i="20"/>
  <c r="E76" i="20"/>
  <c r="CP83" i="20"/>
  <c r="CP79" i="20"/>
  <c r="E79" i="20"/>
  <c r="CP54" i="20"/>
  <c r="E75" i="20"/>
  <c r="CP78" i="20"/>
  <c r="CP81" i="20"/>
  <c r="E81" i="20"/>
  <c r="CP77" i="20"/>
  <c r="CP82" i="20"/>
  <c r="BG98" i="20"/>
  <c r="BG5" i="20"/>
  <c r="F24" i="22"/>
  <c r="F25" i="22"/>
  <c r="BG101" i="20"/>
  <c r="CZ23" i="20"/>
  <c r="AS23" i="25"/>
  <c r="AR23" i="25"/>
  <c r="EL9" i="20"/>
  <c r="K23" i="20"/>
  <c r="K39" i="20"/>
  <c r="BL9" i="20"/>
  <c r="H11" i="25"/>
  <c r="BN9" i="20"/>
  <c r="X9" i="20"/>
  <c r="CR17" i="20"/>
  <c r="CQ17" i="20"/>
  <c r="L39" i="20"/>
  <c r="CP101" i="20"/>
  <c r="E95" i="20"/>
  <c r="CP9" i="20"/>
  <c r="E91" i="20"/>
  <c r="CP98" i="20"/>
  <c r="DZ92" i="20"/>
  <c r="F86" i="25"/>
  <c r="BH9" i="20"/>
  <c r="DZ96" i="20"/>
  <c r="F90" i="25"/>
  <c r="DZ93" i="20"/>
  <c r="F87" i="25"/>
  <c r="DZ94" i="20"/>
  <c r="F88" i="25"/>
  <c r="DZ54" i="20"/>
  <c r="H23" i="22"/>
  <c r="DZ39" i="20"/>
  <c r="DZ23" i="20"/>
  <c r="DZ100" i="20"/>
  <c r="DZ17" i="20"/>
  <c r="DZ44" i="20"/>
  <c r="DZ11" i="20"/>
  <c r="E11" i="20"/>
  <c r="DZ30" i="20"/>
  <c r="L23" i="20"/>
  <c r="EO57" i="20"/>
  <c r="EB57" i="20" s="1"/>
  <c r="AK9" i="20"/>
  <c r="S39" i="20"/>
  <c r="AK69" i="25"/>
  <c r="R23" i="20"/>
  <c r="U23" i="25"/>
  <c r="E87" i="20"/>
  <c r="E89" i="20"/>
  <c r="AM11" i="25"/>
  <c r="AG23" i="20"/>
  <c r="Y23" i="20"/>
  <c r="P23" i="25"/>
  <c r="AJ9" i="20"/>
  <c r="AC23" i="25"/>
  <c r="BM9" i="20"/>
  <c r="CS9" i="20"/>
  <c r="AA30" i="25"/>
  <c r="J30" i="20"/>
  <c r="BK9" i="20"/>
  <c r="F79" i="25"/>
  <c r="AN11" i="25"/>
  <c r="E88" i="20"/>
  <c r="E86" i="20"/>
  <c r="E64" i="20"/>
  <c r="E60" i="20"/>
  <c r="E58" i="20"/>
  <c r="E61" i="20"/>
  <c r="E71" i="20"/>
  <c r="E72" i="20"/>
  <c r="E73" i="20"/>
  <c r="E69" i="20"/>
  <c r="E70" i="20"/>
  <c r="E57" i="20"/>
  <c r="E62" i="20"/>
  <c r="E66" i="20"/>
  <c r="E65" i="20"/>
  <c r="AR39" i="25"/>
  <c r="O44" i="20"/>
  <c r="CZ44" i="20"/>
  <c r="AS39" i="25"/>
  <c r="AR11" i="25"/>
  <c r="CZ11" i="20"/>
  <c r="AS11" i="25"/>
  <c r="F71" i="25"/>
  <c r="Q39" i="20"/>
  <c r="O11" i="20"/>
  <c r="E63" i="20"/>
  <c r="CY9" i="20"/>
  <c r="E59" i="20"/>
  <c r="S30" i="25"/>
  <c r="P30" i="20"/>
  <c r="BF17" i="25"/>
  <c r="AI9" i="20"/>
  <c r="BQ9" i="20"/>
  <c r="AF17" i="25"/>
  <c r="DC9" i="20"/>
  <c r="BD23" i="25"/>
  <c r="BF11" i="25"/>
  <c r="EJ9" i="20"/>
  <c r="S23" i="20"/>
  <c r="V23" i="25"/>
  <c r="BI23" i="25"/>
  <c r="M23" i="20"/>
  <c r="AA39" i="25"/>
  <c r="J44" i="20"/>
  <c r="P17" i="20"/>
  <c r="EK23" i="20"/>
  <c r="BG30" i="25"/>
  <c r="S39" i="25"/>
  <c r="DU68" i="20"/>
  <c r="DU85" i="20"/>
  <c r="F100" i="20"/>
  <c r="AE100" i="20"/>
  <c r="Q95" i="25"/>
  <c r="AA101" i="20"/>
  <c r="S98" i="20"/>
  <c r="J98" i="20"/>
  <c r="H98" i="20"/>
  <c r="K9" i="20"/>
  <c r="E80" i="20"/>
  <c r="E83" i="20"/>
  <c r="E82" i="20"/>
  <c r="E77" i="20"/>
  <c r="E78" i="20"/>
  <c r="X5" i="20"/>
  <c r="E24" i="22"/>
  <c r="E25" i="22"/>
  <c r="F11" i="20"/>
  <c r="G11" i="20"/>
  <c r="R9" i="20"/>
  <c r="AN39" i="25"/>
  <c r="CT9" i="20"/>
  <c r="CP4" i="20"/>
  <c r="BG4" i="20"/>
  <c r="BJ101" i="20"/>
  <c r="E54" i="20"/>
  <c r="E93" i="20"/>
  <c r="CR9" i="20"/>
  <c r="E96" i="20"/>
  <c r="L9" i="20"/>
  <c r="CP5" i="20"/>
  <c r="G24" i="22"/>
  <c r="G25" i="22"/>
  <c r="Z9" i="20"/>
  <c r="Y9" i="20"/>
  <c r="P44" i="20"/>
  <c r="EB30" i="20"/>
  <c r="EA30" i="20"/>
  <c r="F30" i="25"/>
  <c r="E30" i="20"/>
  <c r="EB44" i="20"/>
  <c r="EA44" i="20"/>
  <c r="E44" i="20"/>
  <c r="F85" i="25"/>
  <c r="F17" i="25"/>
  <c r="E17" i="20"/>
  <c r="EB17" i="20"/>
  <c r="DZ101" i="20"/>
  <c r="DZ98" i="20"/>
  <c r="E94" i="20"/>
  <c r="F11" i="25"/>
  <c r="DZ9" i="20"/>
  <c r="EC11" i="20"/>
  <c r="F23" i="25"/>
  <c r="E23" i="20"/>
  <c r="EB23" i="20"/>
  <c r="EA23" i="20"/>
  <c r="E98" i="20"/>
  <c r="E92" i="20"/>
  <c r="F39" i="25"/>
  <c r="EB39" i="20"/>
  <c r="EA39" i="20"/>
  <c r="E39" i="20"/>
  <c r="CS101" i="20"/>
  <c r="CW101" i="20"/>
  <c r="E100" i="20"/>
  <c r="G100" i="20"/>
  <c r="G11" i="25"/>
  <c r="CZ9" i="20"/>
  <c r="P11" i="20"/>
  <c r="O23" i="20"/>
  <c r="R23" i="25"/>
  <c r="AH23" i="20"/>
  <c r="AG9" i="20"/>
  <c r="F69" i="25"/>
  <c r="CQ9" i="20"/>
  <c r="BG23" i="25"/>
  <c r="EK9" i="20"/>
  <c r="Q23" i="20"/>
  <c r="Q9" i="20"/>
  <c r="AA100" i="20"/>
  <c r="M95" i="25"/>
  <c r="AE98" i="20"/>
  <c r="Q94" i="25"/>
  <c r="F98" i="20"/>
  <c r="BJ100" i="20"/>
  <c r="BJ98" i="20"/>
  <c r="Z95" i="25"/>
  <c r="Z94" i="25"/>
  <c r="BN101" i="20"/>
  <c r="G98" i="20"/>
  <c r="I17" i="20"/>
  <c r="AZ17" i="25"/>
  <c r="E101" i="20"/>
  <c r="G101" i="20"/>
  <c r="DZ4" i="20"/>
  <c r="E4" i="20"/>
  <c r="I11" i="25"/>
  <c r="F49" i="25"/>
  <c r="AQ95" i="25"/>
  <c r="AQ94" i="25"/>
  <c r="CW100" i="20"/>
  <c r="H23" i="20"/>
  <c r="H23" i="25"/>
  <c r="AM95" i="25"/>
  <c r="AM94" i="25"/>
  <c r="CS100" i="20"/>
  <c r="CS98" i="20"/>
  <c r="EG101" i="20"/>
  <c r="EC101" i="20"/>
  <c r="F95" i="25"/>
  <c r="H44" i="20"/>
  <c r="F44" i="20"/>
  <c r="G44" i="20"/>
  <c r="H39" i="25"/>
  <c r="H39" i="20"/>
  <c r="AZ11" i="25"/>
  <c r="I11" i="20"/>
  <c r="ED11" i="20"/>
  <c r="EC9" i="20"/>
  <c r="H17" i="25"/>
  <c r="H17" i="20"/>
  <c r="EB9" i="20"/>
  <c r="DZ5" i="20"/>
  <c r="H30" i="20"/>
  <c r="H30" i="25"/>
  <c r="F9" i="25"/>
  <c r="E9" i="20"/>
  <c r="AH9" i="20"/>
  <c r="P23" i="20"/>
  <c r="P9" i="20"/>
  <c r="S23" i="25"/>
  <c r="M94" i="25"/>
  <c r="AA98" i="20"/>
  <c r="I9" i="20"/>
  <c r="BN100" i="20"/>
  <c r="BN98" i="20"/>
  <c r="AD95" i="25"/>
  <c r="AD94" i="25"/>
  <c r="EG9" i="20"/>
  <c r="M17" i="20"/>
  <c r="M9" i="20"/>
  <c r="BD17" i="25"/>
  <c r="EA17" i="20"/>
  <c r="F30" i="20"/>
  <c r="G30" i="20"/>
  <c r="G30" i="25"/>
  <c r="I30" i="25"/>
  <c r="H9" i="20"/>
  <c r="AZ95" i="25"/>
  <c r="I101" i="20"/>
  <c r="EC100" i="20"/>
  <c r="H9" i="25"/>
  <c r="G39" i="25"/>
  <c r="I39" i="25"/>
  <c r="F39" i="20"/>
  <c r="G39" i="20"/>
  <c r="BD95" i="25"/>
  <c r="BD94" i="25"/>
  <c r="EG100" i="20"/>
  <c r="EG98" i="20"/>
  <c r="F23" i="20"/>
  <c r="G23" i="20"/>
  <c r="G23" i="25"/>
  <c r="I23" i="25"/>
  <c r="H24" i="22"/>
  <c r="H25" i="22"/>
  <c r="E5" i="20"/>
  <c r="J11" i="20"/>
  <c r="J9" i="20"/>
  <c r="BA11" i="25"/>
  <c r="ED9" i="20"/>
  <c r="M101" i="20"/>
  <c r="CW98" i="20"/>
  <c r="M98" i="20"/>
  <c r="M100" i="20"/>
  <c r="F94" i="25"/>
  <c r="F92" i="25"/>
  <c r="F4" i="25"/>
  <c r="I95" i="25"/>
  <c r="I94" i="25"/>
  <c r="I92" i="25"/>
  <c r="EM9" i="20"/>
  <c r="S17" i="20"/>
  <c r="S9" i="20"/>
  <c r="BI17" i="25"/>
  <c r="EI9" i="20"/>
  <c r="O17" i="20"/>
  <c r="O9" i="20"/>
  <c r="BE17" i="25"/>
  <c r="EC98" i="20"/>
  <c r="I100" i="20"/>
  <c r="AZ94" i="25"/>
  <c r="EA9" i="20"/>
  <c r="F17" i="20"/>
  <c r="G17" i="25"/>
  <c r="I98" i="20"/>
  <c r="G17" i="20"/>
  <c r="G9" i="20"/>
  <c r="F9" i="20"/>
  <c r="G9" i="25"/>
  <c r="I17" i="25"/>
  <c r="I9" i="25"/>
  <c r="CL56" i="20" l="1"/>
  <c r="CL54" i="20" s="1"/>
  <c r="CL5" i="20" s="1"/>
  <c r="CF80" i="20"/>
  <c r="EP92" i="20"/>
  <c r="EQ92" i="20"/>
  <c r="FA95" i="20"/>
  <c r="EJ57" i="20"/>
  <c r="FA82" i="20"/>
  <c r="EV88" i="20"/>
  <c r="FA73" i="20"/>
  <c r="FE60" i="20"/>
  <c r="EX62" i="20"/>
  <c r="EY83" i="20"/>
  <c r="FD70" i="20"/>
  <c r="ET94" i="20"/>
  <c r="EX79" i="20"/>
  <c r="FC64" i="20"/>
  <c r="EV59" i="20"/>
  <c r="EW89" i="20"/>
  <c r="FB76" i="20"/>
  <c r="ES62" i="20"/>
  <c r="EX70" i="20"/>
  <c r="FE83" i="20"/>
  <c r="EV71" i="20"/>
  <c r="EY94" i="20"/>
  <c r="FD79" i="20"/>
  <c r="EU65" i="20"/>
  <c r="EX94" i="20"/>
  <c r="ES93" i="20"/>
  <c r="EP93" i="20" s="1"/>
  <c r="EW78" i="20"/>
  <c r="FB63" i="20"/>
  <c r="EX88" i="20"/>
  <c r="FA87" i="20"/>
  <c r="FE72" i="20"/>
  <c r="EV60" i="20"/>
  <c r="FC57" i="20"/>
  <c r="FD82" i="20"/>
  <c r="EU70" i="20"/>
  <c r="EX93" i="20"/>
  <c r="FC78" i="20"/>
  <c r="ET64" i="20"/>
  <c r="FA58" i="20"/>
  <c r="FB88" i="20"/>
  <c r="ES76" i="20"/>
  <c r="EW61" i="20"/>
  <c r="FC63" i="20"/>
  <c r="EV83" i="20"/>
  <c r="FA70" i="20"/>
  <c r="FD93" i="20"/>
  <c r="EU79" i="20"/>
  <c r="EP79" i="20" s="1"/>
  <c r="EY64" i="20"/>
  <c r="FC93" i="20"/>
  <c r="EW92" i="20"/>
  <c r="FB77" i="20"/>
  <c r="ES63" i="20"/>
  <c r="EX82" i="20"/>
  <c r="FE86" i="20"/>
  <c r="EV72" i="20"/>
  <c r="FA59" i="20"/>
  <c r="FD96" i="20"/>
  <c r="EU66" i="20"/>
  <c r="EP66" i="20" s="1"/>
  <c r="FC92" i="20"/>
  <c r="ET78" i="20"/>
  <c r="EX63" i="20"/>
  <c r="FC89" i="20"/>
  <c r="ES88" i="20"/>
  <c r="EW73" i="20"/>
  <c r="FB60" i="20"/>
  <c r="EX58" i="20"/>
  <c r="FE69" i="20"/>
  <c r="EY78" i="20"/>
  <c r="FD63" i="20"/>
  <c r="ET93" i="20"/>
  <c r="FB89" i="20"/>
  <c r="ES77" i="20"/>
  <c r="EW62" i="20"/>
  <c r="FC77" i="20"/>
  <c r="EV96" i="20"/>
  <c r="FE66" i="20"/>
  <c r="EY65" i="20"/>
  <c r="EY93" i="20"/>
  <c r="FD78" i="20"/>
  <c r="FC83" i="20"/>
  <c r="EX87" i="20"/>
  <c r="FC72" i="20"/>
  <c r="ET60" i="20"/>
  <c r="ET61" i="20"/>
  <c r="FB82" i="20"/>
  <c r="ES70" i="20"/>
  <c r="EW57" i="20"/>
  <c r="FE93" i="20"/>
  <c r="EV79" i="20"/>
  <c r="EV57" i="20"/>
  <c r="FD87" i="20"/>
  <c r="EU73" i="20"/>
  <c r="EY60" i="20"/>
  <c r="ET73" i="20"/>
  <c r="EW86" i="20"/>
  <c r="FB71" i="20"/>
  <c r="ES59" i="20"/>
  <c r="EP59" i="20" s="1"/>
  <c r="FE80" i="20"/>
  <c r="EV66" i="20"/>
  <c r="EY63" i="20"/>
  <c r="FD92" i="20"/>
  <c r="EU78" i="20"/>
  <c r="ET79" i="20"/>
  <c r="FC86" i="20"/>
  <c r="ET72" i="20"/>
  <c r="EX59" i="20"/>
  <c r="FB96" i="20"/>
  <c r="ES82" i="20"/>
  <c r="EP82" i="20" s="1"/>
  <c r="EW69" i="20"/>
  <c r="FA66" i="20"/>
  <c r="EQ66" i="20" s="1"/>
  <c r="EV93" i="20"/>
  <c r="FA78" i="20"/>
  <c r="EX86" i="20"/>
  <c r="EU87" i="20"/>
  <c r="EY72" i="20"/>
  <c r="FD59" i="20"/>
  <c r="EX66" i="20"/>
  <c r="FB83" i="20"/>
  <c r="ES71" i="20"/>
  <c r="EP71" i="20" s="1"/>
  <c r="EW58" i="20"/>
  <c r="EQ79" i="20"/>
  <c r="FA81" i="20"/>
  <c r="FA93" i="20"/>
  <c r="EQ93" i="20" s="1"/>
  <c r="EV86" i="20"/>
  <c r="FE78" i="20"/>
  <c r="FA71" i="20"/>
  <c r="EQ71" i="20" s="1"/>
  <c r="EV64" i="20"/>
  <c r="FE58" i="20"/>
  <c r="EY57" i="20"/>
  <c r="EU96" i="20"/>
  <c r="EP96" i="20" s="1"/>
  <c r="FD88" i="20"/>
  <c r="EY81" i="20"/>
  <c r="EU76" i="20"/>
  <c r="FD64" i="20"/>
  <c r="FC59" i="20"/>
  <c r="ET92" i="20"/>
  <c r="FC82" i="20"/>
  <c r="EX77" i="20"/>
  <c r="ET70" i="20"/>
  <c r="FC62" i="20"/>
  <c r="EX57" i="20"/>
  <c r="ET81" i="20"/>
  <c r="FB94" i="20"/>
  <c r="EW87" i="20"/>
  <c r="ES80" i="20"/>
  <c r="FB72" i="20"/>
  <c r="EW65" i="20"/>
  <c r="ES60" i="20"/>
  <c r="FE59" i="20"/>
  <c r="FA96" i="20"/>
  <c r="EQ96" i="20" s="1"/>
  <c r="EV89" i="20"/>
  <c r="FE81" i="20"/>
  <c r="FA76" i="20"/>
  <c r="FE65" i="20"/>
  <c r="FC65" i="20"/>
  <c r="EY92" i="20"/>
  <c r="EU83" i="20"/>
  <c r="EP83" i="20" s="1"/>
  <c r="FD77" i="20"/>
  <c r="FD75" i="20" s="1"/>
  <c r="EY70" i="20"/>
  <c r="EU63" i="20"/>
  <c r="EP63" i="20" s="1"/>
  <c r="FD57" i="20"/>
  <c r="EX92" i="20"/>
  <c r="EW96" i="20"/>
  <c r="ES89" i="20"/>
  <c r="FB81" i="20"/>
  <c r="EW76" i="20"/>
  <c r="ES69" i="20"/>
  <c r="FB61" i="20"/>
  <c r="FD66" i="20"/>
  <c r="ET71" i="20"/>
  <c r="FE92" i="20"/>
  <c r="FA83" i="20"/>
  <c r="EQ83" i="20" s="1"/>
  <c r="EV78" i="20"/>
  <c r="EV75" i="20" s="1"/>
  <c r="FE70" i="20"/>
  <c r="FA63" i="20"/>
  <c r="EQ63" i="20" s="1"/>
  <c r="EV58" i="20"/>
  <c r="FC87" i="20"/>
  <c r="EY95" i="20"/>
  <c r="EU88" i="20"/>
  <c r="EP88" i="20" s="1"/>
  <c r="FD80" i="20"/>
  <c r="EY73" i="20"/>
  <c r="FD62" i="20"/>
  <c r="FC96" i="20"/>
  <c r="EX89" i="20"/>
  <c r="ET82" i="20"/>
  <c r="FC76" i="20"/>
  <c r="EX69" i="20"/>
  <c r="ET62" i="20"/>
  <c r="EV69" i="20"/>
  <c r="EX76" i="20"/>
  <c r="ES94" i="20"/>
  <c r="FB86" i="20"/>
  <c r="EW79" i="20"/>
  <c r="ES72" i="20"/>
  <c r="FB64" i="20"/>
  <c r="EW59" i="20"/>
  <c r="FE57" i="20"/>
  <c r="FE95" i="20"/>
  <c r="FA88" i="20"/>
  <c r="EQ88" i="20" s="1"/>
  <c r="EV81" i="20"/>
  <c r="FE73" i="20"/>
  <c r="FA64" i="20"/>
  <c r="EX60" i="20"/>
  <c r="FD89" i="20"/>
  <c r="EY82" i="20"/>
  <c r="EU77" i="20"/>
  <c r="EP77" i="20" s="1"/>
  <c r="FD69" i="20"/>
  <c r="EY62" i="20"/>
  <c r="EU57" i="20"/>
  <c r="ET87" i="20"/>
  <c r="FB95" i="20"/>
  <c r="EW88" i="20"/>
  <c r="ES81" i="20"/>
  <c r="FB73" i="20"/>
  <c r="EW66" i="20"/>
  <c r="ES61" i="20"/>
  <c r="EQ61" i="20" s="1"/>
  <c r="EU64" i="20"/>
  <c r="ET63" i="20"/>
  <c r="EV92" i="20"/>
  <c r="FE82" i="20"/>
  <c r="FA77" i="20"/>
  <c r="EQ77" i="20" s="1"/>
  <c r="EV70" i="20"/>
  <c r="FE62" i="20"/>
  <c r="FA57" i="20"/>
  <c r="EX80" i="20"/>
  <c r="FD94" i="20"/>
  <c r="EY87" i="20"/>
  <c r="EY85" i="20" s="1"/>
  <c r="EU80" i="20"/>
  <c r="EP80" i="20" s="1"/>
  <c r="FD72" i="20"/>
  <c r="EU60" i="20"/>
  <c r="EP60" i="20" s="1"/>
  <c r="ET96" i="20"/>
  <c r="FC88" i="20"/>
  <c r="EX81" i="20"/>
  <c r="ET76" i="20"/>
  <c r="FC66" i="20"/>
  <c r="EX61" i="20"/>
  <c r="EV65" i="20"/>
  <c r="FC69" i="20"/>
  <c r="EW93" i="20"/>
  <c r="ES86" i="20"/>
  <c r="EO86" i="20" s="1"/>
  <c r="FB78" i="20"/>
  <c r="EW71" i="20"/>
  <c r="ES64" i="20"/>
  <c r="FB58" i="20"/>
  <c r="ET89" i="20"/>
  <c r="EV95" i="20"/>
  <c r="FE87" i="20"/>
  <c r="FA80" i="20"/>
  <c r="EQ80" i="20" s="1"/>
  <c r="EV73" i="20"/>
  <c r="FA62" i="20"/>
  <c r="EQ62" i="20" s="1"/>
  <c r="EY96" i="20"/>
  <c r="EU89" i="20"/>
  <c r="EP89" i="20" s="1"/>
  <c r="FD81" i="20"/>
  <c r="EY76" i="20"/>
  <c r="EU69" i="20"/>
  <c r="FD61" i="20"/>
  <c r="EX96" i="20"/>
  <c r="ET83" i="20"/>
  <c r="ES95" i="20"/>
  <c r="EO95" i="20" s="1"/>
  <c r="FB87" i="20"/>
  <c r="EW80" i="20"/>
  <c r="ES73" i="20"/>
  <c r="FB65" i="20"/>
  <c r="EW60" i="20"/>
  <c r="EU62" i="20"/>
  <c r="EP62" i="20" s="1"/>
  <c r="ET59" i="20"/>
  <c r="FE96" i="20"/>
  <c r="FA89" i="20"/>
  <c r="EQ89" i="20" s="1"/>
  <c r="EV82" i="20"/>
  <c r="FE76" i="20"/>
  <c r="FA69" i="20"/>
  <c r="EV62" i="20"/>
  <c r="EY69" i="20"/>
  <c r="EY68" i="20" s="1"/>
  <c r="FC73" i="20"/>
  <c r="EU94" i="20"/>
  <c r="EP94" i="20" s="1"/>
  <c r="FD86" i="20"/>
  <c r="FD85" i="20" s="1"/>
  <c r="EY79" i="20"/>
  <c r="EU72" i="20"/>
  <c r="EP72" i="20" s="1"/>
  <c r="EU58" i="20"/>
  <c r="EX95" i="20"/>
  <c r="ET88" i="20"/>
  <c r="FC80" i="20"/>
  <c r="EX73" i="20"/>
  <c r="ET66" i="20"/>
  <c r="FC60" i="20"/>
  <c r="EV63" i="20"/>
  <c r="EX64" i="20"/>
  <c r="FB92" i="20"/>
  <c r="FB91" i="20" s="1"/>
  <c r="EW83" i="20"/>
  <c r="ES78" i="20"/>
  <c r="FB70" i="20"/>
  <c r="FB68" i="20" s="1"/>
  <c r="EW63" i="20"/>
  <c r="ES58" i="20"/>
  <c r="FC81" i="20"/>
  <c r="FA94" i="20"/>
  <c r="EQ94" i="20" s="1"/>
  <c r="EV87" i="20"/>
  <c r="FE79" i="20"/>
  <c r="FA72" i="20"/>
  <c r="EQ72" i="20" s="1"/>
  <c r="FA60" i="20"/>
  <c r="EQ60" i="20" s="1"/>
  <c r="FD95" i="20"/>
  <c r="EY88" i="20"/>
  <c r="EU81" i="20"/>
  <c r="EP81" i="20" s="1"/>
  <c r="FD73" i="20"/>
  <c r="EY66" i="20"/>
  <c r="EU61" i="20"/>
  <c r="EP61" i="20" s="1"/>
  <c r="FC95" i="20"/>
  <c r="FC79" i="20"/>
  <c r="EW94" i="20"/>
  <c r="ES87" i="20"/>
  <c r="FB79" i="20"/>
  <c r="EW72" i="20"/>
  <c r="ES65" i="20"/>
  <c r="EO65" i="20" s="1"/>
  <c r="FB59" i="20"/>
  <c r="FD60" i="20"/>
  <c r="DS58" i="20"/>
  <c r="DS93" i="20"/>
  <c r="DS69" i="20"/>
  <c r="DS71" i="20"/>
  <c r="DS94" i="20"/>
  <c r="DN87" i="20"/>
  <c r="DS65" i="20"/>
  <c r="DS62" i="20"/>
  <c r="DO91" i="20"/>
  <c r="DS81" i="20"/>
  <c r="DS77" i="20"/>
  <c r="DS60" i="20"/>
  <c r="DL88" i="20"/>
  <c r="DR81" i="20"/>
  <c r="DS57" i="20"/>
  <c r="DN58" i="20"/>
  <c r="DS70" i="20"/>
  <c r="DS66" i="20"/>
  <c r="DL63" i="20"/>
  <c r="DS59" i="20"/>
  <c r="DS83" i="20"/>
  <c r="DR71" i="20"/>
  <c r="DS61" i="20"/>
  <c r="DO56" i="20"/>
  <c r="DI70" i="20"/>
  <c r="DF70" i="20" s="1"/>
  <c r="DI96" i="20"/>
  <c r="DI86" i="20"/>
  <c r="DK66" i="20"/>
  <c r="DJ66" i="20"/>
  <c r="DJ70" i="20"/>
  <c r="DI95" i="20"/>
  <c r="DI81" i="20"/>
  <c r="DQ62" i="20"/>
  <c r="DI80" i="20"/>
  <c r="DI58" i="20"/>
  <c r="DK80" i="20"/>
  <c r="DF80" i="20" s="1"/>
  <c r="DJ73" i="20"/>
  <c r="DQ60" i="20"/>
  <c r="DI83" i="20"/>
  <c r="DI63" i="20"/>
  <c r="DK86" i="20"/>
  <c r="DI77" i="20"/>
  <c r="DQ81" i="20"/>
  <c r="DI89" i="20"/>
  <c r="DQ83" i="20"/>
  <c r="DG83" i="20" s="1"/>
  <c r="DM94" i="20"/>
  <c r="DM57" i="20"/>
  <c r="DI72" i="20"/>
  <c r="DN70" i="20"/>
  <c r="DN61" i="20"/>
  <c r="DN69" i="20"/>
  <c r="DN82" i="20"/>
  <c r="DN64" i="20"/>
  <c r="DN59" i="20"/>
  <c r="DN57" i="20"/>
  <c r="DN77" i="20"/>
  <c r="DN81" i="20"/>
  <c r="DN79" i="20"/>
  <c r="DN63" i="20"/>
  <c r="DN66" i="20"/>
  <c r="DN65" i="20"/>
  <c r="DN93" i="20"/>
  <c r="DN89" i="20"/>
  <c r="DN73" i="20"/>
  <c r="DN83" i="20"/>
  <c r="DN62" i="20"/>
  <c r="DR83" i="20"/>
  <c r="DR65" i="20"/>
  <c r="DL76" i="20"/>
  <c r="DL62" i="20"/>
  <c r="DL71" i="20"/>
  <c r="DL61" i="20"/>
  <c r="DL59" i="20"/>
  <c r="DL89" i="20"/>
  <c r="DL65" i="20"/>
  <c r="DL70" i="20"/>
  <c r="DL79" i="20"/>
  <c r="DL69" i="20"/>
  <c r="DL78" i="20"/>
  <c r="DR80" i="20"/>
  <c r="DL96" i="20"/>
  <c r="DR64" i="20"/>
  <c r="DR69" i="20"/>
  <c r="DR66" i="20"/>
  <c r="DR58" i="20"/>
  <c r="DR88" i="20"/>
  <c r="DR77" i="20"/>
  <c r="DR95" i="20"/>
  <c r="DL64" i="20"/>
  <c r="DL57" i="20"/>
  <c r="DL60" i="20"/>
  <c r="DR63" i="20"/>
  <c r="DR73" i="20"/>
  <c r="DR70" i="20"/>
  <c r="DR61" i="20"/>
  <c r="DR59" i="20"/>
  <c r="DL58" i="20"/>
  <c r="DR72" i="20"/>
  <c r="DR57" i="20"/>
  <c r="DL86" i="20"/>
  <c r="DL66" i="20"/>
  <c r="DR89" i="20"/>
  <c r="DO75" i="20"/>
  <c r="DO54" i="20" s="1"/>
  <c r="DO5" i="20" s="1"/>
  <c r="DU91" i="20"/>
  <c r="DK77" i="20"/>
  <c r="DF77" i="20" s="1"/>
  <c r="DL95" i="20"/>
  <c r="DJ87" i="20"/>
  <c r="DQ79" i="20"/>
  <c r="DN71" i="20"/>
  <c r="DM81" i="20"/>
  <c r="DK73" i="20"/>
  <c r="DL93" i="20"/>
  <c r="DJ83" i="20"/>
  <c r="DK93" i="20"/>
  <c r="DJ71" i="20"/>
  <c r="DJ69" i="20"/>
  <c r="DQ61" i="20"/>
  <c r="DG61" i="20" s="1"/>
  <c r="DK57" i="20"/>
  <c r="DK72" i="20"/>
  <c r="DF72" i="20" s="1"/>
  <c r="DQ64" i="20"/>
  <c r="DK63" i="20"/>
  <c r="DF63" i="20" s="1"/>
  <c r="DJ60" i="20"/>
  <c r="DI61" i="20"/>
  <c r="DI65" i="20"/>
  <c r="DI62" i="20"/>
  <c r="DI76" i="20"/>
  <c r="DQ76" i="20"/>
  <c r="DR94" i="20"/>
  <c r="DM78" i="20"/>
  <c r="DN96" i="20"/>
  <c r="DS80" i="20"/>
  <c r="DQ72" i="20"/>
  <c r="DG72" i="20" s="1"/>
  <c r="DR92" i="20"/>
  <c r="DS73" i="20"/>
  <c r="DQ92" i="20"/>
  <c r="DQ95" i="20"/>
  <c r="DK96" i="20"/>
  <c r="DF96" i="20" s="1"/>
  <c r="DJ81" i="20"/>
  <c r="DK61" i="20"/>
  <c r="DF61" i="20" s="1"/>
  <c r="DJ61" i="20"/>
  <c r="DI69" i="20"/>
  <c r="DI92" i="20"/>
  <c r="DI82" i="20"/>
  <c r="DI66" i="20"/>
  <c r="DK79" i="20"/>
  <c r="DS72" i="20"/>
  <c r="DS68" i="20" s="1"/>
  <c r="DL83" i="20"/>
  <c r="DJ77" i="20"/>
  <c r="DK95" i="20"/>
  <c r="DF95" i="20" s="1"/>
  <c r="DR87" i="20"/>
  <c r="DM96" i="20"/>
  <c r="DL81" i="20"/>
  <c r="DS88" i="20"/>
  <c r="DK81" i="20"/>
  <c r="DF81" i="20" s="1"/>
  <c r="DN72" i="20"/>
  <c r="DQ66" i="20"/>
  <c r="DG66" i="20" s="1"/>
  <c r="DN60" i="20"/>
  <c r="DR62" i="20"/>
  <c r="DJ59" i="20"/>
  <c r="DJ62" i="20"/>
  <c r="DQ65" i="20"/>
  <c r="DQ59" i="20"/>
  <c r="DG59" i="20" s="1"/>
  <c r="DJ57" i="20"/>
  <c r="DI60" i="20"/>
  <c r="DI73" i="20"/>
  <c r="DI59" i="20"/>
  <c r="DI79" i="20"/>
  <c r="DK92" i="20"/>
  <c r="DR82" i="20"/>
  <c r="DQ94" i="20"/>
  <c r="DN86" i="20"/>
  <c r="DS95" i="20"/>
  <c r="DK88" i="20"/>
  <c r="DJ88" i="20"/>
  <c r="DQ80" i="20"/>
  <c r="DG80" i="20" s="1"/>
  <c r="DQ69" i="20"/>
  <c r="DJ93" i="20"/>
  <c r="DI87" i="20"/>
  <c r="DI64" i="20"/>
  <c r="DI71" i="20"/>
  <c r="DI88" i="20"/>
  <c r="DN92" i="20"/>
  <c r="DS76" i="20"/>
  <c r="DL87" i="20"/>
  <c r="DJ79" i="20"/>
  <c r="DK87" i="20"/>
  <c r="DF87" i="20" s="1"/>
  <c r="DR79" i="20"/>
  <c r="DQ89" i="20"/>
  <c r="DG89" i="20" s="1"/>
  <c r="DJ95" i="20"/>
  <c r="DQ87" i="20"/>
  <c r="DK71" i="20"/>
  <c r="DK59" i="20"/>
  <c r="DQ71" i="20"/>
  <c r="DJ65" i="20"/>
  <c r="DK76" i="20"/>
  <c r="DK58" i="20"/>
  <c r="DF58" i="20" s="1"/>
  <c r="DJ58" i="20"/>
  <c r="DM88" i="20"/>
  <c r="DL73" i="20"/>
  <c r="DS92" i="20"/>
  <c r="DK83" i="20"/>
  <c r="DN76" i="20"/>
  <c r="DM86" i="20"/>
  <c r="DK78" i="20"/>
  <c r="DN94" i="20"/>
  <c r="DJ78" i="20"/>
  <c r="DJ64" i="20"/>
  <c r="DQ58" i="20"/>
  <c r="DG58" i="20" s="1"/>
  <c r="DQ73" i="20"/>
  <c r="DJ63" i="20"/>
  <c r="DQ57" i="20"/>
  <c r="DK64" i="20"/>
  <c r="DF64" i="20" s="1"/>
  <c r="DQ63" i="20"/>
  <c r="DG63" i="20" s="1"/>
  <c r="DI57" i="20"/>
  <c r="DI94" i="20"/>
  <c r="DI93" i="20"/>
  <c r="DI78" i="20"/>
  <c r="DM76" i="20"/>
  <c r="DM69" i="20"/>
  <c r="DM60" i="20"/>
  <c r="DM63" i="20"/>
  <c r="DM61" i="20"/>
  <c r="DM59" i="20"/>
  <c r="DM65" i="20"/>
  <c r="DM72" i="20"/>
  <c r="DM64" i="20"/>
  <c r="DM62" i="20"/>
  <c r="DM93" i="20"/>
  <c r="DM79" i="20"/>
  <c r="DM66" i="20"/>
  <c r="DM70" i="20"/>
  <c r="DM58" i="20"/>
  <c r="DK65" i="20"/>
  <c r="DF65" i="20" s="1"/>
  <c r="DK69" i="20"/>
  <c r="DQ77" i="20"/>
  <c r="DG77" i="20" s="1"/>
  <c r="DM71" i="20"/>
  <c r="DM82" i="20"/>
  <c r="DK60" i="20"/>
  <c r="DJ92" i="20"/>
  <c r="DM73" i="20"/>
  <c r="DJ96" i="20"/>
  <c r="DK62" i="20"/>
  <c r="DJ80" i="20"/>
  <c r="DJ89" i="20"/>
  <c r="DS56" i="20"/>
  <c r="DM89" i="20"/>
  <c r="DQ82" i="20"/>
  <c r="DG82" i="20" s="1"/>
  <c r="DU75" i="20"/>
  <c r="DU54" i="20" s="1"/>
  <c r="DU5" i="20" s="1"/>
  <c r="DQ93" i="20"/>
  <c r="DG93" i="20" s="1"/>
  <c r="DQ70" i="20"/>
  <c r="DG70" i="20" s="1"/>
  <c r="DT91" i="20"/>
  <c r="DT54" i="20" s="1"/>
  <c r="DT5" i="20" s="1"/>
  <c r="DM83" i="20"/>
  <c r="DK89" i="20"/>
  <c r="DF89" i="20" s="1"/>
  <c r="DN78" i="20"/>
  <c r="DQ86" i="20"/>
  <c r="DJ94" i="20"/>
  <c r="DR86" i="20"/>
  <c r="DR85" i="20" s="1"/>
  <c r="DK94" i="20"/>
  <c r="DJ76" i="20"/>
  <c r="DL82" i="20"/>
  <c r="DJ72" i="20"/>
  <c r="DL80" i="20"/>
  <c r="DM95" i="20"/>
  <c r="DS79" i="20"/>
  <c r="DN95" i="20"/>
  <c r="DM77" i="20"/>
  <c r="DR93" i="20"/>
  <c r="DN88" i="20"/>
  <c r="DQ96" i="20"/>
  <c r="DG96" i="20" s="1"/>
  <c r="DM80" i="20"/>
  <c r="DR96" i="20"/>
  <c r="DQ78" i="20"/>
  <c r="DJ86" i="20"/>
  <c r="DL94" i="20"/>
  <c r="DS86" i="20"/>
  <c r="DS78" i="20"/>
  <c r="DJ82" i="20"/>
  <c r="DL92" i="20"/>
  <c r="DR76" i="20"/>
  <c r="DK82" i="20"/>
  <c r="DS89" i="20"/>
  <c r="DL72" i="20"/>
  <c r="DM87" i="20"/>
  <c r="DR78" i="20"/>
  <c r="DS82" i="20"/>
  <c r="DL77" i="20"/>
  <c r="DM92" i="20"/>
  <c r="DN80" i="20"/>
  <c r="DQ88" i="20"/>
  <c r="CK75" i="20"/>
  <c r="CJ59" i="20"/>
  <c r="CF65" i="20"/>
  <c r="CJ72" i="20"/>
  <c r="CF60" i="20"/>
  <c r="CL68" i="20"/>
  <c r="CJ69" i="20"/>
  <c r="CE85" i="20"/>
  <c r="BZ73" i="20"/>
  <c r="CF64" i="20"/>
  <c r="CF76" i="20"/>
  <c r="CF59" i="20"/>
  <c r="CF61" i="20"/>
  <c r="CF96" i="20"/>
  <c r="CF62" i="20"/>
  <c r="CF69" i="20"/>
  <c r="CK85" i="20"/>
  <c r="CJ66" i="20"/>
  <c r="CE91" i="20"/>
  <c r="CK91" i="20"/>
  <c r="CF66" i="20"/>
  <c r="CL85" i="20"/>
  <c r="CJ76" i="20"/>
  <c r="CE68" i="20"/>
  <c r="CF57" i="20"/>
  <c r="CD85" i="20"/>
  <c r="CD91" i="20"/>
  <c r="CF58" i="20"/>
  <c r="CF71" i="20"/>
  <c r="CK56" i="20"/>
  <c r="CK54" i="20" s="1"/>
  <c r="CK5" i="20" s="1"/>
  <c r="CF63" i="20"/>
  <c r="CJ64" i="20"/>
  <c r="CB66" i="20"/>
  <c r="BZ79" i="20"/>
  <c r="BX79" i="20" s="1"/>
  <c r="BZ61" i="20"/>
  <c r="CE56" i="20"/>
  <c r="CI66" i="20"/>
  <c r="CC93" i="20"/>
  <c r="CF70" i="20"/>
  <c r="CJ87" i="20"/>
  <c r="CC88" i="20"/>
  <c r="CJ96" i="20"/>
  <c r="CB86" i="20"/>
  <c r="CH62" i="20"/>
  <c r="CJ63" i="20"/>
  <c r="CJ71" i="20"/>
  <c r="CJ77" i="20"/>
  <c r="CF95" i="20"/>
  <c r="CD68" i="20"/>
  <c r="CJ94" i="20"/>
  <c r="BZ87" i="20"/>
  <c r="BX87" i="20" s="1"/>
  <c r="CA65" i="20"/>
  <c r="CJ62" i="20"/>
  <c r="CJ58" i="20"/>
  <c r="CI60" i="20"/>
  <c r="CJ73" i="20"/>
  <c r="CL75" i="20"/>
  <c r="CI79" i="20"/>
  <c r="CJ78" i="20"/>
  <c r="CC92" i="20"/>
  <c r="CC83" i="20"/>
  <c r="BZ64" i="20"/>
  <c r="BZ86" i="20"/>
  <c r="BX86" i="20" s="1"/>
  <c r="CJ57" i="20"/>
  <c r="CC76" i="20"/>
  <c r="CC66" i="20"/>
  <c r="CC87" i="20"/>
  <c r="CJ60" i="20"/>
  <c r="CJ81" i="20"/>
  <c r="CF81" i="20"/>
  <c r="CA70" i="20"/>
  <c r="BZ62" i="20"/>
  <c r="BZ82" i="20"/>
  <c r="BX82" i="20" s="1"/>
  <c r="BZ92" i="20"/>
  <c r="BX92" i="20" s="1"/>
  <c r="CJ65" i="20"/>
  <c r="CI63" i="20"/>
  <c r="CE75" i="20"/>
  <c r="CF86" i="20"/>
  <c r="CJ82" i="20"/>
  <c r="CJ88" i="20"/>
  <c r="CJ95" i="20"/>
  <c r="CD75" i="20"/>
  <c r="CF94" i="20"/>
  <c r="BZ78" i="20"/>
  <c r="BX78" i="20" s="1"/>
  <c r="BZ94" i="20"/>
  <c r="BX94" i="20" s="1"/>
  <c r="CC64" i="20"/>
  <c r="CA61" i="20"/>
  <c r="CJ61" i="20"/>
  <c r="CH89" i="20"/>
  <c r="CA69" i="20"/>
  <c r="CI65" i="20"/>
  <c r="CF92" i="20"/>
  <c r="CD56" i="20"/>
  <c r="CA64" i="20"/>
  <c r="CA73" i="20"/>
  <c r="CA77" i="20"/>
  <c r="CA81" i="20"/>
  <c r="CA63" i="20"/>
  <c r="CA60" i="20"/>
  <c r="CH78" i="20"/>
  <c r="CA59" i="20"/>
  <c r="CA57" i="20"/>
  <c r="BZ96" i="20"/>
  <c r="BX96" i="20" s="1"/>
  <c r="BZ93" i="20"/>
  <c r="BX93" i="20" s="1"/>
  <c r="BZ71" i="20"/>
  <c r="CA95" i="20"/>
  <c r="CH80" i="20"/>
  <c r="CH61" i="20"/>
  <c r="CH64" i="20"/>
  <c r="BZ89" i="20"/>
  <c r="BX89" i="20" s="1"/>
  <c r="BZ69" i="20"/>
  <c r="BZ77" i="20"/>
  <c r="BX77" i="20" s="1"/>
  <c r="CB87" i="20"/>
  <c r="BW87" i="20" s="1"/>
  <c r="CA92" i="20"/>
  <c r="CH77" i="20"/>
  <c r="CH59" i="20"/>
  <c r="CB57" i="20"/>
  <c r="CB73" i="20"/>
  <c r="CH69" i="20"/>
  <c r="CA62" i="20"/>
  <c r="CA58" i="20"/>
  <c r="CB61" i="20"/>
  <c r="BZ59" i="20"/>
  <c r="BZ63" i="20"/>
  <c r="BZ83" i="20"/>
  <c r="BX83" i="20" s="1"/>
  <c r="BZ70" i="20"/>
  <c r="CA66" i="20"/>
  <c r="CH60" i="20"/>
  <c r="CH73" i="20"/>
  <c r="CH66" i="20"/>
  <c r="BZ65" i="20"/>
  <c r="BZ95" i="20"/>
  <c r="BX95" i="20" s="1"/>
  <c r="BZ81" i="20"/>
  <c r="BX81" i="20" s="1"/>
  <c r="BZ60" i="20"/>
  <c r="CI89" i="20"/>
  <c r="CI64" i="20"/>
  <c r="CC81" i="20"/>
  <c r="CI59" i="20"/>
  <c r="CI58" i="20"/>
  <c r="CI93" i="20"/>
  <c r="CI77" i="20"/>
  <c r="CI92" i="20"/>
  <c r="CC70" i="20"/>
  <c r="CC71" i="20"/>
  <c r="CC62" i="20"/>
  <c r="CI83" i="20"/>
  <c r="CC60" i="20"/>
  <c r="CI94" i="20"/>
  <c r="CI78" i="20"/>
  <c r="BV61" i="20"/>
  <c r="CL91" i="20"/>
  <c r="CF72" i="20"/>
  <c r="CC95" i="20"/>
  <c r="CH87" i="20"/>
  <c r="CA80" i="20"/>
  <c r="CC73" i="20"/>
  <c r="CF87" i="20"/>
  <c r="CB79" i="20"/>
  <c r="CI70" i="20"/>
  <c r="CJ83" i="20"/>
  <c r="CF73" i="20"/>
  <c r="CC72" i="20"/>
  <c r="CI95" i="20"/>
  <c r="CC61" i="20"/>
  <c r="CH58" i="20"/>
  <c r="BZ58" i="20"/>
  <c r="BZ80" i="20"/>
  <c r="BX80" i="20" s="1"/>
  <c r="BZ66" i="20"/>
  <c r="CF88" i="20"/>
  <c r="CB80" i="20"/>
  <c r="CI71" i="20"/>
  <c r="CJ86" i="20"/>
  <c r="CB95" i="20"/>
  <c r="CI86" i="20"/>
  <c r="CH92" i="20"/>
  <c r="CA83" i="20"/>
  <c r="CC78" i="20"/>
  <c r="CF89" i="20"/>
  <c r="CB81" i="20"/>
  <c r="CH94" i="20"/>
  <c r="CA87" i="20"/>
  <c r="CB88" i="20"/>
  <c r="CA88" i="20"/>
  <c r="CH76" i="20"/>
  <c r="CC59" i="20"/>
  <c r="CB63" i="20"/>
  <c r="CB96" i="20"/>
  <c r="CI87" i="20"/>
  <c r="CH93" i="20"/>
  <c r="CA86" i="20"/>
  <c r="CC79" i="20"/>
  <c r="CH71" i="20"/>
  <c r="CF77" i="20"/>
  <c r="CJ89" i="20"/>
  <c r="CI88" i="20"/>
  <c r="CJ93" i="20"/>
  <c r="CI69" i="20"/>
  <c r="CB72" i="20"/>
  <c r="CB82" i="20"/>
  <c r="CA72" i="20"/>
  <c r="CA71" i="20"/>
  <c r="BZ57" i="20"/>
  <c r="BZ88" i="20"/>
  <c r="BX88" i="20" s="1"/>
  <c r="BZ72" i="20"/>
  <c r="CF78" i="20"/>
  <c r="CB70" i="20"/>
  <c r="BW70" i="20" s="1"/>
  <c r="CJ92" i="20"/>
  <c r="CJ70" i="20"/>
  <c r="CJ68" i="20" s="1"/>
  <c r="CF93" i="20"/>
  <c r="CB83" i="20"/>
  <c r="CI76" i="20"/>
  <c r="CH96" i="20"/>
  <c r="CA89" i="20"/>
  <c r="CC82" i="20"/>
  <c r="CF79" i="20"/>
  <c r="CB71" i="20"/>
  <c r="CA93" i="20"/>
  <c r="CC86" i="20"/>
  <c r="CH72" i="20"/>
  <c r="CB60" i="20"/>
  <c r="BW60" i="20" s="1"/>
  <c r="CH82" i="20"/>
  <c r="CC63" i="20"/>
  <c r="CH57" i="20"/>
  <c r="CH83" i="20"/>
  <c r="CH95" i="20"/>
  <c r="CC58" i="20"/>
  <c r="CH70" i="20"/>
  <c r="BX70" i="20" s="1"/>
  <c r="CC80" i="20"/>
  <c r="CB58" i="20"/>
  <c r="CF82" i="20"/>
  <c r="CB76" i="20"/>
  <c r="CA96" i="20"/>
  <c r="CC89" i="20"/>
  <c r="CH81" i="20"/>
  <c r="CA76" i="20"/>
  <c r="CC69" i="20"/>
  <c r="CB89" i="20"/>
  <c r="BW89" i="20" s="1"/>
  <c r="CI80" i="20"/>
  <c r="CJ79" i="20"/>
  <c r="CF83" i="20"/>
  <c r="CB77" i="20"/>
  <c r="CB94" i="20"/>
  <c r="BW94" i="20" s="1"/>
  <c r="CB64" i="20"/>
  <c r="BW64" i="20" s="1"/>
  <c r="CI57" i="20"/>
  <c r="CH79" i="20"/>
  <c r="CC57" i="20"/>
  <c r="CA78" i="20"/>
  <c r="CB59" i="20"/>
  <c r="BW59" i="20" s="1"/>
  <c r="CC65" i="20"/>
  <c r="CA82" i="20"/>
  <c r="CH63" i="20"/>
  <c r="BX63" i="20" s="1"/>
  <c r="CB62" i="20"/>
  <c r="CB92" i="20"/>
  <c r="CI81" i="20"/>
  <c r="CJ80" i="20"/>
  <c r="CI96" i="20"/>
  <c r="CC94" i="20"/>
  <c r="CH86" i="20"/>
  <c r="CA79" i="20"/>
  <c r="CB93" i="20"/>
  <c r="CI82" i="20"/>
  <c r="CC96" i="20"/>
  <c r="CH88" i="20"/>
  <c r="CA94" i="20"/>
  <c r="CB78" i="20"/>
  <c r="CH65" i="20"/>
  <c r="BX65" i="20" s="1"/>
  <c r="CB65" i="20"/>
  <c r="BW65" i="20" s="1"/>
  <c r="CC77" i="20"/>
  <c r="CI72" i="20"/>
  <c r="CI61" i="20"/>
  <c r="CI62" i="20"/>
  <c r="CI73" i="20"/>
  <c r="CB69" i="20"/>
  <c r="BB91" i="20"/>
  <c r="AQ86" i="20"/>
  <c r="AY86" i="20"/>
  <c r="AQ72" i="20"/>
  <c r="AR61" i="20"/>
  <c r="AM61" i="20" s="1"/>
  <c r="BC68" i="20"/>
  <c r="AQ76" i="20"/>
  <c r="AQ93" i="20"/>
  <c r="BB68" i="20"/>
  <c r="AU94" i="20"/>
  <c r="AV86" i="20"/>
  <c r="AY60" i="20"/>
  <c r="AV58" i="20"/>
  <c r="BC56" i="20"/>
  <c r="BC85" i="20"/>
  <c r="AQ88" i="20"/>
  <c r="AQ62" i="20"/>
  <c r="AQ80" i="20"/>
  <c r="AY81" i="20"/>
  <c r="AV57" i="20"/>
  <c r="AT77" i="20"/>
  <c r="AY78" i="20"/>
  <c r="AV80" i="20"/>
  <c r="AU70" i="20"/>
  <c r="AQ89" i="20"/>
  <c r="AR64" i="20"/>
  <c r="AW75" i="20"/>
  <c r="BA57" i="20"/>
  <c r="AQ59" i="20"/>
  <c r="AZ73" i="20"/>
  <c r="AR93" i="20"/>
  <c r="BA73" i="20"/>
  <c r="AU58" i="20"/>
  <c r="AT76" i="20"/>
  <c r="AQ61" i="20"/>
  <c r="AY79" i="20"/>
  <c r="AV79" i="20"/>
  <c r="AZ94" i="20"/>
  <c r="AZ80" i="20"/>
  <c r="AR80" i="20"/>
  <c r="AU92" i="20"/>
  <c r="AU80" i="20"/>
  <c r="BA80" i="20"/>
  <c r="AV92" i="20"/>
  <c r="AW56" i="20"/>
  <c r="AV72" i="20"/>
  <c r="AZ65" i="20"/>
  <c r="AY92" i="20"/>
  <c r="AY64" i="20"/>
  <c r="AU87" i="20"/>
  <c r="BA77" i="20"/>
  <c r="AY59" i="20"/>
  <c r="AU82" i="20"/>
  <c r="AS64" i="20"/>
  <c r="AV77" i="20"/>
  <c r="AY71" i="20"/>
  <c r="AT86" i="20"/>
  <c r="AR71" i="20"/>
  <c r="AV71" i="20"/>
  <c r="AV83" i="20"/>
  <c r="AR89" i="20"/>
  <c r="AR76" i="20"/>
  <c r="AT57" i="20"/>
  <c r="AQ94" i="20"/>
  <c r="AQ69" i="20"/>
  <c r="BA72" i="20"/>
  <c r="AR96" i="20"/>
  <c r="AV66" i="20"/>
  <c r="AV89" i="20"/>
  <c r="BA66" i="20"/>
  <c r="AY57" i="20"/>
  <c r="AU73" i="20"/>
  <c r="AU89" i="20"/>
  <c r="AS66" i="20"/>
  <c r="AU65" i="20"/>
  <c r="AQ66" i="20"/>
  <c r="AQ78" i="20"/>
  <c r="AR78" i="20"/>
  <c r="AV73" i="20"/>
  <c r="AU78" i="20"/>
  <c r="AR73" i="20"/>
  <c r="AR70" i="20"/>
  <c r="AT87" i="20"/>
  <c r="AU86" i="20"/>
  <c r="AQ57" i="20"/>
  <c r="BA64" i="20"/>
  <c r="AY61" i="20"/>
  <c r="AV62" i="20"/>
  <c r="AU57" i="20"/>
  <c r="AV76" i="20"/>
  <c r="AV96" i="20"/>
  <c r="AR77" i="20"/>
  <c r="AT69" i="20"/>
  <c r="AV64" i="20"/>
  <c r="AZ96" i="20"/>
  <c r="AZ92" i="20"/>
  <c r="BA82" i="20"/>
  <c r="AR92" i="20"/>
  <c r="AV94" i="20"/>
  <c r="AT94" i="20"/>
  <c r="AR62" i="20"/>
  <c r="AM62" i="20" s="1"/>
  <c r="AU79" i="20"/>
  <c r="AR79" i="20"/>
  <c r="BA89" i="20"/>
  <c r="AS72" i="20"/>
  <c r="AT73" i="20"/>
  <c r="AQ83" i="20"/>
  <c r="BA62" i="20"/>
  <c r="AY94" i="20"/>
  <c r="AS60" i="20"/>
  <c r="AQ60" i="20"/>
  <c r="AQ64" i="20"/>
  <c r="AM64" i="20" s="1"/>
  <c r="AT82" i="20"/>
  <c r="BA92" i="20"/>
  <c r="AZ61" i="20"/>
  <c r="AZ66" i="20"/>
  <c r="AZ88" i="20"/>
  <c r="AZ95" i="20"/>
  <c r="AZ93" i="20"/>
  <c r="AZ63" i="20"/>
  <c r="AZ69" i="20"/>
  <c r="AZ86" i="20"/>
  <c r="AZ76" i="20"/>
  <c r="AZ59" i="20"/>
  <c r="AT93" i="20"/>
  <c r="AS57" i="20"/>
  <c r="AR86" i="20"/>
  <c r="AT79" i="20"/>
  <c r="AR94" i="20"/>
  <c r="AY62" i="20"/>
  <c r="AR83" i="20"/>
  <c r="AM83" i="20" s="1"/>
  <c r="AV69" i="20"/>
  <c r="BA76" i="20"/>
  <c r="AT78" i="20"/>
  <c r="AQ73" i="20"/>
  <c r="AQ87" i="20"/>
  <c r="AU60" i="20"/>
  <c r="AQ58" i="20"/>
  <c r="AR95" i="20"/>
  <c r="AT64" i="20"/>
  <c r="AY77" i="20"/>
  <c r="AV61" i="20"/>
  <c r="BA94" i="20"/>
  <c r="AT58" i="20"/>
  <c r="AQ65" i="20"/>
  <c r="AR58" i="20"/>
  <c r="AR60" i="20"/>
  <c r="AU88" i="20"/>
  <c r="BA96" i="20"/>
  <c r="BA65" i="20"/>
  <c r="BC75" i="20"/>
  <c r="AS80" i="20"/>
  <c r="AY82" i="20"/>
  <c r="AY93" i="20"/>
  <c r="AY73" i="20"/>
  <c r="BA93" i="20"/>
  <c r="AS76" i="20"/>
  <c r="AR82" i="20"/>
  <c r="AS71" i="20"/>
  <c r="AT66" i="20"/>
  <c r="AQ81" i="20"/>
  <c r="AQ82" i="20"/>
  <c r="AT89" i="20"/>
  <c r="AY76" i="20"/>
  <c r="AZ71" i="20"/>
  <c r="AS95" i="20"/>
  <c r="AS65" i="20"/>
  <c r="AV59" i="20"/>
  <c r="AS96" i="20"/>
  <c r="AR57" i="20"/>
  <c r="AQ95" i="20"/>
  <c r="AR88" i="20"/>
  <c r="AT80" i="20"/>
  <c r="AU71" i="20"/>
  <c r="BA86" i="20"/>
  <c r="AV70" i="20"/>
  <c r="AT96" i="20"/>
  <c r="BA88" i="20"/>
  <c r="AT70" i="20"/>
  <c r="AT60" i="20"/>
  <c r="AW68" i="20"/>
  <c r="BA83" i="20"/>
  <c r="BA60" i="20"/>
  <c r="AZ62" i="20"/>
  <c r="AZ78" i="20"/>
  <c r="AZ89" i="20"/>
  <c r="AS77" i="20"/>
  <c r="AS83" i="20"/>
  <c r="AS92" i="20"/>
  <c r="AZ57" i="20"/>
  <c r="AS78" i="20"/>
  <c r="AT88" i="20"/>
  <c r="AT72" i="20"/>
  <c r="AY96" i="20"/>
  <c r="AS62" i="20"/>
  <c r="BA79" i="20"/>
  <c r="AV82" i="20"/>
  <c r="AT63" i="20"/>
  <c r="BA87" i="20"/>
  <c r="AU72" i="20"/>
  <c r="AT92" i="20"/>
  <c r="AY65" i="20"/>
  <c r="AU83" i="20"/>
  <c r="BA58" i="20"/>
  <c r="BA69" i="20"/>
  <c r="AZ72" i="20"/>
  <c r="AZ79" i="20"/>
  <c r="AZ82" i="20"/>
  <c r="AT62" i="20"/>
  <c r="BA71" i="20"/>
  <c r="AV87" i="20"/>
  <c r="BA78" i="20"/>
  <c r="AT81" i="20"/>
  <c r="AS73" i="20"/>
  <c r="AY89" i="20"/>
  <c r="AQ92" i="20"/>
  <c r="AO92" i="20" s="1"/>
  <c r="AV65" i="20"/>
  <c r="AU66" i="20"/>
  <c r="AS63" i="20"/>
  <c r="AR87" i="20"/>
  <c r="AU76" i="20"/>
  <c r="AU77" i="20"/>
  <c r="AQ79" i="20"/>
  <c r="AR72" i="20"/>
  <c r="AU81" i="20"/>
  <c r="AY58" i="20"/>
  <c r="AQ70" i="20"/>
  <c r="AT65" i="20"/>
  <c r="AY88" i="20"/>
  <c r="AV63" i="20"/>
  <c r="AY80" i="20"/>
  <c r="AR63" i="20"/>
  <c r="BC91" i="20"/>
  <c r="AZ58" i="20"/>
  <c r="AZ83" i="20"/>
  <c r="AW85" i="20"/>
  <c r="AT59" i="20"/>
  <c r="AT95" i="20"/>
  <c r="AU63" i="20"/>
  <c r="AR66" i="20"/>
  <c r="AY70" i="20"/>
  <c r="AY83" i="20"/>
  <c r="AR69" i="20"/>
  <c r="AT83" i="20"/>
  <c r="AU59" i="20"/>
  <c r="AY66" i="20"/>
  <c r="AU93" i="20"/>
  <c r="AS58" i="20"/>
  <c r="AS59" i="20"/>
  <c r="AY69" i="20"/>
  <c r="AU96" i="20"/>
  <c r="AQ96" i="20"/>
  <c r="AT61" i="20"/>
  <c r="AV88" i="20"/>
  <c r="AR65" i="20"/>
  <c r="AU61" i="20"/>
  <c r="BA81" i="20"/>
  <c r="BA95" i="20"/>
  <c r="BA61" i="20"/>
  <c r="AT71" i="20"/>
  <c r="AZ81" i="20"/>
  <c r="AS94" i="20"/>
  <c r="BB85" i="20"/>
  <c r="AV60" i="20"/>
  <c r="AS69" i="20"/>
  <c r="AS70" i="20"/>
  <c r="AY72" i="20"/>
  <c r="AQ63" i="20"/>
  <c r="AQ71" i="20"/>
  <c r="AY63" i="20"/>
  <c r="AU62" i="20"/>
  <c r="AU64" i="20"/>
  <c r="AQ77" i="20"/>
  <c r="BA59" i="20"/>
  <c r="AU69" i="20"/>
  <c r="AY87" i="20"/>
  <c r="AV95" i="20"/>
  <c r="AR81" i="20"/>
  <c r="AU95" i="20"/>
  <c r="AS61" i="20"/>
  <c r="AV81" i="20"/>
  <c r="AR59" i="20"/>
  <c r="AV78" i="20"/>
  <c r="AY95" i="20"/>
  <c r="AV93" i="20"/>
  <c r="BA70" i="20"/>
  <c r="BA63" i="20"/>
  <c r="AZ60" i="20"/>
  <c r="AZ64" i="20"/>
  <c r="AZ70" i="20"/>
  <c r="AZ77" i="20"/>
  <c r="AZ87" i="20"/>
  <c r="AS89" i="20"/>
  <c r="BB75" i="20"/>
  <c r="BB56" i="20"/>
  <c r="AW91" i="20"/>
  <c r="AS81" i="20"/>
  <c r="AS86" i="20"/>
  <c r="AS79" i="20"/>
  <c r="AS82" i="20"/>
  <c r="AS87" i="20"/>
  <c r="AS88" i="20"/>
  <c r="AS93" i="20"/>
  <c r="AO62" i="20" l="1"/>
  <c r="AM58" i="20"/>
  <c r="AN69" i="20"/>
  <c r="BW77" i="20"/>
  <c r="BX73" i="20"/>
  <c r="BW71" i="20"/>
  <c r="BW66" i="20"/>
  <c r="BW82" i="20"/>
  <c r="BV70" i="20"/>
  <c r="BP70" i="20" s="1"/>
  <c r="AE65" i="25" s="1"/>
  <c r="BW73" i="20"/>
  <c r="BX64" i="20"/>
  <c r="BX71" i="20"/>
  <c r="BW62" i="20"/>
  <c r="EB65" i="20"/>
  <c r="EB86" i="20"/>
  <c r="ES56" i="20"/>
  <c r="EO89" i="20"/>
  <c r="FE56" i="20"/>
  <c r="EV68" i="20"/>
  <c r="EX56" i="20"/>
  <c r="EP76" i="20"/>
  <c r="EU75" i="20"/>
  <c r="ED65" i="20"/>
  <c r="BA60" i="25" s="1"/>
  <c r="EP73" i="20"/>
  <c r="EO61" i="20"/>
  <c r="EO78" i="20"/>
  <c r="EO94" i="20"/>
  <c r="EO66" i="20"/>
  <c r="EO62" i="20"/>
  <c r="EY91" i="20"/>
  <c r="EV85" i="20"/>
  <c r="EO60" i="20"/>
  <c r="FE68" i="20"/>
  <c r="FC91" i="20"/>
  <c r="EP70" i="20"/>
  <c r="ED86" i="20"/>
  <c r="EQ65" i="20"/>
  <c r="EI65" i="20" s="1"/>
  <c r="BE60" i="25" s="1"/>
  <c r="FB56" i="20"/>
  <c r="ES91" i="20"/>
  <c r="EB95" i="20"/>
  <c r="EV91" i="20"/>
  <c r="EJ95" i="20"/>
  <c r="BF89" i="25" s="1"/>
  <c r="EX68" i="20"/>
  <c r="FE91" i="20"/>
  <c r="EO70" i="20"/>
  <c r="ET68" i="20"/>
  <c r="EU91" i="20"/>
  <c r="EP87" i="20"/>
  <c r="EV56" i="20"/>
  <c r="EV54" i="20" s="1"/>
  <c r="EV5" i="20" s="1"/>
  <c r="EW91" i="20"/>
  <c r="EP95" i="20"/>
  <c r="EC95" i="20" s="1"/>
  <c r="AZ89" i="25" s="1"/>
  <c r="ET56" i="20"/>
  <c r="ET54" i="20" s="1"/>
  <c r="ET5" i="20" s="1"/>
  <c r="EO59" i="20"/>
  <c r="EO83" i="20"/>
  <c r="ET75" i="20"/>
  <c r="EO76" i="20"/>
  <c r="EO63" i="20"/>
  <c r="EO87" i="20"/>
  <c r="EQ64" i="20"/>
  <c r="FC75" i="20"/>
  <c r="EO71" i="20"/>
  <c r="EX91" i="20"/>
  <c r="EQ81" i="20"/>
  <c r="EO58" i="20"/>
  <c r="EX85" i="20"/>
  <c r="EO72" i="20"/>
  <c r="ES75" i="20"/>
  <c r="FC56" i="20"/>
  <c r="FB75" i="20"/>
  <c r="ET85" i="20"/>
  <c r="FA91" i="20"/>
  <c r="EO88" i="20"/>
  <c r="EP64" i="20"/>
  <c r="EP57" i="20"/>
  <c r="EC57" i="20" s="1"/>
  <c r="EU56" i="20"/>
  <c r="EO82" i="20"/>
  <c r="FD56" i="20"/>
  <c r="EQ76" i="20"/>
  <c r="FA75" i="20"/>
  <c r="EO80" i="20"/>
  <c r="EY56" i="20"/>
  <c r="EQ78" i="20"/>
  <c r="FC85" i="20"/>
  <c r="EO77" i="20"/>
  <c r="EQ59" i="20"/>
  <c r="EP65" i="20"/>
  <c r="EC65" i="20" s="1"/>
  <c r="AZ60" i="25" s="1"/>
  <c r="EK57" i="20"/>
  <c r="ES85" i="20"/>
  <c r="EQ57" i="20"/>
  <c r="EI57" i="20" s="1"/>
  <c r="FA56" i="20"/>
  <c r="FB85" i="20"/>
  <c r="EJ86" i="20"/>
  <c r="EO92" i="20"/>
  <c r="ET91" i="20"/>
  <c r="EO79" i="20"/>
  <c r="EW85" i="20"/>
  <c r="EW56" i="20"/>
  <c r="EQ58" i="20"/>
  <c r="EQ73" i="20"/>
  <c r="ED57" i="20"/>
  <c r="EP86" i="20"/>
  <c r="EC86" i="20" s="1"/>
  <c r="EP58" i="20"/>
  <c r="EQ69" i="20"/>
  <c r="FA68" i="20"/>
  <c r="EJ65" i="20"/>
  <c r="BF60" i="25" s="1"/>
  <c r="EU68" i="20"/>
  <c r="EP69" i="20"/>
  <c r="EO96" i="20"/>
  <c r="FD68" i="20"/>
  <c r="EO69" i="20"/>
  <c r="ES68" i="20"/>
  <c r="EP78" i="20"/>
  <c r="EO73" i="20"/>
  <c r="EO93" i="20"/>
  <c r="FE85" i="20"/>
  <c r="EO64" i="20"/>
  <c r="EQ87" i="20"/>
  <c r="BF52" i="25"/>
  <c r="EQ86" i="20"/>
  <c r="EI86" i="20" s="1"/>
  <c r="EU85" i="20"/>
  <c r="FE75" i="20"/>
  <c r="EY75" i="20"/>
  <c r="FC68" i="20"/>
  <c r="EX75" i="20"/>
  <c r="EW75" i="20"/>
  <c r="EO81" i="20"/>
  <c r="EW68" i="20"/>
  <c r="FD91" i="20"/>
  <c r="EQ70" i="20"/>
  <c r="EQ82" i="20"/>
  <c r="EQ95" i="20"/>
  <c r="EI95" i="20" s="1"/>
  <c r="BE89" i="25" s="1"/>
  <c r="FA85" i="20"/>
  <c r="DF60" i="20"/>
  <c r="DI56" i="20"/>
  <c r="DG79" i="20"/>
  <c r="DR91" i="20"/>
  <c r="DF94" i="20"/>
  <c r="DF62" i="20"/>
  <c r="DN75" i="20"/>
  <c r="DG94" i="20"/>
  <c r="DF83" i="20"/>
  <c r="DG71" i="20"/>
  <c r="DG65" i="20"/>
  <c r="DF79" i="20"/>
  <c r="DF82" i="20"/>
  <c r="DS91" i="20"/>
  <c r="DF59" i="20"/>
  <c r="DG95" i="20"/>
  <c r="DE95" i="20"/>
  <c r="DF88" i="20"/>
  <c r="DI68" i="20"/>
  <c r="DS85" i="20"/>
  <c r="DE76" i="20"/>
  <c r="DJ75" i="20"/>
  <c r="DE80" i="20"/>
  <c r="DM68" i="20"/>
  <c r="DQ56" i="20"/>
  <c r="DG57" i="20"/>
  <c r="DM85" i="20"/>
  <c r="DF76" i="20"/>
  <c r="DK75" i="20"/>
  <c r="DN85" i="20"/>
  <c r="DE57" i="20"/>
  <c r="DJ56" i="20"/>
  <c r="DE71" i="20"/>
  <c r="DE87" i="20"/>
  <c r="DL85" i="20"/>
  <c r="DG60" i="20"/>
  <c r="DE70" i="20"/>
  <c r="DM75" i="20"/>
  <c r="DE63" i="20"/>
  <c r="DE65" i="20"/>
  <c r="DE81" i="20"/>
  <c r="DE60" i="20"/>
  <c r="DF93" i="20"/>
  <c r="DR56" i="20"/>
  <c r="DR68" i="20"/>
  <c r="DN68" i="20"/>
  <c r="DE73" i="20"/>
  <c r="DE66" i="20"/>
  <c r="DF69" i="20"/>
  <c r="DK68" i="20"/>
  <c r="DE96" i="20"/>
  <c r="DG73" i="20"/>
  <c r="DE79" i="20"/>
  <c r="DE93" i="20"/>
  <c r="DE83" i="20"/>
  <c r="DL56" i="20"/>
  <c r="DF66" i="20"/>
  <c r="DE82" i="20"/>
  <c r="DG88" i="20"/>
  <c r="DQ68" i="20"/>
  <c r="DG69" i="20"/>
  <c r="DF92" i="20"/>
  <c r="DK91" i="20"/>
  <c r="DE62" i="20"/>
  <c r="DG64" i="20"/>
  <c r="DG81" i="20"/>
  <c r="DI85" i="20"/>
  <c r="DE72" i="20"/>
  <c r="DE86" i="20"/>
  <c r="DJ85" i="20"/>
  <c r="DG78" i="20"/>
  <c r="DE94" i="20"/>
  <c r="DM91" i="20"/>
  <c r="DR75" i="20"/>
  <c r="DG86" i="20"/>
  <c r="DQ85" i="20"/>
  <c r="DJ91" i="20"/>
  <c r="DE92" i="20"/>
  <c r="DE64" i="20"/>
  <c r="DF71" i="20"/>
  <c r="DS75" i="20"/>
  <c r="DE59" i="20"/>
  <c r="DQ91" i="20"/>
  <c r="DG92" i="20"/>
  <c r="DG76" i="20"/>
  <c r="DQ75" i="20"/>
  <c r="DF73" i="20"/>
  <c r="DL91" i="20"/>
  <c r="DE78" i="20"/>
  <c r="DG87" i="20"/>
  <c r="DN91" i="20"/>
  <c r="DE88" i="20"/>
  <c r="DI91" i="20"/>
  <c r="DI75" i="20"/>
  <c r="DI54" i="20" s="1"/>
  <c r="DI5" i="20" s="1"/>
  <c r="DF57" i="20"/>
  <c r="DK56" i="20"/>
  <c r="DN56" i="20"/>
  <c r="DF86" i="20"/>
  <c r="DK85" i="20"/>
  <c r="DG62" i="20"/>
  <c r="DL68" i="20"/>
  <c r="DE58" i="20"/>
  <c r="DE89" i="20"/>
  <c r="DF78" i="20"/>
  <c r="DE77" i="20"/>
  <c r="DE61" i="20"/>
  <c r="DJ68" i="20"/>
  <c r="DE69" i="20"/>
  <c r="DL75" i="20"/>
  <c r="DM56" i="20"/>
  <c r="CH85" i="20"/>
  <c r="BW63" i="20"/>
  <c r="BW80" i="20"/>
  <c r="BV65" i="20"/>
  <c r="CF56" i="20"/>
  <c r="CF91" i="20"/>
  <c r="BW72" i="20"/>
  <c r="BW79" i="20"/>
  <c r="BW78" i="20"/>
  <c r="BW61" i="20"/>
  <c r="BJ61" i="20" s="1"/>
  <c r="Z56" i="25" s="1"/>
  <c r="BW88" i="20"/>
  <c r="BW95" i="20"/>
  <c r="CD54" i="20"/>
  <c r="CD5" i="20" s="1"/>
  <c r="BX61" i="20"/>
  <c r="BP61" i="20" s="1"/>
  <c r="AE56" i="25" s="1"/>
  <c r="CE54" i="20"/>
  <c r="CE5" i="20" s="1"/>
  <c r="BZ68" i="20"/>
  <c r="BW86" i="20"/>
  <c r="CJ56" i="20"/>
  <c r="CJ54" i="20" s="1"/>
  <c r="CJ5" i="20" s="1"/>
  <c r="BX72" i="20"/>
  <c r="BW83" i="20"/>
  <c r="BX62" i="20"/>
  <c r="CC91" i="20"/>
  <c r="CF75" i="20"/>
  <c r="CC75" i="20"/>
  <c r="BX60" i="20"/>
  <c r="BI65" i="20"/>
  <c r="BK65" i="20" s="1"/>
  <c r="AA60" i="25" s="1"/>
  <c r="BJ65" i="20"/>
  <c r="Z60" i="25" s="1"/>
  <c r="BP65" i="20"/>
  <c r="AE60" i="25" s="1"/>
  <c r="BV93" i="20"/>
  <c r="BV83" i="20"/>
  <c r="BV66" i="20"/>
  <c r="CH68" i="20"/>
  <c r="BX69" i="20"/>
  <c r="BV73" i="20"/>
  <c r="BV78" i="20"/>
  <c r="CJ75" i="20"/>
  <c r="CB75" i="20"/>
  <c r="BW76" i="20"/>
  <c r="BX57" i="20"/>
  <c r="CH56" i="20"/>
  <c r="CJ91" i="20"/>
  <c r="BV88" i="20"/>
  <c r="CH91" i="20"/>
  <c r="BZ91" i="20"/>
  <c r="BZ85" i="20"/>
  <c r="CI91" i="20"/>
  <c r="CA56" i="20"/>
  <c r="BV57" i="20"/>
  <c r="BV64" i="20"/>
  <c r="BV62" i="20"/>
  <c r="CF68" i="20"/>
  <c r="CF54" i="20" s="1"/>
  <c r="CF5" i="20" s="1"/>
  <c r="BV86" i="20"/>
  <c r="CA85" i="20"/>
  <c r="CI85" i="20"/>
  <c r="BV69" i="20"/>
  <c r="BZ75" i="20"/>
  <c r="BW57" i="20"/>
  <c r="CB56" i="20"/>
  <c r="BV59" i="20"/>
  <c r="BV72" i="20"/>
  <c r="CC56" i="20"/>
  <c r="CB91" i="20"/>
  <c r="BW92" i="20"/>
  <c r="BW58" i="20"/>
  <c r="BV89" i="20"/>
  <c r="CI68" i="20"/>
  <c r="BV87" i="20"/>
  <c r="BX58" i="20"/>
  <c r="CF85" i="20"/>
  <c r="BX59" i="20"/>
  <c r="BV96" i="20"/>
  <c r="CH75" i="20"/>
  <c r="BW93" i="20"/>
  <c r="CI56" i="20"/>
  <c r="CI54" i="20" s="1"/>
  <c r="CI5" i="20" s="1"/>
  <c r="CC68" i="20"/>
  <c r="CJ85" i="20"/>
  <c r="BV60" i="20"/>
  <c r="BV71" i="20"/>
  <c r="CA68" i="20"/>
  <c r="BV94" i="20"/>
  <c r="BV79" i="20"/>
  <c r="BV76" i="20"/>
  <c r="CA75" i="20"/>
  <c r="CI75" i="20"/>
  <c r="BW96" i="20"/>
  <c r="BW81" i="20"/>
  <c r="BV80" i="20"/>
  <c r="BX66" i="20"/>
  <c r="CA91" i="20"/>
  <c r="BV92" i="20"/>
  <c r="BV95" i="20"/>
  <c r="BV63" i="20"/>
  <c r="CB85" i="20"/>
  <c r="CB68" i="20"/>
  <c r="BW69" i="20"/>
  <c r="BI61" i="20"/>
  <c r="BV77" i="20"/>
  <c r="BV82" i="20"/>
  <c r="CC85" i="20"/>
  <c r="BZ56" i="20"/>
  <c r="BJ70" i="20"/>
  <c r="Z65" i="25" s="1"/>
  <c r="BV58" i="20"/>
  <c r="BV81" i="20"/>
  <c r="AM63" i="20"/>
  <c r="AM59" i="20"/>
  <c r="Z59" i="20" s="1"/>
  <c r="AM86" i="20"/>
  <c r="AN63" i="20"/>
  <c r="AO86" i="20"/>
  <c r="AO59" i="20"/>
  <c r="AO72" i="20"/>
  <c r="AN87" i="20"/>
  <c r="AM88" i="20"/>
  <c r="Z88" i="20" s="1"/>
  <c r="AM57" i="20"/>
  <c r="Z57" i="20" s="1"/>
  <c r="AN59" i="20"/>
  <c r="AO79" i="20"/>
  <c r="AO60" i="20"/>
  <c r="AM66" i="20"/>
  <c r="Z66" i="20" s="1"/>
  <c r="AM72" i="20"/>
  <c r="Z72" i="20" s="1"/>
  <c r="AB72" i="20" s="1"/>
  <c r="AO66" i="20"/>
  <c r="AN93" i="20"/>
  <c r="AN94" i="20"/>
  <c r="AN88" i="20"/>
  <c r="AO88" i="20"/>
  <c r="AN92" i="20"/>
  <c r="AO83" i="20"/>
  <c r="AG83" i="20" s="1"/>
  <c r="AO93" i="20"/>
  <c r="AO58" i="20"/>
  <c r="AG58" i="20" s="1"/>
  <c r="AM92" i="20"/>
  <c r="AG92" i="20" s="1"/>
  <c r="AN66" i="20"/>
  <c r="AU85" i="20"/>
  <c r="AO70" i="20"/>
  <c r="AN72" i="20"/>
  <c r="AO64" i="20"/>
  <c r="AG64" i="20" s="1"/>
  <c r="AQ85" i="20"/>
  <c r="AO80" i="20"/>
  <c r="AO89" i="20"/>
  <c r="AM81" i="20"/>
  <c r="Z81" i="20" s="1"/>
  <c r="AN78" i="20"/>
  <c r="AO57" i="20"/>
  <c r="AM93" i="20"/>
  <c r="Z93" i="20" s="1"/>
  <c r="AN89" i="20"/>
  <c r="AN57" i="20"/>
  <c r="AN62" i="20"/>
  <c r="AA62" i="20" s="1"/>
  <c r="AO81" i="20"/>
  <c r="AQ75" i="20"/>
  <c r="AN61" i="20"/>
  <c r="AA61" i="20" s="1"/>
  <c r="AQ91" i="20"/>
  <c r="AM94" i="20"/>
  <c r="AN80" i="20"/>
  <c r="AM80" i="20"/>
  <c r="AG80" i="20" s="1"/>
  <c r="Z83" i="20"/>
  <c r="AO61" i="20"/>
  <c r="AG61" i="20" s="1"/>
  <c r="AN79" i="20"/>
  <c r="AV91" i="20"/>
  <c r="AN95" i="20"/>
  <c r="AN60" i="20"/>
  <c r="AM78" i="20"/>
  <c r="Z78" i="20" s="1"/>
  <c r="AB78" i="20" s="1"/>
  <c r="AC78" i="20" s="1"/>
  <c r="AO78" i="20"/>
  <c r="AN82" i="20"/>
  <c r="AO95" i="20"/>
  <c r="AN76" i="20"/>
  <c r="AV85" i="20"/>
  <c r="AO76" i="20"/>
  <c r="AQ56" i="20"/>
  <c r="AN70" i="20"/>
  <c r="AN83" i="20"/>
  <c r="AA83" i="20" s="1"/>
  <c r="AT75" i="20"/>
  <c r="AS56" i="20"/>
  <c r="AO96" i="20"/>
  <c r="AR91" i="20"/>
  <c r="AV75" i="20"/>
  <c r="AU91" i="20"/>
  <c r="AT91" i="20"/>
  <c r="AN96" i="20"/>
  <c r="AO82" i="20"/>
  <c r="AZ68" i="20"/>
  <c r="AU56" i="20"/>
  <c r="AQ68" i="20"/>
  <c r="AT85" i="20"/>
  <c r="AO73" i="20"/>
  <c r="BA75" i="20"/>
  <c r="BC54" i="20"/>
  <c r="BC5" i="20" s="1"/>
  <c r="AW54" i="20"/>
  <c r="AW5" i="20" s="1"/>
  <c r="AB57" i="20"/>
  <c r="AC57" i="20" s="1"/>
  <c r="AO63" i="20"/>
  <c r="AN73" i="20"/>
  <c r="AV56" i="20"/>
  <c r="AZ91" i="20"/>
  <c r="AN77" i="20"/>
  <c r="AO71" i="20"/>
  <c r="AN58" i="20"/>
  <c r="AA58" i="20" s="1"/>
  <c r="AY75" i="20"/>
  <c r="AU75" i="20"/>
  <c r="AN81" i="20"/>
  <c r="AR56" i="20"/>
  <c r="AO87" i="20"/>
  <c r="AR85" i="20"/>
  <c r="AM87" i="20"/>
  <c r="Z87" i="20" s="1"/>
  <c r="BA85" i="20"/>
  <c r="AN65" i="20"/>
  <c r="AN71" i="20"/>
  <c r="AM79" i="20"/>
  <c r="AT56" i="20"/>
  <c r="AS68" i="20"/>
  <c r="AY91" i="20"/>
  <c r="AY56" i="20"/>
  <c r="AU68" i="20"/>
  <c r="AM69" i="20"/>
  <c r="Z69" i="20" s="1"/>
  <c r="AZ56" i="20"/>
  <c r="AM82" i="20"/>
  <c r="AM76" i="20"/>
  <c r="AR75" i="20"/>
  <c r="AN64" i="20"/>
  <c r="AA64" i="20" s="1"/>
  <c r="AM73" i="20"/>
  <c r="AY85" i="20"/>
  <c r="AO69" i="20"/>
  <c r="AO77" i="20"/>
  <c r="AO94" i="20"/>
  <c r="AT68" i="20"/>
  <c r="AM89" i="20"/>
  <c r="Z89" i="20" s="1"/>
  <c r="AV68" i="20"/>
  <c r="BA56" i="20"/>
  <c r="AM77" i="20"/>
  <c r="AM60" i="20"/>
  <c r="AM95" i="20"/>
  <c r="AZ75" i="20"/>
  <c r="AM96" i="20"/>
  <c r="AY68" i="20"/>
  <c r="AM65" i="20"/>
  <c r="Z65" i="20" s="1"/>
  <c r="AO65" i="20"/>
  <c r="AZ85" i="20"/>
  <c r="BA91" i="20"/>
  <c r="AR68" i="20"/>
  <c r="AM70" i="20"/>
  <c r="BA68" i="20"/>
  <c r="AM71" i="20"/>
  <c r="Z63" i="20"/>
  <c r="Z62" i="20"/>
  <c r="AG62" i="20"/>
  <c r="BB54" i="20"/>
  <c r="BB5" i="20" s="1"/>
  <c r="Z61" i="20"/>
  <c r="Z58" i="20"/>
  <c r="AS91" i="20"/>
  <c r="AS75" i="20"/>
  <c r="Z64" i="20"/>
  <c r="AN86" i="20"/>
  <c r="AS85" i="20"/>
  <c r="Y83" i="20" l="1"/>
  <c r="AG63" i="20"/>
  <c r="AA63" i="20"/>
  <c r="BI70" i="20"/>
  <c r="AZ80" i="25"/>
  <c r="BE80" i="25"/>
  <c r="EI72" i="20"/>
  <c r="BE66" i="25" s="1"/>
  <c r="EC72" i="20"/>
  <c r="AZ66" i="25" s="1"/>
  <c r="EB72" i="20"/>
  <c r="EB81" i="20"/>
  <c r="EC81" i="20"/>
  <c r="AZ75" i="25" s="1"/>
  <c r="EI81" i="20"/>
  <c r="BE75" i="25" s="1"/>
  <c r="BA52" i="25"/>
  <c r="EI80" i="20"/>
  <c r="BE74" i="25" s="1"/>
  <c r="EB80" i="20"/>
  <c r="EC80" i="20"/>
  <c r="AZ74" i="25" s="1"/>
  <c r="EI88" i="20"/>
  <c r="BE82" i="25" s="1"/>
  <c r="EB88" i="20"/>
  <c r="EC88" i="20"/>
  <c r="AZ82" i="25" s="1"/>
  <c r="FC54" i="20"/>
  <c r="FC5" i="20" s="1"/>
  <c r="EB83" i="20"/>
  <c r="EI83" i="20"/>
  <c r="BE77" i="25" s="1"/>
  <c r="EC83" i="20"/>
  <c r="AZ77" i="25" s="1"/>
  <c r="FB54" i="20"/>
  <c r="FB5" i="20" s="1"/>
  <c r="EB62" i="20"/>
  <c r="EI62" i="20"/>
  <c r="BE57" i="25" s="1"/>
  <c r="EC62" i="20"/>
  <c r="AZ57" i="25" s="1"/>
  <c r="EC89" i="20"/>
  <c r="AZ83" i="25" s="1"/>
  <c r="EB89" i="20"/>
  <c r="EI89" i="20"/>
  <c r="BE83" i="25" s="1"/>
  <c r="FA54" i="20"/>
  <c r="FA5" i="20" s="1"/>
  <c r="EI77" i="20"/>
  <c r="BE71" i="25" s="1"/>
  <c r="EC77" i="20"/>
  <c r="AZ71" i="25" s="1"/>
  <c r="EB77" i="20"/>
  <c r="EB71" i="20"/>
  <c r="EC71" i="20"/>
  <c r="EI71" i="20"/>
  <c r="EI59" i="20"/>
  <c r="BE54" i="25" s="1"/>
  <c r="EC59" i="20"/>
  <c r="AZ54" i="25" s="1"/>
  <c r="EB59" i="20"/>
  <c r="EK95" i="20"/>
  <c r="BG89" i="25" s="1"/>
  <c r="BA80" i="25"/>
  <c r="EI66" i="20"/>
  <c r="BE61" i="25" s="1"/>
  <c r="EB66" i="20"/>
  <c r="EC66" i="20"/>
  <c r="AZ61" i="25" s="1"/>
  <c r="EB64" i="20"/>
  <c r="EI64" i="20"/>
  <c r="BE59" i="25" s="1"/>
  <c r="EC64" i="20"/>
  <c r="AZ59" i="25" s="1"/>
  <c r="EI69" i="20"/>
  <c r="EC69" i="20"/>
  <c r="EB69" i="20"/>
  <c r="EW54" i="20"/>
  <c r="EW5" i="20" s="1"/>
  <c r="FD54" i="20"/>
  <c r="FD5" i="20" s="1"/>
  <c r="EI82" i="20"/>
  <c r="BE76" i="25" s="1"/>
  <c r="EC82" i="20"/>
  <c r="AZ76" i="25" s="1"/>
  <c r="EB82" i="20"/>
  <c r="EL95" i="20"/>
  <c r="BH89" i="25" s="1"/>
  <c r="EA86" i="20"/>
  <c r="BE52" i="25"/>
  <c r="EA57" i="20"/>
  <c r="EI73" i="20"/>
  <c r="BE67" i="25" s="1"/>
  <c r="EB73" i="20"/>
  <c r="EC73" i="20"/>
  <c r="AZ67" i="25" s="1"/>
  <c r="EI58" i="20"/>
  <c r="BE53" i="25" s="1"/>
  <c r="EC58" i="20"/>
  <c r="AZ53" i="25" s="1"/>
  <c r="EB58" i="20"/>
  <c r="EB87" i="20"/>
  <c r="EC87" i="20"/>
  <c r="AZ81" i="25" s="1"/>
  <c r="EI87" i="20"/>
  <c r="BE81" i="25" s="1"/>
  <c r="EC63" i="20"/>
  <c r="AZ58" i="25" s="1"/>
  <c r="EI63" i="20"/>
  <c r="BE58" i="25" s="1"/>
  <c r="EB63" i="20"/>
  <c r="EA95" i="20"/>
  <c r="EE86" i="20"/>
  <c r="EG86" i="20" s="1"/>
  <c r="FE54" i="20"/>
  <c r="FE5" i="20" s="1"/>
  <c r="ES54" i="20"/>
  <c r="ES5" i="20" s="1"/>
  <c r="EC96" i="20"/>
  <c r="AZ90" i="25" s="1"/>
  <c r="EI96" i="20"/>
  <c r="BE90" i="25" s="1"/>
  <c r="EB96" i="20"/>
  <c r="EI79" i="20"/>
  <c r="BE73" i="25" s="1"/>
  <c r="EC79" i="20"/>
  <c r="AZ73" i="25" s="1"/>
  <c r="EB79" i="20"/>
  <c r="BF80" i="25"/>
  <c r="EU54" i="20"/>
  <c r="EU5" i="20" s="1"/>
  <c r="EI70" i="20"/>
  <c r="BE65" i="25" s="1"/>
  <c r="EC70" i="20"/>
  <c r="AZ65" i="25" s="1"/>
  <c r="EB70" i="20"/>
  <c r="EB60" i="20"/>
  <c r="EI60" i="20"/>
  <c r="BE55" i="25" s="1"/>
  <c r="EC60" i="20"/>
  <c r="AZ55" i="25" s="1"/>
  <c r="EF86" i="20"/>
  <c r="EX54" i="20"/>
  <c r="EX5" i="20" s="1"/>
  <c r="EA65" i="20"/>
  <c r="BG52" i="25"/>
  <c r="EY54" i="20"/>
  <c r="EY5" i="20" s="1"/>
  <c r="AZ52" i="25"/>
  <c r="ED95" i="20"/>
  <c r="EC94" i="20"/>
  <c r="AZ88" i="25" s="1"/>
  <c r="EB94" i="20"/>
  <c r="EI94" i="20"/>
  <c r="BE88" i="25" s="1"/>
  <c r="EC78" i="20"/>
  <c r="AZ72" i="25" s="1"/>
  <c r="EI78" i="20"/>
  <c r="BE72" i="25" s="1"/>
  <c r="EB78" i="20"/>
  <c r="EI61" i="20"/>
  <c r="BE56" i="25" s="1"/>
  <c r="EB61" i="20"/>
  <c r="EC61" i="20"/>
  <c r="AZ56" i="25" s="1"/>
  <c r="EF65" i="20"/>
  <c r="BC60" i="25" s="1"/>
  <c r="EE95" i="20"/>
  <c r="BB89" i="25" s="1"/>
  <c r="EK65" i="20"/>
  <c r="BG60" i="25" s="1"/>
  <c r="EB93" i="20"/>
  <c r="EC93" i="20"/>
  <c r="AZ87" i="25" s="1"/>
  <c r="EI93" i="20"/>
  <c r="BE87" i="25" s="1"/>
  <c r="EI92" i="20"/>
  <c r="EB92" i="20"/>
  <c r="EC92" i="20"/>
  <c r="EK86" i="20"/>
  <c r="EL57" i="20"/>
  <c r="EB76" i="20"/>
  <c r="EC76" i="20"/>
  <c r="EI76" i="20"/>
  <c r="EE65" i="20"/>
  <c r="BB60" i="25" s="1"/>
  <c r="EE57" i="20"/>
  <c r="DM54" i="20"/>
  <c r="DM5" i="20" s="1"/>
  <c r="DS54" i="20"/>
  <c r="DS5" i="20" s="1"/>
  <c r="CR92" i="20"/>
  <c r="CY92" i="20"/>
  <c r="CS92" i="20"/>
  <c r="CS73" i="20"/>
  <c r="AM67" i="25" s="1"/>
  <c r="CY73" i="20"/>
  <c r="AR67" i="25" s="1"/>
  <c r="CR73" i="20"/>
  <c r="CS57" i="20"/>
  <c r="CY57" i="20"/>
  <c r="CR57" i="20"/>
  <c r="CY80" i="20"/>
  <c r="AR74" i="25" s="1"/>
  <c r="CS80" i="20"/>
  <c r="AM74" i="25" s="1"/>
  <c r="CR80" i="20"/>
  <c r="CR59" i="20"/>
  <c r="CS59" i="20"/>
  <c r="AM54" i="25" s="1"/>
  <c r="CY59" i="20"/>
  <c r="AR54" i="25" s="1"/>
  <c r="CR93" i="20"/>
  <c r="CS93" i="20"/>
  <c r="AM87" i="25" s="1"/>
  <c r="CY93" i="20"/>
  <c r="AR87" i="25" s="1"/>
  <c r="CY79" i="20"/>
  <c r="AR73" i="25" s="1"/>
  <c r="CR79" i="20"/>
  <c r="CS79" i="20"/>
  <c r="AM73" i="25" s="1"/>
  <c r="CR72" i="20"/>
  <c r="CY72" i="20"/>
  <c r="AR66" i="25" s="1"/>
  <c r="CS72" i="20"/>
  <c r="AM66" i="25" s="1"/>
  <c r="CS66" i="20"/>
  <c r="AM61" i="25" s="1"/>
  <c r="CY66" i="20"/>
  <c r="AR61" i="25" s="1"/>
  <c r="CR66" i="20"/>
  <c r="DR54" i="20"/>
  <c r="DR5" i="20" s="1"/>
  <c r="CS63" i="20"/>
  <c r="AM58" i="25" s="1"/>
  <c r="CY63" i="20"/>
  <c r="AR58" i="25" s="1"/>
  <c r="CR63" i="20"/>
  <c r="CS69" i="20"/>
  <c r="CY69" i="20"/>
  <c r="CR69" i="20"/>
  <c r="CR61" i="20"/>
  <c r="H61" i="20" s="1"/>
  <c r="CS61" i="20"/>
  <c r="AM56" i="25" s="1"/>
  <c r="CY61" i="20"/>
  <c r="AR56" i="25" s="1"/>
  <c r="CS64" i="20"/>
  <c r="AM59" i="25" s="1"/>
  <c r="CR64" i="20"/>
  <c r="CY64" i="20"/>
  <c r="AR59" i="25" s="1"/>
  <c r="CR96" i="20"/>
  <c r="CY96" i="20"/>
  <c r="AR90" i="25" s="1"/>
  <c r="CS96" i="20"/>
  <c r="AM90" i="25" s="1"/>
  <c r="CR89" i="20"/>
  <c r="CY89" i="20"/>
  <c r="AR83" i="25" s="1"/>
  <c r="CS89" i="20"/>
  <c r="AM83" i="25" s="1"/>
  <c r="CS70" i="20"/>
  <c r="AM65" i="25" s="1"/>
  <c r="CY70" i="20"/>
  <c r="AR65" i="25" s="1"/>
  <c r="CR70" i="20"/>
  <c r="CY76" i="20"/>
  <c r="CR76" i="20"/>
  <c r="CS76" i="20"/>
  <c r="CS77" i="20"/>
  <c r="AM71" i="25" s="1"/>
  <c r="CY77" i="20"/>
  <c r="AR71" i="25" s="1"/>
  <c r="CR77" i="20"/>
  <c r="DN54" i="20"/>
  <c r="DN5" i="20" s="1"/>
  <c r="CR78" i="20"/>
  <c r="CY78" i="20"/>
  <c r="AR72" i="25" s="1"/>
  <c r="CS78" i="20"/>
  <c r="AM72" i="25" s="1"/>
  <c r="CS82" i="20"/>
  <c r="AM76" i="25" s="1"/>
  <c r="CR82" i="20"/>
  <c r="CY82" i="20"/>
  <c r="AR76" i="25" s="1"/>
  <c r="CR83" i="20"/>
  <c r="CY83" i="20"/>
  <c r="AR77" i="25" s="1"/>
  <c r="CS83" i="20"/>
  <c r="AM77" i="25" s="1"/>
  <c r="CS60" i="20"/>
  <c r="AM55" i="25" s="1"/>
  <c r="CR60" i="20"/>
  <c r="CY60" i="20"/>
  <c r="AR55" i="25" s="1"/>
  <c r="CY87" i="20"/>
  <c r="AR81" i="25" s="1"/>
  <c r="CR87" i="20"/>
  <c r="CS87" i="20"/>
  <c r="AM81" i="25" s="1"/>
  <c r="CS71" i="20"/>
  <c r="CR71" i="20"/>
  <c r="CY71" i="20"/>
  <c r="CS58" i="20"/>
  <c r="AM53" i="25" s="1"/>
  <c r="CY58" i="20"/>
  <c r="AR53" i="25" s="1"/>
  <c r="CR58" i="20"/>
  <c r="DK54" i="20"/>
  <c r="DK5" i="20" s="1"/>
  <c r="CY81" i="20"/>
  <c r="AR75" i="25" s="1"/>
  <c r="CR81" i="20"/>
  <c r="CS81" i="20"/>
  <c r="AM75" i="25" s="1"/>
  <c r="DQ54" i="20"/>
  <c r="DQ5" i="20" s="1"/>
  <c r="CY95" i="20"/>
  <c r="AR89" i="25" s="1"/>
  <c r="CS95" i="20"/>
  <c r="AM89" i="25" s="1"/>
  <c r="CR95" i="20"/>
  <c r="CR86" i="20"/>
  <c r="CY86" i="20"/>
  <c r="CS86" i="20"/>
  <c r="CS88" i="20"/>
  <c r="AM82" i="25" s="1"/>
  <c r="CR88" i="20"/>
  <c r="CY88" i="20"/>
  <c r="AR82" i="25" s="1"/>
  <c r="CR94" i="20"/>
  <c r="CY94" i="20"/>
  <c r="AR88" i="25" s="1"/>
  <c r="CS94" i="20"/>
  <c r="AM88" i="25" s="1"/>
  <c r="CY62" i="20"/>
  <c r="AR57" i="25" s="1"/>
  <c r="CS62" i="20"/>
  <c r="AM57" i="25" s="1"/>
  <c r="CR62" i="20"/>
  <c r="DL54" i="20"/>
  <c r="DL5" i="20" s="1"/>
  <c r="CR65" i="20"/>
  <c r="H65" i="20" s="1"/>
  <c r="CS65" i="20"/>
  <c r="AM60" i="25" s="1"/>
  <c r="CY65" i="20"/>
  <c r="AR60" i="25" s="1"/>
  <c r="DJ54" i="20"/>
  <c r="DJ5" i="20" s="1"/>
  <c r="BZ54" i="20"/>
  <c r="BZ5" i="20" s="1"/>
  <c r="BH61" i="20"/>
  <c r="CA54" i="20"/>
  <c r="CA5" i="20" s="1"/>
  <c r="BL65" i="20"/>
  <c r="AB60" i="25" s="1"/>
  <c r="CH54" i="20"/>
  <c r="CH5" i="20" s="1"/>
  <c r="CC54" i="20"/>
  <c r="CC5" i="20" s="1"/>
  <c r="BJ89" i="20"/>
  <c r="Z83" i="25" s="1"/>
  <c r="BI89" i="20"/>
  <c r="H89" i="20" s="1"/>
  <c r="BP89" i="20"/>
  <c r="AE83" i="25" s="1"/>
  <c r="BI57" i="20"/>
  <c r="BP57" i="20"/>
  <c r="BJ57" i="20"/>
  <c r="BI83" i="20"/>
  <c r="BP83" i="20"/>
  <c r="AE77" i="25" s="1"/>
  <c r="BJ83" i="20"/>
  <c r="Z77" i="25" s="1"/>
  <c r="BI77" i="20"/>
  <c r="BP77" i="20"/>
  <c r="AE71" i="25" s="1"/>
  <c r="BJ77" i="20"/>
  <c r="Z71" i="25" s="1"/>
  <c r="BJ76" i="20"/>
  <c r="BI76" i="20"/>
  <c r="BP76" i="20"/>
  <c r="BP87" i="20"/>
  <c r="AE81" i="25" s="1"/>
  <c r="BJ87" i="20"/>
  <c r="Z81" i="25" s="1"/>
  <c r="BI87" i="20"/>
  <c r="H81" i="25" s="1"/>
  <c r="BI64" i="20"/>
  <c r="H59" i="25" s="1"/>
  <c r="BJ64" i="20"/>
  <c r="Z59" i="25" s="1"/>
  <c r="BP64" i="20"/>
  <c r="AE59" i="25" s="1"/>
  <c r="BP78" i="20"/>
  <c r="AE72" i="25" s="1"/>
  <c r="BI78" i="20"/>
  <c r="BJ78" i="20"/>
  <c r="Z72" i="25" s="1"/>
  <c r="BJ82" i="20"/>
  <c r="Z76" i="25" s="1"/>
  <c r="BI82" i="20"/>
  <c r="BP82" i="20"/>
  <c r="AE76" i="25" s="1"/>
  <c r="BK61" i="20"/>
  <c r="AA56" i="25" s="1"/>
  <c r="BI72" i="20"/>
  <c r="BP72" i="20"/>
  <c r="AE66" i="25" s="1"/>
  <c r="BJ72" i="20"/>
  <c r="Z66" i="25" s="1"/>
  <c r="BP58" i="20"/>
  <c r="AE53" i="25" s="1"/>
  <c r="BI58" i="20"/>
  <c r="H58" i="20" s="1"/>
  <c r="BJ58" i="20"/>
  <c r="Z53" i="25" s="1"/>
  <c r="BJ69" i="20"/>
  <c r="BI69" i="20"/>
  <c r="BP69" i="20"/>
  <c r="BI79" i="20"/>
  <c r="BJ79" i="20"/>
  <c r="Z73" i="25" s="1"/>
  <c r="BP79" i="20"/>
  <c r="AE73" i="25" s="1"/>
  <c r="BI94" i="20"/>
  <c r="BJ94" i="20"/>
  <c r="Z88" i="25" s="1"/>
  <c r="BP94" i="20"/>
  <c r="AE88" i="25" s="1"/>
  <c r="BI86" i="20"/>
  <c r="BP86" i="20"/>
  <c r="BJ86" i="20"/>
  <c r="BI66" i="20"/>
  <c r="H66" i="20" s="1"/>
  <c r="BP66" i="20"/>
  <c r="AE61" i="25" s="1"/>
  <c r="BJ66" i="20"/>
  <c r="Z61" i="25" s="1"/>
  <c r="BI93" i="20"/>
  <c r="H93" i="20" s="1"/>
  <c r="BP93" i="20"/>
  <c r="AE87" i="25" s="1"/>
  <c r="BJ93" i="20"/>
  <c r="Z87" i="25" s="1"/>
  <c r="BQ61" i="20"/>
  <c r="AF56" i="25" s="1"/>
  <c r="BJ63" i="20"/>
  <c r="Z58" i="25" s="1"/>
  <c r="BI63" i="20"/>
  <c r="BP63" i="20"/>
  <c r="AE58" i="25" s="1"/>
  <c r="BP95" i="20"/>
  <c r="AE89" i="25" s="1"/>
  <c r="BJ95" i="20"/>
  <c r="Z89" i="25" s="1"/>
  <c r="BI95" i="20"/>
  <c r="BJ60" i="20"/>
  <c r="Z55" i="25" s="1"/>
  <c r="BI60" i="20"/>
  <c r="BP60" i="20"/>
  <c r="AE55" i="25" s="1"/>
  <c r="BJ96" i="20"/>
  <c r="Z90" i="25" s="1"/>
  <c r="BI96" i="20"/>
  <c r="BP96" i="20"/>
  <c r="AE90" i="25" s="1"/>
  <c r="BM65" i="20"/>
  <c r="AC60" i="25" s="1"/>
  <c r="BJ88" i="20"/>
  <c r="Z82" i="25" s="1"/>
  <c r="BI88" i="20"/>
  <c r="BP88" i="20"/>
  <c r="AE82" i="25" s="1"/>
  <c r="BJ81" i="20"/>
  <c r="Z75" i="25" s="1"/>
  <c r="BP81" i="20"/>
  <c r="AE75" i="25" s="1"/>
  <c r="BI81" i="20"/>
  <c r="H75" i="25" s="1"/>
  <c r="BP92" i="20"/>
  <c r="BJ92" i="20"/>
  <c r="BI92" i="20"/>
  <c r="BI71" i="20"/>
  <c r="BJ71" i="20"/>
  <c r="BP71" i="20"/>
  <c r="BP59" i="20"/>
  <c r="AE54" i="25" s="1"/>
  <c r="BI59" i="20"/>
  <c r="H54" i="25" s="1"/>
  <c r="BJ59" i="20"/>
  <c r="Z54" i="25" s="1"/>
  <c r="BH65" i="20"/>
  <c r="BQ65" i="20"/>
  <c r="BJ80" i="20"/>
  <c r="Z74" i="25" s="1"/>
  <c r="BP80" i="20"/>
  <c r="AE74" i="25" s="1"/>
  <c r="BI80" i="20"/>
  <c r="BH70" i="20"/>
  <c r="BK70" i="20"/>
  <c r="AA65" i="25" s="1"/>
  <c r="O83" i="20"/>
  <c r="CB54" i="20"/>
  <c r="CB5" i="20" s="1"/>
  <c r="BJ62" i="20"/>
  <c r="Z57" i="25" s="1"/>
  <c r="BP62" i="20"/>
  <c r="AE57" i="25" s="1"/>
  <c r="BI62" i="20"/>
  <c r="H62" i="20" s="1"/>
  <c r="BQ70" i="20"/>
  <c r="AF65" i="25" s="1"/>
  <c r="BI73" i="20"/>
  <c r="BJ73" i="20"/>
  <c r="Z67" i="25" s="1"/>
  <c r="BP73" i="20"/>
  <c r="AE67" i="25" s="1"/>
  <c r="H61" i="25"/>
  <c r="AG59" i="20"/>
  <c r="Y59" i="20" s="1"/>
  <c r="AA59" i="20"/>
  <c r="M54" i="25" s="1"/>
  <c r="AA66" i="20"/>
  <c r="AG86" i="20"/>
  <c r="R80" i="25" s="1"/>
  <c r="Z86" i="20"/>
  <c r="AH86" i="20" s="1"/>
  <c r="AI86" i="20" s="1"/>
  <c r="AJ86" i="20" s="1"/>
  <c r="AH66" i="20"/>
  <c r="AI66" i="20" s="1"/>
  <c r="AJ66" i="20" s="1"/>
  <c r="AG65" i="20"/>
  <c r="R60" i="25" s="1"/>
  <c r="AB88" i="20"/>
  <c r="AC88" i="20" s="1"/>
  <c r="AH88" i="20"/>
  <c r="AI88" i="20" s="1"/>
  <c r="AJ88" i="20" s="1"/>
  <c r="AG78" i="20"/>
  <c r="R72" i="25" s="1"/>
  <c r="AG66" i="20"/>
  <c r="Y66" i="20" s="1"/>
  <c r="AA92" i="20"/>
  <c r="Z92" i="20"/>
  <c r="AB92" i="20" s="1"/>
  <c r="AC92" i="20" s="1"/>
  <c r="AG57" i="20"/>
  <c r="R52" i="25" s="1"/>
  <c r="AG88" i="20"/>
  <c r="R82" i="25" s="1"/>
  <c r="R77" i="25"/>
  <c r="AH72" i="20"/>
  <c r="AA88" i="20"/>
  <c r="AH57" i="20"/>
  <c r="S52" i="25" s="1"/>
  <c r="AA57" i="20"/>
  <c r="M52" i="25" s="1"/>
  <c r="AA96" i="20"/>
  <c r="M90" i="25" s="1"/>
  <c r="H77" i="25"/>
  <c r="AG81" i="20"/>
  <c r="R75" i="25" s="1"/>
  <c r="AA81" i="20"/>
  <c r="M75" i="25" s="1"/>
  <c r="H83" i="20"/>
  <c r="AG72" i="20"/>
  <c r="Y72" i="20" s="1"/>
  <c r="AH81" i="20"/>
  <c r="AI81" i="20" s="1"/>
  <c r="AA73" i="20"/>
  <c r="AT54" i="20"/>
  <c r="AT5" i="20" s="1"/>
  <c r="AA79" i="20"/>
  <c r="I79" i="20" s="1"/>
  <c r="AB66" i="20"/>
  <c r="N61" i="25" s="1"/>
  <c r="AA94" i="20"/>
  <c r="M88" i="25" s="1"/>
  <c r="AB81" i="20"/>
  <c r="AG94" i="20"/>
  <c r="AA72" i="20"/>
  <c r="M66" i="25" s="1"/>
  <c r="AH93" i="20"/>
  <c r="AI93" i="20" s="1"/>
  <c r="AB93" i="20"/>
  <c r="AA93" i="20"/>
  <c r="AB83" i="20"/>
  <c r="N77" i="25" s="1"/>
  <c r="AG93" i="20"/>
  <c r="Y93" i="20" s="1"/>
  <c r="AH83" i="20"/>
  <c r="AI83" i="20" s="1"/>
  <c r="M77" i="25"/>
  <c r="AA78" i="20"/>
  <c r="R74" i="25"/>
  <c r="AA60" i="20"/>
  <c r="M55" i="25" s="1"/>
  <c r="AG69" i="20"/>
  <c r="AQ54" i="20"/>
  <c r="AQ5" i="20" s="1"/>
  <c r="Z94" i="20"/>
  <c r="AG87" i="20"/>
  <c r="R81" i="25" s="1"/>
  <c r="AA80" i="20"/>
  <c r="Z80" i="20"/>
  <c r="AA82" i="20"/>
  <c r="AV54" i="20"/>
  <c r="AV5" i="20" s="1"/>
  <c r="H72" i="25"/>
  <c r="AA87" i="20"/>
  <c r="O72" i="25"/>
  <c r="AA69" i="20"/>
  <c r="M64" i="25" s="1"/>
  <c r="AY54" i="20"/>
  <c r="AY5" i="20" s="1"/>
  <c r="AA65" i="20"/>
  <c r="M60" i="25" s="1"/>
  <c r="AZ54" i="20"/>
  <c r="AZ5" i="20" s="1"/>
  <c r="AD78" i="20"/>
  <c r="P72" i="25" s="1"/>
  <c r="N52" i="25"/>
  <c r="N72" i="25"/>
  <c r="H78" i="20"/>
  <c r="AH78" i="20"/>
  <c r="AU54" i="20"/>
  <c r="AU5" i="20" s="1"/>
  <c r="AN4" i="20"/>
  <c r="AB69" i="20"/>
  <c r="AM4" i="20"/>
  <c r="AA89" i="20"/>
  <c r="AG73" i="20"/>
  <c r="Z73" i="20"/>
  <c r="AH69" i="20"/>
  <c r="AS54" i="20"/>
  <c r="AS5" i="20" s="1"/>
  <c r="AG89" i="20"/>
  <c r="AG96" i="20"/>
  <c r="Z96" i="20"/>
  <c r="AB89" i="20"/>
  <c r="AC89" i="20" s="1"/>
  <c r="Z79" i="20"/>
  <c r="AG79" i="20"/>
  <c r="AR54" i="20"/>
  <c r="AR5" i="20" s="1"/>
  <c r="AA86" i="20"/>
  <c r="I86" i="20" s="1"/>
  <c r="AH89" i="20"/>
  <c r="AG95" i="20"/>
  <c r="Z95" i="20"/>
  <c r="AA95" i="20"/>
  <c r="Z70" i="20"/>
  <c r="AA70" i="20"/>
  <c r="AG70" i="20"/>
  <c r="AG60" i="20"/>
  <c r="Z60" i="20"/>
  <c r="Z56" i="20" s="1"/>
  <c r="AH65" i="20"/>
  <c r="BA54" i="20"/>
  <c r="BA5" i="20" s="1"/>
  <c r="AA71" i="20"/>
  <c r="Z71" i="20"/>
  <c r="AG71" i="20"/>
  <c r="O71" i="20" s="1"/>
  <c r="AA76" i="20"/>
  <c r="Z76" i="20"/>
  <c r="AG76" i="20"/>
  <c r="AO4" i="20"/>
  <c r="AB65" i="20"/>
  <c r="AC65" i="20" s="1"/>
  <c r="AG77" i="20"/>
  <c r="Z77" i="20"/>
  <c r="Z82" i="20"/>
  <c r="AG82" i="20"/>
  <c r="AH87" i="20"/>
  <c r="AB87" i="20"/>
  <c r="AA77" i="20"/>
  <c r="R54" i="25"/>
  <c r="O52" i="25"/>
  <c r="AD57" i="20"/>
  <c r="AE57" i="20" s="1"/>
  <c r="M53" i="25"/>
  <c r="M57" i="25"/>
  <c r="AB63" i="20"/>
  <c r="AC63" i="20" s="1"/>
  <c r="Y63" i="20"/>
  <c r="H63" i="20"/>
  <c r="H58" i="25"/>
  <c r="AH63" i="20"/>
  <c r="R57" i="25"/>
  <c r="M58" i="25"/>
  <c r="I63" i="20"/>
  <c r="R59" i="25"/>
  <c r="AB59" i="20"/>
  <c r="AC59" i="20" s="1"/>
  <c r="AH59" i="20"/>
  <c r="N66" i="25"/>
  <c r="AC72" i="20"/>
  <c r="Y58" i="20"/>
  <c r="AH58" i="20"/>
  <c r="AI58" i="20" s="1"/>
  <c r="AB58" i="20"/>
  <c r="AC58" i="20" s="1"/>
  <c r="R56" i="25"/>
  <c r="O61" i="20"/>
  <c r="Y62" i="20"/>
  <c r="AH62" i="20"/>
  <c r="AB62" i="20"/>
  <c r="R58" i="25"/>
  <c r="O63" i="20"/>
  <c r="Y64" i="20"/>
  <c r="AH64" i="20"/>
  <c r="AI64" i="20" s="1"/>
  <c r="AB64" i="20"/>
  <c r="AC64" i="20" s="1"/>
  <c r="R53" i="25"/>
  <c r="O58" i="20"/>
  <c r="M56" i="25"/>
  <c r="R86" i="25"/>
  <c r="M59" i="25"/>
  <c r="Y61" i="20"/>
  <c r="H56" i="25"/>
  <c r="AH61" i="20"/>
  <c r="AB61" i="20"/>
  <c r="AC61" i="20" s="1"/>
  <c r="N82" i="25" l="1"/>
  <c r="S61" i="25"/>
  <c r="H53" i="25"/>
  <c r="I59" i="20"/>
  <c r="BD80" i="25"/>
  <c r="BH52" i="25"/>
  <c r="EA73" i="20"/>
  <c r="EK73" i="20"/>
  <c r="BG67" i="25" s="1"/>
  <c r="EJ73" i="20"/>
  <c r="BF67" i="25" s="1"/>
  <c r="ED73" i="20"/>
  <c r="BA67" i="25" s="1"/>
  <c r="AZ64" i="25"/>
  <c r="AZ63" i="25" s="1"/>
  <c r="EC68" i="20"/>
  <c r="EA72" i="20"/>
  <c r="ED72" i="20"/>
  <c r="BA66" i="25" s="1"/>
  <c r="EJ72" i="20"/>
  <c r="BF66" i="25" s="1"/>
  <c r="BG80" i="25"/>
  <c r="EL86" i="20"/>
  <c r="BC80" i="25"/>
  <c r="BE64" i="25"/>
  <c r="BE63" i="25" s="1"/>
  <c r="EI68" i="20"/>
  <c r="EA89" i="20"/>
  <c r="ED89" i="20"/>
  <c r="BA83" i="25" s="1"/>
  <c r="EE89" i="20"/>
  <c r="BB83" i="25" s="1"/>
  <c r="EL89" i="20"/>
  <c r="BH83" i="25" s="1"/>
  <c r="EK89" i="20"/>
  <c r="BG83" i="25" s="1"/>
  <c r="EJ89" i="20"/>
  <c r="BF83" i="25" s="1"/>
  <c r="EA83" i="20"/>
  <c r="EJ83" i="20"/>
  <c r="BF77" i="25" s="1"/>
  <c r="ED83" i="20"/>
  <c r="BA77" i="25" s="1"/>
  <c r="AZ86" i="25"/>
  <c r="AZ85" i="25" s="1"/>
  <c r="EC91" i="20"/>
  <c r="EA87" i="20"/>
  <c r="ED87" i="20"/>
  <c r="EJ87" i="20"/>
  <c r="EE87" i="20"/>
  <c r="BB81" i="25" s="1"/>
  <c r="EA82" i="20"/>
  <c r="EJ82" i="20"/>
  <c r="BF76" i="25" s="1"/>
  <c r="ED82" i="20"/>
  <c r="BA76" i="25" s="1"/>
  <c r="EA71" i="20"/>
  <c r="EG71" i="20"/>
  <c r="EF71" i="20"/>
  <c r="ED71" i="20"/>
  <c r="EE71" i="20"/>
  <c r="EJ71" i="20"/>
  <c r="EK71" i="20" s="1"/>
  <c r="BB52" i="25"/>
  <c r="EA92" i="20"/>
  <c r="EB91" i="20"/>
  <c r="ED92" i="20"/>
  <c r="EJ92" i="20"/>
  <c r="EK92" i="20"/>
  <c r="EE92" i="20"/>
  <c r="EF92" i="20" s="1"/>
  <c r="EA79" i="20"/>
  <c r="ED79" i="20"/>
  <c r="BA73" i="25" s="1"/>
  <c r="EJ79" i="20"/>
  <c r="BF73" i="25" s="1"/>
  <c r="BB80" i="25"/>
  <c r="EA58" i="20"/>
  <c r="EA4" i="20" s="1"/>
  <c r="EB56" i="20"/>
  <c r="EB4" i="20"/>
  <c r="EJ58" i="20"/>
  <c r="ED58" i="20"/>
  <c r="EI4" i="20"/>
  <c r="EA77" i="20"/>
  <c r="EJ77" i="20"/>
  <c r="BF71" i="25" s="1"/>
  <c r="ED77" i="20"/>
  <c r="BA71" i="25" s="1"/>
  <c r="EM57" i="20"/>
  <c r="EA94" i="20"/>
  <c r="ED94" i="20"/>
  <c r="BA88" i="25" s="1"/>
  <c r="EJ94" i="20"/>
  <c r="BF88" i="25" s="1"/>
  <c r="EK94" i="20"/>
  <c r="BG88" i="25" s="1"/>
  <c r="EF57" i="20"/>
  <c r="BE86" i="25"/>
  <c r="BE85" i="25" s="1"/>
  <c r="EI91" i="20"/>
  <c r="EA61" i="20"/>
  <c r="EK61" i="20"/>
  <c r="BG56" i="25" s="1"/>
  <c r="ED61" i="20"/>
  <c r="BA56" i="25" s="1"/>
  <c r="EL61" i="20"/>
  <c r="BH56" i="25" s="1"/>
  <c r="EJ61" i="20"/>
  <c r="BF56" i="25" s="1"/>
  <c r="EM61" i="20"/>
  <c r="BI56" i="25" s="1"/>
  <c r="BA89" i="25"/>
  <c r="EF95" i="20"/>
  <c r="BC89" i="25" s="1"/>
  <c r="EG95" i="20"/>
  <c r="BD89" i="25" s="1"/>
  <c r="EM86" i="20"/>
  <c r="EA60" i="20"/>
  <c r="EE60" i="20"/>
  <c r="BB55" i="25" s="1"/>
  <c r="EL60" i="20"/>
  <c r="BH55" i="25" s="1"/>
  <c r="EK60" i="20"/>
  <c r="BG55" i="25" s="1"/>
  <c r="ED60" i="20"/>
  <c r="BA55" i="25" s="1"/>
  <c r="EJ60" i="20"/>
  <c r="BF55" i="25" s="1"/>
  <c r="EI56" i="20"/>
  <c r="EA64" i="20"/>
  <c r="EE64" i="20"/>
  <c r="BB59" i="25" s="1"/>
  <c r="EJ64" i="20"/>
  <c r="BF59" i="25" s="1"/>
  <c r="ED64" i="20"/>
  <c r="BA59" i="25" s="1"/>
  <c r="EK64" i="20"/>
  <c r="BG59" i="25" s="1"/>
  <c r="EA88" i="20"/>
  <c r="EJ88" i="20"/>
  <c r="BF82" i="25" s="1"/>
  <c r="ED88" i="20"/>
  <c r="BA82" i="25" s="1"/>
  <c r="EE88" i="20"/>
  <c r="BB82" i="25" s="1"/>
  <c r="EL65" i="20"/>
  <c r="BH60" i="25" s="1"/>
  <c r="EI85" i="20"/>
  <c r="AZ51" i="25"/>
  <c r="AZ4" i="25"/>
  <c r="EA70" i="20"/>
  <c r="ED70" i="20"/>
  <c r="BA65" i="25" s="1"/>
  <c r="EK70" i="20"/>
  <c r="BG65" i="25" s="1"/>
  <c r="EJ70" i="20"/>
  <c r="BF65" i="25" s="1"/>
  <c r="EL70" i="20"/>
  <c r="BH65" i="25" s="1"/>
  <c r="EA63" i="20"/>
  <c r="EJ63" i="20"/>
  <c r="BF58" i="25" s="1"/>
  <c r="ED63" i="20"/>
  <c r="BA58" i="25" s="1"/>
  <c r="EF63" i="20"/>
  <c r="BC58" i="25" s="1"/>
  <c r="EE63" i="20"/>
  <c r="BB58" i="25" s="1"/>
  <c r="BE51" i="25"/>
  <c r="BE4" i="25"/>
  <c r="EA59" i="20"/>
  <c r="EK59" i="20"/>
  <c r="BG54" i="25" s="1"/>
  <c r="EJ59" i="20"/>
  <c r="BF54" i="25" s="1"/>
  <c r="ED59" i="20"/>
  <c r="BA54" i="25" s="1"/>
  <c r="EA62" i="20"/>
  <c r="EJ62" i="20"/>
  <c r="BF57" i="25" s="1"/>
  <c r="ED62" i="20"/>
  <c r="BA57" i="25" s="1"/>
  <c r="BE79" i="25"/>
  <c r="EI75" i="20"/>
  <c r="BE70" i="25"/>
  <c r="BE69" i="25" s="1"/>
  <c r="EC75" i="20"/>
  <c r="AZ70" i="25"/>
  <c r="AZ69" i="25" s="1"/>
  <c r="EA78" i="20"/>
  <c r="ED78" i="20"/>
  <c r="BA72" i="25" s="1"/>
  <c r="EJ78" i="20"/>
  <c r="BF72" i="25" s="1"/>
  <c r="EF78" i="20"/>
  <c r="BC72" i="25" s="1"/>
  <c r="EE78" i="20"/>
  <c r="BB72" i="25" s="1"/>
  <c r="EC56" i="20"/>
  <c r="EM95" i="20"/>
  <c r="BI89" i="25" s="1"/>
  <c r="EA96" i="20"/>
  <c r="EJ96" i="20"/>
  <c r="BF90" i="25" s="1"/>
  <c r="ED96" i="20"/>
  <c r="BA90" i="25" s="1"/>
  <c r="EG57" i="20"/>
  <c r="EB85" i="20"/>
  <c r="EA85" i="20" s="1"/>
  <c r="EA66" i="20"/>
  <c r="EJ66" i="20"/>
  <c r="BF61" i="25" s="1"/>
  <c r="ED66" i="20"/>
  <c r="BA61" i="25" s="1"/>
  <c r="EK66" i="20"/>
  <c r="BG61" i="25" s="1"/>
  <c r="EC85" i="20"/>
  <c r="EB75" i="20"/>
  <c r="EA76" i="20"/>
  <c r="ED76" i="20"/>
  <c r="EE76" i="20" s="1"/>
  <c r="EJ76" i="20"/>
  <c r="EA93" i="20"/>
  <c r="ED93" i="20"/>
  <c r="BA87" i="25" s="1"/>
  <c r="EJ93" i="20"/>
  <c r="BF87" i="25" s="1"/>
  <c r="EE93" i="20"/>
  <c r="BB87" i="25" s="1"/>
  <c r="EC4" i="20"/>
  <c r="EG65" i="20"/>
  <c r="BD60" i="25" s="1"/>
  <c r="EA69" i="20"/>
  <c r="EB68" i="20"/>
  <c r="EA68" i="20" s="1"/>
  <c r="EK69" i="20"/>
  <c r="ED69" i="20"/>
  <c r="EL69" i="20"/>
  <c r="EJ69" i="20"/>
  <c r="EM65" i="20"/>
  <c r="BI60" i="25" s="1"/>
  <c r="EA80" i="20"/>
  <c r="EJ80" i="20"/>
  <c r="BF74" i="25" s="1"/>
  <c r="ED80" i="20"/>
  <c r="BA74" i="25" s="1"/>
  <c r="EK80" i="20"/>
  <c r="BG74" i="25" s="1"/>
  <c r="EF80" i="20"/>
  <c r="BC74" i="25" s="1"/>
  <c r="EE80" i="20"/>
  <c r="BB74" i="25" s="1"/>
  <c r="EA81" i="20"/>
  <c r="EJ81" i="20"/>
  <c r="BF75" i="25" s="1"/>
  <c r="ED81" i="20"/>
  <c r="BA75" i="25" s="1"/>
  <c r="EK81" i="20"/>
  <c r="BG75" i="25" s="1"/>
  <c r="AZ79" i="25"/>
  <c r="I61" i="20"/>
  <c r="H60" i="25"/>
  <c r="I96" i="20"/>
  <c r="H72" i="20"/>
  <c r="CQ71" i="20"/>
  <c r="DA71" i="20"/>
  <c r="CT71" i="20"/>
  <c r="CU71" i="20" s="1"/>
  <c r="CV71" i="20" s="1"/>
  <c r="CZ71" i="20"/>
  <c r="H86" i="20"/>
  <c r="H69" i="20"/>
  <c r="CS85" i="20"/>
  <c r="AM80" i="25"/>
  <c r="AM79" i="25" s="1"/>
  <c r="CQ81" i="20"/>
  <c r="CZ81" i="20"/>
  <c r="AS75" i="25" s="1"/>
  <c r="CT81" i="20"/>
  <c r="AN75" i="25" s="1"/>
  <c r="AM64" i="25"/>
  <c r="AM63" i="25" s="1"/>
  <c r="CS68" i="20"/>
  <c r="CQ93" i="20"/>
  <c r="CT93" i="20"/>
  <c r="AN87" i="25" s="1"/>
  <c r="CZ93" i="20"/>
  <c r="AS87" i="25" s="1"/>
  <c r="CY56" i="20"/>
  <c r="AR52" i="25"/>
  <c r="CY4" i="20"/>
  <c r="CY85" i="20"/>
  <c r="AR80" i="25"/>
  <c r="AR79" i="25" s="1"/>
  <c r="CQ83" i="20"/>
  <c r="CT83" i="20"/>
  <c r="AN77" i="25" s="1"/>
  <c r="DA83" i="20"/>
  <c r="AT77" i="25" s="1"/>
  <c r="CZ83" i="20"/>
  <c r="AS77" i="25" s="1"/>
  <c r="CU83" i="20"/>
  <c r="AO77" i="25" s="1"/>
  <c r="CQ77" i="20"/>
  <c r="CZ77" i="20"/>
  <c r="AS71" i="25" s="1"/>
  <c r="CT77" i="20"/>
  <c r="AN71" i="25" s="1"/>
  <c r="CQ64" i="20"/>
  <c r="CZ64" i="20"/>
  <c r="AS59" i="25" s="1"/>
  <c r="CT64" i="20"/>
  <c r="AN59" i="25" s="1"/>
  <c r="CQ63" i="20"/>
  <c r="CZ63" i="20"/>
  <c r="AS58" i="25" s="1"/>
  <c r="CT63" i="20"/>
  <c r="AN58" i="25" s="1"/>
  <c r="DA63" i="20"/>
  <c r="AT58" i="25" s="1"/>
  <c r="CS56" i="20"/>
  <c r="AM52" i="25"/>
  <c r="CS4" i="20"/>
  <c r="CQ86" i="20"/>
  <c r="CR85" i="20"/>
  <c r="CT86" i="20"/>
  <c r="CZ86" i="20"/>
  <c r="CQ72" i="20"/>
  <c r="CT72" i="20"/>
  <c r="AN66" i="25" s="1"/>
  <c r="CZ72" i="20"/>
  <c r="AS66" i="25" s="1"/>
  <c r="CU72" i="20"/>
  <c r="AO66" i="25" s="1"/>
  <c r="CQ73" i="20"/>
  <c r="CZ73" i="20"/>
  <c r="AS67" i="25" s="1"/>
  <c r="CT73" i="20"/>
  <c r="AN67" i="25" s="1"/>
  <c r="CQ95" i="20"/>
  <c r="CT95" i="20"/>
  <c r="AN89" i="25" s="1"/>
  <c r="CZ95" i="20"/>
  <c r="AS89" i="25" s="1"/>
  <c r="CQ58" i="20"/>
  <c r="CT58" i="20"/>
  <c r="AN53" i="25" s="1"/>
  <c r="CZ58" i="20"/>
  <c r="AS53" i="25" s="1"/>
  <c r="CQ82" i="20"/>
  <c r="CT82" i="20"/>
  <c r="AN76" i="25" s="1"/>
  <c r="CZ82" i="20"/>
  <c r="AS76" i="25" s="1"/>
  <c r="CU82" i="20"/>
  <c r="AO76" i="25" s="1"/>
  <c r="CQ59" i="20"/>
  <c r="CT59" i="20"/>
  <c r="AN54" i="25" s="1"/>
  <c r="CZ59" i="20"/>
  <c r="AS54" i="25" s="1"/>
  <c r="CQ94" i="20"/>
  <c r="CZ94" i="20"/>
  <c r="AS88" i="25" s="1"/>
  <c r="CU94" i="20"/>
  <c r="AO88" i="25" s="1"/>
  <c r="CT94" i="20"/>
  <c r="AN88" i="25" s="1"/>
  <c r="AM70" i="25"/>
  <c r="AM69" i="25" s="1"/>
  <c r="CS75" i="20"/>
  <c r="CQ89" i="20"/>
  <c r="CZ89" i="20"/>
  <c r="AS83" i="25" s="1"/>
  <c r="CT89" i="20"/>
  <c r="AN83" i="25" s="1"/>
  <c r="CQ79" i="20"/>
  <c r="CT79" i="20"/>
  <c r="AN73" i="25" s="1"/>
  <c r="CZ79" i="20"/>
  <c r="AS73" i="25" s="1"/>
  <c r="CQ80" i="20"/>
  <c r="CZ80" i="20"/>
  <c r="AS74" i="25" s="1"/>
  <c r="CT80" i="20"/>
  <c r="AN74" i="25" s="1"/>
  <c r="CQ65" i="20"/>
  <c r="CZ65" i="20"/>
  <c r="AS60" i="25" s="1"/>
  <c r="CT65" i="20"/>
  <c r="AN60" i="25" s="1"/>
  <c r="CQ60" i="20"/>
  <c r="CT60" i="20"/>
  <c r="AN55" i="25" s="1"/>
  <c r="CZ60" i="20"/>
  <c r="AS55" i="25" s="1"/>
  <c r="CU60" i="20"/>
  <c r="AO55" i="25" s="1"/>
  <c r="CR75" i="20"/>
  <c r="CQ76" i="20"/>
  <c r="CT76" i="20"/>
  <c r="CZ76" i="20"/>
  <c r="CQ61" i="20"/>
  <c r="F61" i="20" s="1"/>
  <c r="G61" i="20" s="1"/>
  <c r="CZ61" i="20"/>
  <c r="AS56" i="25" s="1"/>
  <c r="CT61" i="20"/>
  <c r="AN56" i="25" s="1"/>
  <c r="CQ66" i="20"/>
  <c r="CT66" i="20"/>
  <c r="AN61" i="25" s="1"/>
  <c r="CZ66" i="20"/>
  <c r="AS61" i="25" s="1"/>
  <c r="CS91" i="20"/>
  <c r="AM86" i="25"/>
  <c r="AM85" i="25" s="1"/>
  <c r="CQ87" i="20"/>
  <c r="CT87" i="20"/>
  <c r="AN81" i="25" s="1"/>
  <c r="CZ87" i="20"/>
  <c r="AS81" i="25" s="1"/>
  <c r="CQ88" i="20"/>
  <c r="CT88" i="20"/>
  <c r="AN82" i="25" s="1"/>
  <c r="CZ88" i="20"/>
  <c r="AS82" i="25" s="1"/>
  <c r="DA88" i="20"/>
  <c r="AT82" i="25" s="1"/>
  <c r="AR70" i="25"/>
  <c r="AR69" i="25" s="1"/>
  <c r="CY75" i="20"/>
  <c r="CR68" i="20"/>
  <c r="CQ69" i="20"/>
  <c r="CZ69" i="20"/>
  <c r="CT69" i="20"/>
  <c r="CV69" i="20" s="1"/>
  <c r="CU69" i="20"/>
  <c r="CY91" i="20"/>
  <c r="AR86" i="25"/>
  <c r="AR85" i="25" s="1"/>
  <c r="CQ62" i="20"/>
  <c r="CZ62" i="20"/>
  <c r="AS57" i="25" s="1"/>
  <c r="CT62" i="20"/>
  <c r="AN57" i="25" s="1"/>
  <c r="CQ78" i="20"/>
  <c r="CZ78" i="20"/>
  <c r="AS72" i="25" s="1"/>
  <c r="CT78" i="20"/>
  <c r="AN72" i="25" s="1"/>
  <c r="CQ70" i="20"/>
  <c r="DA70" i="20"/>
  <c r="AT65" i="25" s="1"/>
  <c r="CT70" i="20"/>
  <c r="AN65" i="25" s="1"/>
  <c r="DB70" i="20"/>
  <c r="AU65" i="25" s="1"/>
  <c r="CZ70" i="20"/>
  <c r="AS65" i="25" s="1"/>
  <c r="CQ96" i="20"/>
  <c r="CT96" i="20"/>
  <c r="AN90" i="25" s="1"/>
  <c r="CZ96" i="20"/>
  <c r="AS90" i="25" s="1"/>
  <c r="AR64" i="25"/>
  <c r="AR63" i="25" s="1"/>
  <c r="CY68" i="20"/>
  <c r="CR56" i="20"/>
  <c r="CQ57" i="20"/>
  <c r="CR4" i="20"/>
  <c r="CT57" i="20"/>
  <c r="CZ57" i="20"/>
  <c r="DA57" i="20" s="1"/>
  <c r="CR91" i="20"/>
  <c r="CQ91" i="20" s="1"/>
  <c r="CQ92" i="20"/>
  <c r="CU92" i="20"/>
  <c r="CV92" i="20"/>
  <c r="CZ92" i="20"/>
  <c r="CT92" i="20"/>
  <c r="I64" i="20"/>
  <c r="H87" i="25"/>
  <c r="H64" i="20"/>
  <c r="H83" i="25"/>
  <c r="I66" i="20"/>
  <c r="I58" i="20"/>
  <c r="O80" i="20"/>
  <c r="I71" i="20"/>
  <c r="I62" i="20"/>
  <c r="O64" i="20"/>
  <c r="BN65" i="20"/>
  <c r="AD60" i="25" s="1"/>
  <c r="I83" i="20"/>
  <c r="H64" i="25"/>
  <c r="I92" i="20"/>
  <c r="O94" i="20"/>
  <c r="BP91" i="20"/>
  <c r="AE86" i="25"/>
  <c r="AE85" i="25" s="1"/>
  <c r="BH88" i="20"/>
  <c r="BK88" i="20"/>
  <c r="AA82" i="25" s="1"/>
  <c r="BQ88" i="20"/>
  <c r="AF82" i="25" s="1"/>
  <c r="AE80" i="25"/>
  <c r="AE79" i="25" s="1"/>
  <c r="BP85" i="20"/>
  <c r="BP68" i="20"/>
  <c r="AE64" i="25"/>
  <c r="AE63" i="25" s="1"/>
  <c r="BH87" i="20"/>
  <c r="BK87" i="20"/>
  <c r="AA81" i="25" s="1"/>
  <c r="BQ87" i="20"/>
  <c r="AF81" i="25" s="1"/>
  <c r="BL70" i="20"/>
  <c r="AB65" i="25" s="1"/>
  <c r="O59" i="20"/>
  <c r="BH80" i="20"/>
  <c r="BK80" i="20"/>
  <c r="AA74" i="25" s="1"/>
  <c r="BQ80" i="20"/>
  <c r="AF74" i="25" s="1"/>
  <c r="BH95" i="20"/>
  <c r="BK95" i="20"/>
  <c r="AA89" i="25" s="1"/>
  <c r="BQ95" i="20"/>
  <c r="AF89" i="25" s="1"/>
  <c r="BJ68" i="20"/>
  <c r="Z64" i="25"/>
  <c r="Z63" i="25" s="1"/>
  <c r="BH78" i="20"/>
  <c r="BQ78" i="20"/>
  <c r="AF72" i="25" s="1"/>
  <c r="BK78" i="20"/>
  <c r="BH81" i="20"/>
  <c r="BK81" i="20"/>
  <c r="AA75" i="25" s="1"/>
  <c r="BQ81" i="20"/>
  <c r="AF75" i="25" s="1"/>
  <c r="BH86" i="20"/>
  <c r="BI85" i="20"/>
  <c r="H85" i="20" s="1"/>
  <c r="BQ86" i="20"/>
  <c r="BR86" i="20" s="1"/>
  <c r="BK86" i="20"/>
  <c r="BL86" i="20" s="1"/>
  <c r="BH69" i="20"/>
  <c r="BI68" i="20"/>
  <c r="BK69" i="20"/>
  <c r="BL69" i="20" s="1"/>
  <c r="BQ69" i="20"/>
  <c r="BH72" i="20"/>
  <c r="F72" i="20" s="1"/>
  <c r="G72" i="20" s="1"/>
  <c r="BQ72" i="20"/>
  <c r="AF66" i="25" s="1"/>
  <c r="BK72" i="20"/>
  <c r="BH77" i="20"/>
  <c r="BQ77" i="20"/>
  <c r="AF71" i="25" s="1"/>
  <c r="BK77" i="20"/>
  <c r="AA71" i="25" s="1"/>
  <c r="BH57" i="20"/>
  <c r="BI4" i="20"/>
  <c r="BI56" i="20"/>
  <c r="BK57" i="20"/>
  <c r="BQ57" i="20"/>
  <c r="BR57" i="20" s="1"/>
  <c r="O62" i="20"/>
  <c r="H88" i="20"/>
  <c r="BH93" i="20"/>
  <c r="G87" i="25" s="1"/>
  <c r="I87" i="25" s="1"/>
  <c r="BQ93" i="20"/>
  <c r="AF87" i="25" s="1"/>
  <c r="BK93" i="20"/>
  <c r="AA87" i="25" s="1"/>
  <c r="BL61" i="20"/>
  <c r="BH89" i="20"/>
  <c r="BQ89" i="20"/>
  <c r="AF83" i="25" s="1"/>
  <c r="BK89" i="20"/>
  <c r="AA83" i="25" s="1"/>
  <c r="BH62" i="20"/>
  <c r="BK62" i="20"/>
  <c r="AA57" i="25" s="1"/>
  <c r="BQ62" i="20"/>
  <c r="AF57" i="25" s="1"/>
  <c r="H57" i="25"/>
  <c r="I87" i="20"/>
  <c r="I73" i="20"/>
  <c r="BH71" i="20"/>
  <c r="BQ71" i="20"/>
  <c r="BK71" i="20"/>
  <c r="BL71" i="20" s="1"/>
  <c r="BM71" i="20" s="1"/>
  <c r="H57" i="20"/>
  <c r="BH96" i="20"/>
  <c r="BK96" i="20"/>
  <c r="AA90" i="25" s="1"/>
  <c r="BQ96" i="20"/>
  <c r="AF90" i="25" s="1"/>
  <c r="BH94" i="20"/>
  <c r="BK94" i="20"/>
  <c r="AA88" i="25" s="1"/>
  <c r="BQ94" i="20"/>
  <c r="AF88" i="25" s="1"/>
  <c r="BH58" i="20"/>
  <c r="BQ58" i="20"/>
  <c r="AF53" i="25" s="1"/>
  <c r="BK58" i="20"/>
  <c r="AA53" i="25" s="1"/>
  <c r="BP75" i="20"/>
  <c r="AE70" i="25"/>
  <c r="AE69" i="25" s="1"/>
  <c r="BH59" i="20"/>
  <c r="F59" i="20" s="1"/>
  <c r="G59" i="20" s="1"/>
  <c r="BQ59" i="20"/>
  <c r="AF54" i="25" s="1"/>
  <c r="BK59" i="20"/>
  <c r="AA54" i="25" s="1"/>
  <c r="O69" i="20"/>
  <c r="H66" i="25"/>
  <c r="H82" i="25"/>
  <c r="AF60" i="25"/>
  <c r="BR65" i="20"/>
  <c r="AG60" i="25" s="1"/>
  <c r="H81" i="20"/>
  <c r="BI75" i="20"/>
  <c r="BH76" i="20"/>
  <c r="BQ76" i="20"/>
  <c r="BK76" i="20"/>
  <c r="BH83" i="20"/>
  <c r="BQ83" i="20"/>
  <c r="AF77" i="25" s="1"/>
  <c r="BK83" i="20"/>
  <c r="AA77" i="25" s="1"/>
  <c r="H59" i="20"/>
  <c r="H52" i="25"/>
  <c r="BH73" i="20"/>
  <c r="BQ73" i="20"/>
  <c r="AF67" i="25" s="1"/>
  <c r="BK73" i="20"/>
  <c r="AA67" i="25" s="1"/>
  <c r="BH92" i="20"/>
  <c r="BI91" i="20"/>
  <c r="BQ92" i="20"/>
  <c r="BR92" i="20" s="1"/>
  <c r="BK92" i="20"/>
  <c r="BH63" i="20"/>
  <c r="BK63" i="20"/>
  <c r="AA58" i="25" s="1"/>
  <c r="BQ63" i="20"/>
  <c r="AF58" i="25" s="1"/>
  <c r="BH66" i="20"/>
  <c r="BK66" i="20"/>
  <c r="AA61" i="25" s="1"/>
  <c r="BQ66" i="20"/>
  <c r="AF61" i="25" s="1"/>
  <c r="BJ75" i="20"/>
  <c r="Z70" i="25"/>
  <c r="Z69" i="25" s="1"/>
  <c r="BP4" i="20"/>
  <c r="BP56" i="20"/>
  <c r="AE52" i="25"/>
  <c r="O92" i="20"/>
  <c r="H87" i="20"/>
  <c r="I82" i="20"/>
  <c r="I88" i="20"/>
  <c r="BR61" i="20"/>
  <c r="AG56" i="25" s="1"/>
  <c r="Z86" i="25"/>
  <c r="Z85" i="25" s="1"/>
  <c r="BJ91" i="20"/>
  <c r="BH60" i="20"/>
  <c r="BK60" i="20"/>
  <c r="AA55" i="25" s="1"/>
  <c r="BQ60" i="20"/>
  <c r="AF55" i="25" s="1"/>
  <c r="Z80" i="25"/>
  <c r="Z79" i="25" s="1"/>
  <c r="BJ85" i="20"/>
  <c r="BH79" i="20"/>
  <c r="BQ79" i="20"/>
  <c r="AF73" i="25" s="1"/>
  <c r="BK79" i="20"/>
  <c r="AA73" i="25" s="1"/>
  <c r="BH82" i="20"/>
  <c r="BQ82" i="20"/>
  <c r="AF76" i="25" s="1"/>
  <c r="BR82" i="20"/>
  <c r="AG76" i="25" s="1"/>
  <c r="BK82" i="20"/>
  <c r="AA76" i="25" s="1"/>
  <c r="BH64" i="20"/>
  <c r="F64" i="20" s="1"/>
  <c r="G64" i="20" s="1"/>
  <c r="BQ64" i="20"/>
  <c r="AF59" i="25" s="1"/>
  <c r="BK64" i="20"/>
  <c r="AA59" i="25" s="1"/>
  <c r="BJ4" i="20"/>
  <c r="Z52" i="25"/>
  <c r="BJ56" i="20"/>
  <c r="BR70" i="20"/>
  <c r="AG65" i="25" s="1"/>
  <c r="H80" i="25"/>
  <c r="Z85" i="20"/>
  <c r="O86" i="20"/>
  <c r="AB86" i="20"/>
  <c r="M61" i="25"/>
  <c r="M51" i="25" s="1"/>
  <c r="O57" i="20"/>
  <c r="Y88" i="20"/>
  <c r="R88" i="25"/>
  <c r="J88" i="20"/>
  <c r="O81" i="20"/>
  <c r="S66" i="25"/>
  <c r="Y86" i="20"/>
  <c r="Y65" i="20"/>
  <c r="AI72" i="20"/>
  <c r="O65" i="20"/>
  <c r="Y57" i="20"/>
  <c r="Y94" i="20"/>
  <c r="R87" i="25"/>
  <c r="AC81" i="20"/>
  <c r="H86" i="25"/>
  <c r="R61" i="25"/>
  <c r="M82" i="25"/>
  <c r="H92" i="20"/>
  <c r="S82" i="25"/>
  <c r="O66" i="20"/>
  <c r="M86" i="25"/>
  <c r="Y92" i="20"/>
  <c r="AI57" i="20"/>
  <c r="AH92" i="20"/>
  <c r="AI92" i="20" s="1"/>
  <c r="AJ92" i="20" s="1"/>
  <c r="I94" i="20"/>
  <c r="N75" i="25"/>
  <c r="S87" i="25"/>
  <c r="Y78" i="20"/>
  <c r="O78" i="20"/>
  <c r="O88" i="20"/>
  <c r="I57" i="20"/>
  <c r="M81" i="25"/>
  <c r="I81" i="20"/>
  <c r="M67" i="25"/>
  <c r="AC83" i="20"/>
  <c r="O77" i="25" s="1"/>
  <c r="M73" i="25"/>
  <c r="I72" i="20"/>
  <c r="M76" i="25"/>
  <c r="R66" i="25"/>
  <c r="I60" i="20"/>
  <c r="AA68" i="20"/>
  <c r="O93" i="20"/>
  <c r="AJ81" i="20"/>
  <c r="AK81" i="20" s="1"/>
  <c r="V75" i="25" s="1"/>
  <c r="T75" i="25"/>
  <c r="Y81" i="20"/>
  <c r="AC66" i="20"/>
  <c r="R64" i="25"/>
  <c r="S75" i="25"/>
  <c r="O72" i="20"/>
  <c r="AJ93" i="20"/>
  <c r="AK93" i="20" s="1"/>
  <c r="V87" i="25" s="1"/>
  <c r="AC93" i="20"/>
  <c r="S77" i="25"/>
  <c r="AD59" i="20"/>
  <c r="AE59" i="20" s="1"/>
  <c r="N87" i="25"/>
  <c r="M87" i="25"/>
  <c r="I93" i="20"/>
  <c r="AG4" i="20"/>
  <c r="Y87" i="20"/>
  <c r="T87" i="25"/>
  <c r="I65" i="20"/>
  <c r="Z91" i="20"/>
  <c r="O87" i="20"/>
  <c r="M72" i="25"/>
  <c r="I78" i="20"/>
  <c r="AG85" i="20"/>
  <c r="Y69" i="20"/>
  <c r="AJ64" i="20"/>
  <c r="AG91" i="20"/>
  <c r="H88" i="25"/>
  <c r="AH94" i="20"/>
  <c r="AI94" i="20" s="1"/>
  <c r="AB94" i="20"/>
  <c r="H94" i="20"/>
  <c r="Y80" i="20"/>
  <c r="H74" i="25"/>
  <c r="AB80" i="20"/>
  <c r="AC80" i="20" s="1"/>
  <c r="AH80" i="20"/>
  <c r="H80" i="20"/>
  <c r="I80" i="20"/>
  <c r="M74" i="25"/>
  <c r="AA56" i="20"/>
  <c r="AI89" i="20"/>
  <c r="AJ89" i="20" s="1"/>
  <c r="S72" i="25"/>
  <c r="M80" i="25"/>
  <c r="I69" i="20"/>
  <c r="AI78" i="20"/>
  <c r="AJ78" i="20" s="1"/>
  <c r="AG56" i="20"/>
  <c r="Y56" i="20" s="1"/>
  <c r="Y89" i="20"/>
  <c r="AE78" i="20"/>
  <c r="AD64" i="20"/>
  <c r="AE64" i="20" s="1"/>
  <c r="M70" i="25"/>
  <c r="I76" i="20"/>
  <c r="AA75" i="20"/>
  <c r="O60" i="25"/>
  <c r="AA4" i="20"/>
  <c r="AA85" i="20"/>
  <c r="S60" i="25"/>
  <c r="AI65" i="20"/>
  <c r="R65" i="25"/>
  <c r="O70" i="20"/>
  <c r="M89" i="25"/>
  <c r="I95" i="20"/>
  <c r="O82" i="20"/>
  <c r="R76" i="25"/>
  <c r="M65" i="25"/>
  <c r="I70" i="20"/>
  <c r="AB95" i="20"/>
  <c r="H95" i="20"/>
  <c r="H89" i="25"/>
  <c r="Y95" i="20"/>
  <c r="AH95" i="20"/>
  <c r="AI95" i="20" s="1"/>
  <c r="O79" i="20"/>
  <c r="R73" i="25"/>
  <c r="S64" i="25"/>
  <c r="AJ58" i="20"/>
  <c r="U53" i="25" s="1"/>
  <c r="M71" i="25"/>
  <c r="I77" i="20"/>
  <c r="H82" i="20"/>
  <c r="H76" i="25"/>
  <c r="Y82" i="20"/>
  <c r="AH82" i="20"/>
  <c r="AB82" i="20"/>
  <c r="AC82" i="20" s="1"/>
  <c r="AB60" i="20"/>
  <c r="AB56" i="20" s="1"/>
  <c r="AH60" i="20"/>
  <c r="AI60" i="20" s="1"/>
  <c r="H55" i="25"/>
  <c r="H60" i="20"/>
  <c r="Y60" i="20"/>
  <c r="AB70" i="20"/>
  <c r="AC70" i="20" s="1"/>
  <c r="AD70" i="20" s="1"/>
  <c r="Z68" i="20"/>
  <c r="H70" i="20"/>
  <c r="Y70" i="20"/>
  <c r="H65" i="25"/>
  <c r="AH70" i="20"/>
  <c r="AI70" i="20" s="1"/>
  <c r="R89" i="25"/>
  <c r="O95" i="20"/>
  <c r="AH79" i="20"/>
  <c r="AB79" i="20"/>
  <c r="H79" i="20"/>
  <c r="Y79" i="20"/>
  <c r="H73" i="25"/>
  <c r="H73" i="20"/>
  <c r="H67" i="25"/>
  <c r="AH73" i="20"/>
  <c r="Y73" i="20"/>
  <c r="AB73" i="20"/>
  <c r="AC73" i="20" s="1"/>
  <c r="AD73" i="20" s="1"/>
  <c r="J69" i="20"/>
  <c r="N64" i="25"/>
  <c r="AD65" i="20"/>
  <c r="O83" i="25"/>
  <c r="Y71" i="20"/>
  <c r="AH71" i="20"/>
  <c r="AB71" i="20"/>
  <c r="H71" i="20"/>
  <c r="O60" i="20"/>
  <c r="R55" i="25"/>
  <c r="N83" i="25"/>
  <c r="R67" i="25"/>
  <c r="O73" i="20"/>
  <c r="AA91" i="20"/>
  <c r="N81" i="25"/>
  <c r="AC87" i="20"/>
  <c r="Y77" i="20"/>
  <c r="H71" i="25"/>
  <c r="H77" i="20"/>
  <c r="AB77" i="20"/>
  <c r="AH77" i="20"/>
  <c r="AI77" i="20" s="1"/>
  <c r="Y96" i="20"/>
  <c r="AB96" i="20"/>
  <c r="H90" i="25"/>
  <c r="AH96" i="20"/>
  <c r="AI96" i="20" s="1"/>
  <c r="H96" i="20"/>
  <c r="AD89" i="20"/>
  <c r="AI69" i="20"/>
  <c r="AJ69" i="20" s="1"/>
  <c r="Z4" i="20"/>
  <c r="S81" i="25"/>
  <c r="P87" i="20"/>
  <c r="AI87" i="20"/>
  <c r="O77" i="20"/>
  <c r="R71" i="25"/>
  <c r="O76" i="20"/>
  <c r="R70" i="25"/>
  <c r="AG75" i="20"/>
  <c r="AC69" i="20"/>
  <c r="R90" i="25"/>
  <c r="O96" i="20"/>
  <c r="M83" i="25"/>
  <c r="I89" i="20"/>
  <c r="J65" i="20"/>
  <c r="N60" i="25"/>
  <c r="AH76" i="20"/>
  <c r="AB76" i="20"/>
  <c r="H76" i="20"/>
  <c r="H70" i="25"/>
  <c r="Y76" i="20"/>
  <c r="Z75" i="20"/>
  <c r="S83" i="25"/>
  <c r="R83" i="25"/>
  <c r="R79" i="25" s="1"/>
  <c r="O89" i="20"/>
  <c r="AG68" i="20"/>
  <c r="O53" i="25"/>
  <c r="U80" i="25"/>
  <c r="O58" i="25"/>
  <c r="Q52" i="25"/>
  <c r="U82" i="25"/>
  <c r="AK88" i="20"/>
  <c r="N57" i="25"/>
  <c r="S54" i="25"/>
  <c r="N56" i="25"/>
  <c r="J61" i="20"/>
  <c r="AD61" i="20"/>
  <c r="T59" i="25"/>
  <c r="S56" i="25"/>
  <c r="P61" i="20"/>
  <c r="T66" i="25"/>
  <c r="F58" i="20"/>
  <c r="G58" i="20" s="1"/>
  <c r="S57" i="25"/>
  <c r="P62" i="20"/>
  <c r="O82" i="25"/>
  <c r="O75" i="25"/>
  <c r="O86" i="25"/>
  <c r="O66" i="25"/>
  <c r="O54" i="25"/>
  <c r="U61" i="25"/>
  <c r="O59" i="25"/>
  <c r="N86" i="25"/>
  <c r="AC86" i="20"/>
  <c r="N54" i="25"/>
  <c r="T80" i="25"/>
  <c r="P52" i="25"/>
  <c r="AD88" i="20"/>
  <c r="T82" i="25"/>
  <c r="N59" i="25"/>
  <c r="AD58" i="20"/>
  <c r="T61" i="25"/>
  <c r="AK66" i="20"/>
  <c r="S58" i="25"/>
  <c r="AI63" i="20"/>
  <c r="O56" i="25"/>
  <c r="AI62" i="20"/>
  <c r="AJ62" i="20" s="1"/>
  <c r="AK62" i="20" s="1"/>
  <c r="T53" i="25"/>
  <c r="AB85" i="20"/>
  <c r="N80" i="25"/>
  <c r="AK86" i="20"/>
  <c r="T77" i="25"/>
  <c r="AI59" i="20"/>
  <c r="N58" i="25"/>
  <c r="AI61" i="20"/>
  <c r="S59" i="25"/>
  <c r="AD92" i="20"/>
  <c r="AC62" i="20"/>
  <c r="N53" i="25"/>
  <c r="S53" i="25"/>
  <c r="S80" i="25"/>
  <c r="AH85" i="20"/>
  <c r="AJ83" i="20"/>
  <c r="AD63" i="20"/>
  <c r="AE63" i="20" s="1"/>
  <c r="AD72" i="20"/>
  <c r="AE72" i="20" s="1"/>
  <c r="F57" i="20" l="1"/>
  <c r="G57" i="20" s="1"/>
  <c r="I68" i="20"/>
  <c r="G80" i="25"/>
  <c r="BR94" i="20"/>
  <c r="AG88" i="25" s="1"/>
  <c r="BL80" i="20"/>
  <c r="AB74" i="25" s="1"/>
  <c r="J63" i="20"/>
  <c r="H56" i="20"/>
  <c r="BH68" i="20"/>
  <c r="G53" i="25"/>
  <c r="I53" i="25" s="1"/>
  <c r="EL71" i="20"/>
  <c r="EM71" i="20"/>
  <c r="BC86" i="25"/>
  <c r="BB70" i="25"/>
  <c r="BG64" i="25"/>
  <c r="EL59" i="20"/>
  <c r="BH54" i="25" s="1"/>
  <c r="EG63" i="20"/>
  <c r="BD58" i="25" s="1"/>
  <c r="EK88" i="20"/>
  <c r="BG82" i="25" s="1"/>
  <c r="BF53" i="25"/>
  <c r="EJ56" i="20"/>
  <c r="EJ4" i="20"/>
  <c r="EK79" i="20"/>
  <c r="BG73" i="25" s="1"/>
  <c r="EF87" i="20"/>
  <c r="EM73" i="20"/>
  <c r="BI67" i="25" s="1"/>
  <c r="EF93" i="20"/>
  <c r="BC87" i="25" s="1"/>
  <c r="EF76" i="20"/>
  <c r="EE91" i="20"/>
  <c r="BB86" i="25"/>
  <c r="G61" i="25"/>
  <c r="I61" i="25" s="1"/>
  <c r="EL80" i="20"/>
  <c r="BF64" i="25"/>
  <c r="BF63" i="25" s="1"/>
  <c r="EJ68" i="20"/>
  <c r="EK93" i="20"/>
  <c r="BG87" i="25" s="1"/>
  <c r="EL66" i="20"/>
  <c r="BH61" i="25" s="1"/>
  <c r="EE96" i="20"/>
  <c r="EG78" i="20"/>
  <c r="BD72" i="25" s="1"/>
  <c r="EF64" i="20"/>
  <c r="BC59" i="25" s="1"/>
  <c r="EF60" i="20"/>
  <c r="BC55" i="25" s="1"/>
  <c r="EB54" i="20"/>
  <c r="EB5" i="20" s="1"/>
  <c r="EA56" i="20"/>
  <c r="EG92" i="20"/>
  <c r="EE82" i="20"/>
  <c r="BB76" i="25" s="1"/>
  <c r="BF81" i="25"/>
  <c r="BF79" i="25" s="1"/>
  <c r="EJ85" i="20"/>
  <c r="EF72" i="20"/>
  <c r="BC66" i="25" s="1"/>
  <c r="EL73" i="20"/>
  <c r="BH67" i="25" s="1"/>
  <c r="BA70" i="25"/>
  <c r="BA69" i="25" s="1"/>
  <c r="ED75" i="20"/>
  <c r="BD52" i="25"/>
  <c r="EI54" i="20"/>
  <c r="EI5" i="20" s="1"/>
  <c r="EM89" i="20"/>
  <c r="BI83" i="25" s="1"/>
  <c r="ED68" i="20"/>
  <c r="BA64" i="25"/>
  <c r="BA63" i="25" s="1"/>
  <c r="EK76" i="20"/>
  <c r="EF59" i="20"/>
  <c r="BC54" i="25" s="1"/>
  <c r="EE70" i="20"/>
  <c r="BB65" i="25" s="1"/>
  <c r="BC52" i="25"/>
  <c r="EM94" i="20"/>
  <c r="BI88" i="25" s="1"/>
  <c r="BA53" i="25"/>
  <c r="ED56" i="20"/>
  <c r="ED54" i="20" s="1"/>
  <c r="ED5" i="20" s="1"/>
  <c r="ED4" i="20"/>
  <c r="BB79" i="25"/>
  <c r="BG86" i="25"/>
  <c r="EK87" i="20"/>
  <c r="EF89" i="20"/>
  <c r="BC83" i="25" s="1"/>
  <c r="BH80" i="25"/>
  <c r="EM69" i="20"/>
  <c r="EG93" i="20"/>
  <c r="BD87" i="25" s="1"/>
  <c r="EE66" i="20"/>
  <c r="EK96" i="20"/>
  <c r="EL96" i="20" s="1"/>
  <c r="BH90" i="25" s="1"/>
  <c r="EK78" i="20"/>
  <c r="EK62" i="20"/>
  <c r="EM59" i="20"/>
  <c r="BI54" i="25" s="1"/>
  <c r="EL88" i="20"/>
  <c r="BH82" i="25" s="1"/>
  <c r="EL64" i="20"/>
  <c r="BH59" i="25" s="1"/>
  <c r="BI80" i="25"/>
  <c r="EE61" i="20"/>
  <c r="EE94" i="20"/>
  <c r="EE85" i="20"/>
  <c r="EL79" i="20"/>
  <c r="BH73" i="25" s="1"/>
  <c r="EJ91" i="20"/>
  <c r="BF86" i="25"/>
  <c r="BF85" i="25" s="1"/>
  <c r="EL82" i="20"/>
  <c r="BH76" i="25" s="1"/>
  <c r="EE83" i="20"/>
  <c r="EE73" i="20"/>
  <c r="BB67" i="25" s="1"/>
  <c r="BH64" i="25"/>
  <c r="EE81" i="20"/>
  <c r="EM93" i="20"/>
  <c r="BI87" i="25" s="1"/>
  <c r="EG76" i="20"/>
  <c r="EC54" i="20"/>
  <c r="EC5" i="20" s="1"/>
  <c r="EL62" i="20"/>
  <c r="BH57" i="25" s="1"/>
  <c r="EE59" i="20"/>
  <c r="BB54" i="25" s="1"/>
  <c r="EF70" i="20"/>
  <c r="BC65" i="25" s="1"/>
  <c r="EG88" i="20"/>
  <c r="BD82" i="25" s="1"/>
  <c r="EG64" i="20"/>
  <c r="BD59" i="25" s="1"/>
  <c r="EM60" i="20"/>
  <c r="BI55" i="25" s="1"/>
  <c r="BI52" i="25"/>
  <c r="EK77" i="20"/>
  <c r="EE58" i="20"/>
  <c r="EE79" i="20"/>
  <c r="EF79" i="20" s="1"/>
  <c r="BC73" i="25" s="1"/>
  <c r="BA86" i="25"/>
  <c r="BA85" i="25" s="1"/>
  <c r="ED91" i="20"/>
  <c r="EK82" i="20"/>
  <c r="BG76" i="25" s="1"/>
  <c r="BA81" i="25"/>
  <c r="BA79" i="25" s="1"/>
  <c r="ED85" i="20"/>
  <c r="EK72" i="20"/>
  <c r="EL81" i="20"/>
  <c r="EG80" i="20"/>
  <c r="BD74" i="25" s="1"/>
  <c r="EE69" i="20"/>
  <c r="EL93" i="20"/>
  <c r="BH87" i="25" s="1"/>
  <c r="BF70" i="25"/>
  <c r="BF69" i="25" s="1"/>
  <c r="EJ75" i="20"/>
  <c r="EA75" i="20"/>
  <c r="EM66" i="20"/>
  <c r="BI61" i="25" s="1"/>
  <c r="EE62" i="20"/>
  <c r="BB57" i="25" s="1"/>
  <c r="EK63" i="20"/>
  <c r="EM70" i="20"/>
  <c r="BI65" i="25" s="1"/>
  <c r="EF88" i="20"/>
  <c r="BC82" i="25" s="1"/>
  <c r="EL94" i="20"/>
  <c r="BH88" i="25" s="1"/>
  <c r="EE77" i="20"/>
  <c r="BB71" i="25" s="1"/>
  <c r="EK58" i="20"/>
  <c r="EL92" i="20"/>
  <c r="EA91" i="20"/>
  <c r="EF82" i="20"/>
  <c r="BC76" i="25" s="1"/>
  <c r="EG87" i="20"/>
  <c r="EK83" i="20"/>
  <c r="EG89" i="20"/>
  <c r="BD83" i="25" s="1"/>
  <c r="EE72" i="20"/>
  <c r="BB66" i="25" s="1"/>
  <c r="DA79" i="20"/>
  <c r="AT73" i="25" s="1"/>
  <c r="DA64" i="20"/>
  <c r="AT59" i="25" s="1"/>
  <c r="CU79" i="20"/>
  <c r="AO73" i="25" s="1"/>
  <c r="DA62" i="20"/>
  <c r="AT57" i="25" s="1"/>
  <c r="CU76" i="20"/>
  <c r="CV76" i="20" s="1"/>
  <c r="CU65" i="20"/>
  <c r="AO60" i="25" s="1"/>
  <c r="DA80" i="20"/>
  <c r="AT74" i="25" s="1"/>
  <c r="DB79" i="20"/>
  <c r="AU73" i="25" s="1"/>
  <c r="J59" i="20"/>
  <c r="G56" i="25"/>
  <c r="I56" i="25" s="1"/>
  <c r="O68" i="20"/>
  <c r="G83" i="25"/>
  <c r="I83" i="25" s="1"/>
  <c r="DA78" i="20"/>
  <c r="AT72" i="25" s="1"/>
  <c r="CV82" i="20"/>
  <c r="AP76" i="25" s="1"/>
  <c r="DA58" i="20"/>
  <c r="AT53" i="25" s="1"/>
  <c r="DB63" i="20"/>
  <c r="AU58" i="25" s="1"/>
  <c r="P65" i="20"/>
  <c r="P93" i="20"/>
  <c r="CW92" i="20"/>
  <c r="DA65" i="20"/>
  <c r="AT60" i="25" s="1"/>
  <c r="CU80" i="20"/>
  <c r="AO74" i="25" s="1"/>
  <c r="DA94" i="20"/>
  <c r="AT88" i="25" s="1"/>
  <c r="DC70" i="20"/>
  <c r="AV65" i="25" s="1"/>
  <c r="H51" i="25"/>
  <c r="F92" i="20"/>
  <c r="G92" i="20" s="1"/>
  <c r="J92" i="20"/>
  <c r="CU70" i="20"/>
  <c r="AO65" i="25" s="1"/>
  <c r="CU78" i="20"/>
  <c r="AO72" i="25" s="1"/>
  <c r="CV60" i="20"/>
  <c r="AP55" i="25" s="1"/>
  <c r="DA82" i="20"/>
  <c r="AT76" i="25" s="1"/>
  <c r="DA95" i="20"/>
  <c r="AT89" i="25" s="1"/>
  <c r="DB83" i="20"/>
  <c r="AU77" i="25" s="1"/>
  <c r="CU81" i="20"/>
  <c r="AO75" i="25" s="1"/>
  <c r="DB71" i="20"/>
  <c r="AQ86" i="25"/>
  <c r="AT52" i="25"/>
  <c r="DB57" i="20"/>
  <c r="DC57" i="20" s="1"/>
  <c r="CV70" i="20"/>
  <c r="AP65" i="25" s="1"/>
  <c r="AO64" i="25"/>
  <c r="CU87" i="20"/>
  <c r="AO81" i="25" s="1"/>
  <c r="I75" i="20"/>
  <c r="G58" i="25"/>
  <c r="I58" i="25" s="1"/>
  <c r="G57" i="25"/>
  <c r="I57" i="25" s="1"/>
  <c r="DA96" i="20"/>
  <c r="AT90" i="25" s="1"/>
  <c r="DB78" i="20"/>
  <c r="AU72" i="25" s="1"/>
  <c r="AN64" i="25"/>
  <c r="AN63" i="25" s="1"/>
  <c r="CT68" i="20"/>
  <c r="CU66" i="20"/>
  <c r="AO61" i="25" s="1"/>
  <c r="DA61" i="20"/>
  <c r="Q61" i="20" s="1"/>
  <c r="DA76" i="20"/>
  <c r="DB76" i="20" s="1"/>
  <c r="CU59" i="20"/>
  <c r="DA73" i="20"/>
  <c r="DA86" i="20"/>
  <c r="DB86" i="20" s="1"/>
  <c r="CQ85" i="20"/>
  <c r="CU64" i="20"/>
  <c r="AO59" i="25" s="1"/>
  <c r="DC83" i="20"/>
  <c r="AV77" i="25" s="1"/>
  <c r="CV93" i="20"/>
  <c r="AP87" i="25" s="1"/>
  <c r="J66" i="20"/>
  <c r="G72" i="25"/>
  <c r="I72" i="25" s="1"/>
  <c r="J81" i="20"/>
  <c r="CT91" i="20"/>
  <c r="AN86" i="25"/>
  <c r="AN85" i="25" s="1"/>
  <c r="CU57" i="20"/>
  <c r="DB96" i="20"/>
  <c r="AU90" i="25" s="1"/>
  <c r="CU62" i="20"/>
  <c r="CW69" i="20"/>
  <c r="CU88" i="20"/>
  <c r="AO82" i="25" s="1"/>
  <c r="CV87" i="20"/>
  <c r="AP81" i="25" s="1"/>
  <c r="CU61" i="20"/>
  <c r="CV61" i="20" s="1"/>
  <c r="AP56" i="25" s="1"/>
  <c r="CQ75" i="20"/>
  <c r="DC80" i="20"/>
  <c r="AV74" i="25" s="1"/>
  <c r="DC79" i="20"/>
  <c r="AV73" i="25" s="1"/>
  <c r="CV94" i="20"/>
  <c r="AP88" i="25" s="1"/>
  <c r="CU58" i="20"/>
  <c r="AO53" i="25" s="1"/>
  <c r="CU73" i="20"/>
  <c r="CV72" i="20"/>
  <c r="AP66" i="25" s="1"/>
  <c r="CU63" i="20"/>
  <c r="DA77" i="20"/>
  <c r="AT71" i="25" s="1"/>
  <c r="CV83" i="20"/>
  <c r="AP77" i="25" s="1"/>
  <c r="DA81" i="20"/>
  <c r="AT75" i="25" s="1"/>
  <c r="DC71" i="20"/>
  <c r="AS86" i="25"/>
  <c r="AS85" i="25" s="1"/>
  <c r="CZ91" i="20"/>
  <c r="G82" i="25"/>
  <c r="I82" i="25" s="1"/>
  <c r="AP86" i="25"/>
  <c r="CQ4" i="20"/>
  <c r="DB88" i="20"/>
  <c r="AU82" i="25" s="1"/>
  <c r="CU89" i="20"/>
  <c r="AO83" i="25" s="1"/>
  <c r="CV58" i="20"/>
  <c r="AP53" i="25" s="1"/>
  <c r="DA72" i="20"/>
  <c r="AT66" i="25" s="1"/>
  <c r="CS54" i="20"/>
  <c r="CS5" i="20" s="1"/>
  <c r="CV64" i="20"/>
  <c r="AP59" i="25" s="1"/>
  <c r="CW83" i="20"/>
  <c r="AQ77" i="25" s="1"/>
  <c r="AR51" i="25"/>
  <c r="AR4" i="25"/>
  <c r="DA93" i="20"/>
  <c r="AT87" i="25" s="1"/>
  <c r="CV81" i="20"/>
  <c r="AP75" i="25" s="1"/>
  <c r="CW71" i="20"/>
  <c r="AS70" i="25"/>
  <c r="AS69" i="25" s="1"/>
  <c r="CZ75" i="20"/>
  <c r="CU93" i="20"/>
  <c r="AO87" i="25" s="1"/>
  <c r="P64" i="20"/>
  <c r="H4" i="20"/>
  <c r="P88" i="20"/>
  <c r="P69" i="20"/>
  <c r="AO86" i="25"/>
  <c r="CQ56" i="20"/>
  <c r="CR54" i="20"/>
  <c r="CR5" i="20" s="1"/>
  <c r="CU96" i="20"/>
  <c r="CV96" i="20" s="1"/>
  <c r="AP90" i="25" s="1"/>
  <c r="AP64" i="25"/>
  <c r="DA87" i="20"/>
  <c r="AN70" i="25"/>
  <c r="AN69" i="25" s="1"/>
  <c r="CT75" i="20"/>
  <c r="DA60" i="20"/>
  <c r="DB60" i="20" s="1"/>
  <c r="AU55" i="25" s="1"/>
  <c r="CV65" i="20"/>
  <c r="AP60" i="25" s="1"/>
  <c r="DB80" i="20"/>
  <c r="AU74" i="25" s="1"/>
  <c r="DA89" i="20"/>
  <c r="AT83" i="25" s="1"/>
  <c r="DA59" i="20"/>
  <c r="DB64" i="20"/>
  <c r="AU59" i="25" s="1"/>
  <c r="CY54" i="20"/>
  <c r="CY5" i="20" s="1"/>
  <c r="CW93" i="20"/>
  <c r="AQ87" i="25" s="1"/>
  <c r="AS52" i="25"/>
  <c r="CZ56" i="20"/>
  <c r="CZ4" i="20"/>
  <c r="CW70" i="20"/>
  <c r="AQ65" i="25" s="1"/>
  <c r="AS64" i="25"/>
  <c r="AS63" i="25" s="1"/>
  <c r="CZ68" i="20"/>
  <c r="CV80" i="20"/>
  <c r="AP74" i="25" s="1"/>
  <c r="AM51" i="25"/>
  <c r="AM4" i="25"/>
  <c r="K65" i="20"/>
  <c r="F65" i="20"/>
  <c r="G65" i="20" s="1"/>
  <c r="DA92" i="20"/>
  <c r="DB92" i="20" s="1"/>
  <c r="CT4" i="20"/>
  <c r="AN52" i="25"/>
  <c r="CT56" i="20"/>
  <c r="DA69" i="20"/>
  <c r="AN80" i="25"/>
  <c r="AN79" i="25" s="1"/>
  <c r="CT85" i="20"/>
  <c r="CU77" i="20"/>
  <c r="AO71" i="25" s="1"/>
  <c r="AS80" i="25"/>
  <c r="AS79" i="25" s="1"/>
  <c r="CZ85" i="20"/>
  <c r="DA66" i="20"/>
  <c r="AT61" i="25" s="1"/>
  <c r="AP70" i="25"/>
  <c r="CQ68" i="20"/>
  <c r="CU95" i="20"/>
  <c r="AO89" i="25" s="1"/>
  <c r="CU86" i="20"/>
  <c r="DB81" i="20"/>
  <c r="AU75" i="25" s="1"/>
  <c r="P89" i="20"/>
  <c r="BR60" i="20"/>
  <c r="AG55" i="25" s="1"/>
  <c r="BR93" i="20"/>
  <c r="AG87" i="25" s="1"/>
  <c r="BL94" i="20"/>
  <c r="AB88" i="25" s="1"/>
  <c r="J86" i="20"/>
  <c r="I56" i="20"/>
  <c r="P83" i="20"/>
  <c r="P57" i="20"/>
  <c r="BR69" i="20"/>
  <c r="F66" i="20"/>
  <c r="G66" i="20" s="1"/>
  <c r="J58" i="20"/>
  <c r="P81" i="20"/>
  <c r="BL81" i="20"/>
  <c r="AB75" i="25" s="1"/>
  <c r="F93" i="20"/>
  <c r="G93" i="20" s="1"/>
  <c r="BL73" i="20"/>
  <c r="AB67" i="25" s="1"/>
  <c r="H79" i="25"/>
  <c r="P59" i="20"/>
  <c r="BR95" i="20"/>
  <c r="AG89" i="25" s="1"/>
  <c r="P63" i="20"/>
  <c r="F62" i="20"/>
  <c r="G62" i="20" s="1"/>
  <c r="J62" i="20"/>
  <c r="G81" i="25"/>
  <c r="I81" i="25" s="1"/>
  <c r="G59" i="25"/>
  <c r="I59" i="25" s="1"/>
  <c r="BL79" i="20"/>
  <c r="AB73" i="25" s="1"/>
  <c r="BR63" i="20"/>
  <c r="AG58" i="25" s="1"/>
  <c r="BL62" i="20"/>
  <c r="AB57" i="25" s="1"/>
  <c r="BL57" i="20"/>
  <c r="BM57" i="20" s="1"/>
  <c r="BL88" i="20"/>
  <c r="BM88" i="20" s="1"/>
  <c r="BR64" i="20"/>
  <c r="BS64" i="20" s="1"/>
  <c r="BL66" i="20"/>
  <c r="BL76" i="20"/>
  <c r="BR62" i="20"/>
  <c r="AG57" i="25" s="1"/>
  <c r="BR77" i="20"/>
  <c r="AG71" i="25" s="1"/>
  <c r="BM69" i="20"/>
  <c r="J87" i="20"/>
  <c r="O91" i="20"/>
  <c r="G52" i="25"/>
  <c r="I52" i="25" s="1"/>
  <c r="BP54" i="20"/>
  <c r="BP5" i="20" s="1"/>
  <c r="BH91" i="20"/>
  <c r="BL59" i="20"/>
  <c r="AB54" i="25" s="1"/>
  <c r="BR58" i="20"/>
  <c r="AG53" i="25" s="1"/>
  <c r="BR88" i="20"/>
  <c r="AG82" i="25" s="1"/>
  <c r="I4" i="20"/>
  <c r="P71" i="20"/>
  <c r="BR83" i="20"/>
  <c r="AG77" i="25" s="1"/>
  <c r="BS82" i="20"/>
  <c r="AH76" i="25" s="1"/>
  <c r="J64" i="20"/>
  <c r="P78" i="20"/>
  <c r="BL82" i="20"/>
  <c r="AB76" i="25" s="1"/>
  <c r="BR79" i="20"/>
  <c r="BR59" i="20"/>
  <c r="AG54" i="25" s="1"/>
  <c r="BR89" i="20"/>
  <c r="AG83" i="25" s="1"/>
  <c r="BL95" i="20"/>
  <c r="BL64" i="20"/>
  <c r="AB59" i="25" s="1"/>
  <c r="I85" i="20"/>
  <c r="J93" i="20"/>
  <c r="BM86" i="20"/>
  <c r="AC80" i="25" s="1"/>
  <c r="AC64" i="25"/>
  <c r="Z51" i="25"/>
  <c r="Z4" i="25"/>
  <c r="AB64" i="25"/>
  <c r="AG80" i="25"/>
  <c r="Q86" i="20"/>
  <c r="O75" i="20"/>
  <c r="I91" i="20"/>
  <c r="AE4" i="25"/>
  <c r="AE51" i="25"/>
  <c r="AF86" i="25"/>
  <c r="AF85" i="25" s="1"/>
  <c r="BQ91" i="20"/>
  <c r="BS65" i="20"/>
  <c r="AH60" i="25" s="1"/>
  <c r="BM59" i="20"/>
  <c r="BL58" i="20"/>
  <c r="BM58" i="20" s="1"/>
  <c r="BR96" i="20"/>
  <c r="AG90" i="25" s="1"/>
  <c r="BN71" i="20"/>
  <c r="BM70" i="20"/>
  <c r="BL93" i="20"/>
  <c r="BK56" i="20"/>
  <c r="BK4" i="20"/>
  <c r="AA52" i="25"/>
  <c r="J57" i="20"/>
  <c r="BL77" i="20"/>
  <c r="AB71" i="25" s="1"/>
  <c r="BR72" i="20"/>
  <c r="BR80" i="20"/>
  <c r="AG74" i="25" s="1"/>
  <c r="AF70" i="25"/>
  <c r="AF69" i="25" s="1"/>
  <c r="BQ75" i="20"/>
  <c r="AB56" i="25"/>
  <c r="BM61" i="20"/>
  <c r="AC56" i="25" s="1"/>
  <c r="AA66" i="25"/>
  <c r="J72" i="20"/>
  <c r="AF80" i="25"/>
  <c r="AF79" i="25" s="1"/>
  <c r="BQ85" i="20"/>
  <c r="BL60" i="20"/>
  <c r="AB55" i="25" s="1"/>
  <c r="BL63" i="20"/>
  <c r="BM63" i="20" s="1"/>
  <c r="AC58" i="25" s="1"/>
  <c r="BK91" i="20"/>
  <c r="AA86" i="25"/>
  <c r="AA85" i="25" s="1"/>
  <c r="BS70" i="20"/>
  <c r="AH65" i="25" s="1"/>
  <c r="BS94" i="20"/>
  <c r="AH88" i="25" s="1"/>
  <c r="BL96" i="20"/>
  <c r="AG52" i="25"/>
  <c r="AF64" i="25"/>
  <c r="AF63" i="25" s="1"/>
  <c r="BQ68" i="20"/>
  <c r="BH85" i="20"/>
  <c r="AA72" i="25"/>
  <c r="J78" i="20"/>
  <c r="AG64" i="25"/>
  <c r="G54" i="25"/>
  <c r="I54" i="25" s="1"/>
  <c r="F63" i="20"/>
  <c r="G63" i="20" s="1"/>
  <c r="F71" i="20"/>
  <c r="G71" i="20" s="1"/>
  <c r="J83" i="20"/>
  <c r="G88" i="25"/>
  <c r="I88" i="25" s="1"/>
  <c r="BT70" i="20"/>
  <c r="AI65" i="25" s="1"/>
  <c r="BS63" i="20"/>
  <c r="AH58" i="25" s="1"/>
  <c r="BL92" i="20"/>
  <c r="BM92" i="20" s="1"/>
  <c r="L92" i="20" s="1"/>
  <c r="AA70" i="25"/>
  <c r="BK75" i="20"/>
  <c r="BH75" i="20"/>
  <c r="P66" i="20"/>
  <c r="AB52" i="25"/>
  <c r="BI54" i="20"/>
  <c r="BI5" i="20" s="1"/>
  <c r="BH56" i="20"/>
  <c r="BL78" i="20"/>
  <c r="BM78" i="20" s="1"/>
  <c r="BM80" i="20"/>
  <c r="AC74" i="25" s="1"/>
  <c r="F69" i="20"/>
  <c r="G69" i="20" s="1"/>
  <c r="BM73" i="20"/>
  <c r="AC67" i="25" s="1"/>
  <c r="BL83" i="20"/>
  <c r="AB77" i="25" s="1"/>
  <c r="AB70" i="25"/>
  <c r="BL72" i="20"/>
  <c r="BM72" i="20" s="1"/>
  <c r="AC66" i="25" s="1"/>
  <c r="BK68" i="20"/>
  <c r="AA64" i="25"/>
  <c r="AB80" i="25"/>
  <c r="BL87" i="20"/>
  <c r="AB81" i="25" s="1"/>
  <c r="AG86" i="25"/>
  <c r="BR76" i="20"/>
  <c r="BS76" i="20" s="1"/>
  <c r="BT76" i="20" s="1"/>
  <c r="J89" i="20"/>
  <c r="O85" i="20"/>
  <c r="BR66" i="20"/>
  <c r="BS66" i="20" s="1"/>
  <c r="G66" i="25"/>
  <c r="I66" i="25" s="1"/>
  <c r="BR71" i="20"/>
  <c r="BS71" i="20" s="1"/>
  <c r="BL89" i="20"/>
  <c r="BQ56" i="20"/>
  <c r="AF52" i="25"/>
  <c r="BQ4" i="20"/>
  <c r="BH4" i="20"/>
  <c r="BS69" i="20"/>
  <c r="BT69" i="20" s="1"/>
  <c r="AA80" i="25"/>
  <c r="AA79" i="25" s="1"/>
  <c r="BK85" i="20"/>
  <c r="BR78" i="20"/>
  <c r="Q93" i="20"/>
  <c r="BR87" i="20"/>
  <c r="G77" i="25"/>
  <c r="I77" i="25" s="1"/>
  <c r="F83" i="20"/>
  <c r="G83" i="20" s="1"/>
  <c r="P86" i="20"/>
  <c r="P58" i="20"/>
  <c r="K61" i="20"/>
  <c r="O4" i="20"/>
  <c r="BJ54" i="20"/>
  <c r="BJ5" i="20" s="1"/>
  <c r="BS92" i="20"/>
  <c r="BR73" i="20"/>
  <c r="BS59" i="20"/>
  <c r="AH54" i="25" s="1"/>
  <c r="BM94" i="20"/>
  <c r="AC88" i="25" s="1"/>
  <c r="BS57" i="20"/>
  <c r="BN69" i="20"/>
  <c r="BS86" i="20"/>
  <c r="BT86" i="20" s="1"/>
  <c r="BR81" i="20"/>
  <c r="BS81" i="20" s="1"/>
  <c r="BS61" i="20"/>
  <c r="AH56" i="25" s="1"/>
  <c r="P72" i="20"/>
  <c r="F88" i="20"/>
  <c r="G88" i="20" s="1"/>
  <c r="F86" i="20"/>
  <c r="G86" i="20" s="1"/>
  <c r="G86" i="25"/>
  <c r="I86" i="25" s="1"/>
  <c r="G60" i="25"/>
  <c r="I60" i="25" s="1"/>
  <c r="AJ72" i="20"/>
  <c r="AK72" i="20" s="1"/>
  <c r="V66" i="25" s="1"/>
  <c r="AD81" i="20"/>
  <c r="AE81" i="20" s="1"/>
  <c r="P54" i="25"/>
  <c r="M63" i="25"/>
  <c r="Y85" i="20"/>
  <c r="F94" i="20"/>
  <c r="G94" i="20" s="1"/>
  <c r="R51" i="25"/>
  <c r="T86" i="25"/>
  <c r="O56" i="20"/>
  <c r="S86" i="25"/>
  <c r="U86" i="25"/>
  <c r="AJ57" i="20"/>
  <c r="T52" i="25"/>
  <c r="P92" i="20"/>
  <c r="Q92" i="20"/>
  <c r="Q57" i="20"/>
  <c r="AK92" i="20"/>
  <c r="V86" i="25" s="1"/>
  <c r="F78" i="20"/>
  <c r="G78" i="20" s="1"/>
  <c r="P59" i="25"/>
  <c r="AD83" i="20"/>
  <c r="AE83" i="20" s="1"/>
  <c r="F87" i="20"/>
  <c r="G87" i="20" s="1"/>
  <c r="U75" i="25"/>
  <c r="M79" i="25"/>
  <c r="AB91" i="20"/>
  <c r="AK58" i="20"/>
  <c r="V53" i="25" s="1"/>
  <c r="O74" i="25"/>
  <c r="F89" i="20"/>
  <c r="G89" i="20" s="1"/>
  <c r="T83" i="25"/>
  <c r="Y91" i="20"/>
  <c r="AI85" i="20"/>
  <c r="AD66" i="20"/>
  <c r="O61" i="25"/>
  <c r="AB4" i="20"/>
  <c r="F81" i="20"/>
  <c r="G81" i="20" s="1"/>
  <c r="G75" i="25"/>
  <c r="I75" i="25" s="1"/>
  <c r="U83" i="25"/>
  <c r="AK89" i="20"/>
  <c r="V83" i="25" s="1"/>
  <c r="AD80" i="20"/>
  <c r="P74" i="25" s="1"/>
  <c r="H91" i="20"/>
  <c r="M85" i="25"/>
  <c r="G64" i="25"/>
  <c r="I64" i="25" s="1"/>
  <c r="AD93" i="20"/>
  <c r="O87" i="25"/>
  <c r="U87" i="25"/>
  <c r="F80" i="20"/>
  <c r="G80" i="20" s="1"/>
  <c r="G74" i="25"/>
  <c r="I74" i="25" s="1"/>
  <c r="S79" i="25"/>
  <c r="AG54" i="20"/>
  <c r="AG5" i="20" s="1"/>
  <c r="AK64" i="20"/>
  <c r="AC94" i="20"/>
  <c r="AD94" i="20" s="1"/>
  <c r="N88" i="25"/>
  <c r="J94" i="20"/>
  <c r="R85" i="25"/>
  <c r="S88" i="25"/>
  <c r="P94" i="20"/>
  <c r="AJ94" i="20"/>
  <c r="T88" i="25"/>
  <c r="U59" i="25"/>
  <c r="AI80" i="20"/>
  <c r="AJ80" i="20" s="1"/>
  <c r="S74" i="25"/>
  <c r="P80" i="20"/>
  <c r="R69" i="25"/>
  <c r="J80" i="20"/>
  <c r="N74" i="25"/>
  <c r="Q59" i="25"/>
  <c r="T72" i="25"/>
  <c r="R63" i="25"/>
  <c r="AK78" i="20"/>
  <c r="Q72" i="25"/>
  <c r="U72" i="25"/>
  <c r="AA54" i="20"/>
  <c r="AA5" i="20" s="1"/>
  <c r="H69" i="25"/>
  <c r="H85" i="25"/>
  <c r="T55" i="25"/>
  <c r="T90" i="25"/>
  <c r="AJ77" i="20"/>
  <c r="AK77" i="20" s="1"/>
  <c r="T71" i="25"/>
  <c r="P60" i="25"/>
  <c r="L65" i="20"/>
  <c r="AE73" i="20"/>
  <c r="P67" i="25"/>
  <c r="F79" i="20"/>
  <c r="G79" i="20" s="1"/>
  <c r="G73" i="25"/>
  <c r="I73" i="25" s="1"/>
  <c r="F70" i="20"/>
  <c r="G70" i="20" s="1"/>
  <c r="G65" i="25"/>
  <c r="I65" i="25" s="1"/>
  <c r="G55" i="25"/>
  <c r="I55" i="25" s="1"/>
  <c r="F60" i="20"/>
  <c r="G60" i="20" s="1"/>
  <c r="P82" i="20"/>
  <c r="S76" i="25"/>
  <c r="T89" i="25"/>
  <c r="AB75" i="20"/>
  <c r="J77" i="20"/>
  <c r="N71" i="25"/>
  <c r="AC77" i="20"/>
  <c r="AD77" i="20" s="1"/>
  <c r="P71" i="25" s="1"/>
  <c r="N73" i="25"/>
  <c r="J79" i="20"/>
  <c r="AC79" i="20"/>
  <c r="Y68" i="20"/>
  <c r="H68" i="20"/>
  <c r="Y75" i="20"/>
  <c r="H75" i="20"/>
  <c r="T81" i="25"/>
  <c r="T64" i="25"/>
  <c r="AK69" i="20"/>
  <c r="G67" i="25"/>
  <c r="I67" i="25" s="1"/>
  <c r="F73" i="20"/>
  <c r="G73" i="20" s="1"/>
  <c r="N65" i="25"/>
  <c r="J70" i="20"/>
  <c r="AB68" i="20"/>
  <c r="T60" i="25"/>
  <c r="AH4" i="20"/>
  <c r="O65" i="25"/>
  <c r="P83" i="25"/>
  <c r="AE89" i="20"/>
  <c r="AC96" i="20"/>
  <c r="N90" i="25"/>
  <c r="J96" i="20"/>
  <c r="AI79" i="20"/>
  <c r="S67" i="25"/>
  <c r="P73" i="20"/>
  <c r="T65" i="25"/>
  <c r="Q70" i="20"/>
  <c r="N55" i="25"/>
  <c r="N51" i="25" s="1"/>
  <c r="J60" i="20"/>
  <c r="AJ65" i="20"/>
  <c r="AK65" i="20" s="1"/>
  <c r="M4" i="25"/>
  <c r="R4" i="25"/>
  <c r="N79" i="25"/>
  <c r="Z54" i="20"/>
  <c r="Z5" i="20" s="1"/>
  <c r="AJ87" i="20"/>
  <c r="AK87" i="20" s="1"/>
  <c r="AD87" i="20"/>
  <c r="AE87" i="20" s="1"/>
  <c r="O81" i="25"/>
  <c r="AH68" i="20"/>
  <c r="N67" i="25"/>
  <c r="J73" i="20"/>
  <c r="S65" i="25"/>
  <c r="P70" i="20"/>
  <c r="AJ70" i="20"/>
  <c r="S89" i="25"/>
  <c r="P95" i="20"/>
  <c r="M69" i="25"/>
  <c r="P76" i="20"/>
  <c r="S70" i="25"/>
  <c r="AH75" i="20"/>
  <c r="P77" i="20"/>
  <c r="S71" i="25"/>
  <c r="J71" i="20"/>
  <c r="AC71" i="20"/>
  <c r="AD71" i="20" s="1"/>
  <c r="L71" i="20" s="1"/>
  <c r="O76" i="25"/>
  <c r="U64" i="25"/>
  <c r="F95" i="20"/>
  <c r="G95" i="20" s="1"/>
  <c r="G89" i="25"/>
  <c r="I89" i="25" s="1"/>
  <c r="AI76" i="20"/>
  <c r="P96" i="20"/>
  <c r="S90" i="25"/>
  <c r="AD82" i="20"/>
  <c r="O67" i="25"/>
  <c r="K73" i="20"/>
  <c r="AI82" i="20"/>
  <c r="AJ82" i="20" s="1"/>
  <c r="K70" i="20"/>
  <c r="S73" i="25"/>
  <c r="P79" i="20"/>
  <c r="S55" i="25"/>
  <c r="S51" i="25" s="1"/>
  <c r="P60" i="20"/>
  <c r="G76" i="25"/>
  <c r="I76" i="25" s="1"/>
  <c r="F82" i="20"/>
  <c r="G82" i="20" s="1"/>
  <c r="Y4" i="20"/>
  <c r="AH91" i="20"/>
  <c r="F76" i="20"/>
  <c r="G76" i="20" s="1"/>
  <c r="G70" i="25"/>
  <c r="K69" i="20"/>
  <c r="O64" i="25"/>
  <c r="AD69" i="20"/>
  <c r="J95" i="20"/>
  <c r="N89" i="25"/>
  <c r="AH56" i="20"/>
  <c r="AI91" i="20"/>
  <c r="AE65" i="20"/>
  <c r="F96" i="20"/>
  <c r="G96" i="20" s="1"/>
  <c r="G90" i="25"/>
  <c r="I90" i="25" s="1"/>
  <c r="G71" i="25"/>
  <c r="I71" i="25" s="1"/>
  <c r="F77" i="20"/>
  <c r="G77" i="20" s="1"/>
  <c r="AC60" i="20"/>
  <c r="AC95" i="20"/>
  <c r="AC76" i="20"/>
  <c r="N70" i="25"/>
  <c r="J76" i="20"/>
  <c r="AI71" i="20"/>
  <c r="AJ96" i="20"/>
  <c r="AK96" i="20" s="1"/>
  <c r="AI73" i="20"/>
  <c r="H63" i="25"/>
  <c r="AJ60" i="20"/>
  <c r="AK60" i="20" s="1"/>
  <c r="N76" i="25"/>
  <c r="J82" i="20"/>
  <c r="AJ95" i="20"/>
  <c r="Q58" i="25"/>
  <c r="Q66" i="25"/>
  <c r="U57" i="25"/>
  <c r="V82" i="25"/>
  <c r="P56" i="25"/>
  <c r="T56" i="25"/>
  <c r="AJ61" i="20"/>
  <c r="V80" i="25"/>
  <c r="T57" i="25"/>
  <c r="AC85" i="20"/>
  <c r="K86" i="20"/>
  <c r="O80" i="25"/>
  <c r="AE58" i="20"/>
  <c r="T54" i="25"/>
  <c r="Q59" i="20"/>
  <c r="P82" i="25"/>
  <c r="V57" i="25"/>
  <c r="O57" i="25"/>
  <c r="AI56" i="20"/>
  <c r="Q54" i="25"/>
  <c r="P58" i="25"/>
  <c r="AE80" i="20"/>
  <c r="P86" i="25"/>
  <c r="AE92" i="20"/>
  <c r="L70" i="20"/>
  <c r="P65" i="25"/>
  <c r="AE70" i="20"/>
  <c r="P66" i="25"/>
  <c r="AJ59" i="20"/>
  <c r="AK59" i="20" s="1"/>
  <c r="I80" i="25"/>
  <c r="V61" i="25"/>
  <c r="AD86" i="20"/>
  <c r="AD62" i="20"/>
  <c r="P53" i="25"/>
  <c r="T58" i="25"/>
  <c r="AJ63" i="20"/>
  <c r="AK63" i="20" s="1"/>
  <c r="AE88" i="20"/>
  <c r="U77" i="25"/>
  <c r="AK83" i="20"/>
  <c r="AE61" i="20"/>
  <c r="BS88" i="20" l="1"/>
  <c r="BT88" i="20" s="1"/>
  <c r="BS83" i="20"/>
  <c r="AH77" i="25" s="1"/>
  <c r="Q71" i="20"/>
  <c r="BT65" i="20"/>
  <c r="AI60" i="25" s="1"/>
  <c r="BR68" i="20"/>
  <c r="F68" i="20"/>
  <c r="G68" i="20" s="1"/>
  <c r="BR85" i="20"/>
  <c r="Q85" i="20" s="1"/>
  <c r="BT93" i="20"/>
  <c r="AI87" i="25" s="1"/>
  <c r="BS93" i="20"/>
  <c r="AH87" i="25" s="1"/>
  <c r="Q63" i="20"/>
  <c r="F56" i="20"/>
  <c r="K82" i="20"/>
  <c r="BS96" i="20"/>
  <c r="AH90" i="25" s="1"/>
  <c r="Q69" i="20"/>
  <c r="Q96" i="20"/>
  <c r="K57" i="20"/>
  <c r="I54" i="20"/>
  <c r="I5" i="20" s="1"/>
  <c r="EM79" i="20"/>
  <c r="BI73" i="25" s="1"/>
  <c r="BH75" i="25"/>
  <c r="EM81" i="20"/>
  <c r="BI75" i="25" s="1"/>
  <c r="EF73" i="20"/>
  <c r="EK91" i="20"/>
  <c r="EF62" i="20"/>
  <c r="BC57" i="25" s="1"/>
  <c r="EJ54" i="20"/>
  <c r="EJ5" i="20" s="1"/>
  <c r="EE75" i="20"/>
  <c r="BH86" i="25"/>
  <c r="BH85" i="25" s="1"/>
  <c r="EL91" i="20"/>
  <c r="EM92" i="20"/>
  <c r="BG53" i="25"/>
  <c r="EK56" i="20"/>
  <c r="EK4" i="20"/>
  <c r="EG72" i="20"/>
  <c r="BD66" i="25" s="1"/>
  <c r="EL58" i="20"/>
  <c r="EK75" i="20"/>
  <c r="BG70" i="25"/>
  <c r="EL76" i="20"/>
  <c r="EG70" i="20"/>
  <c r="BD65" i="25" s="1"/>
  <c r="BH74" i="25"/>
  <c r="EM80" i="20"/>
  <c r="BI74" i="25" s="1"/>
  <c r="BC70" i="25"/>
  <c r="BF51" i="25"/>
  <c r="BF4" i="25"/>
  <c r="BD70" i="25"/>
  <c r="BB77" i="25"/>
  <c r="EF83" i="20"/>
  <c r="EF77" i="20"/>
  <c r="BG57" i="25"/>
  <c r="EM62" i="20"/>
  <c r="BI57" i="25" s="1"/>
  <c r="EG59" i="20"/>
  <c r="BD54" i="25" s="1"/>
  <c r="EM76" i="20"/>
  <c r="BG77" i="25"/>
  <c r="EL83" i="20"/>
  <c r="BH77" i="25" s="1"/>
  <c r="EM83" i="20"/>
  <c r="BI77" i="25" s="1"/>
  <c r="BG66" i="25"/>
  <c r="BG63" i="25" s="1"/>
  <c r="EL72" i="20"/>
  <c r="BB73" i="25"/>
  <c r="BB69" i="25" s="1"/>
  <c r="EG79" i="20"/>
  <c r="BD73" i="25" s="1"/>
  <c r="BB88" i="25"/>
  <c r="EF94" i="20"/>
  <c r="BC88" i="25" s="1"/>
  <c r="BG72" i="25"/>
  <c r="EL78" i="20"/>
  <c r="BH72" i="25" s="1"/>
  <c r="EM78" i="20"/>
  <c r="BI72" i="25" s="1"/>
  <c r="EG60" i="20"/>
  <c r="BD55" i="25" s="1"/>
  <c r="EF91" i="20"/>
  <c r="BI64" i="25"/>
  <c r="BD81" i="25"/>
  <c r="BD79" i="25" s="1"/>
  <c r="EG85" i="20"/>
  <c r="BB53" i="25"/>
  <c r="EE4" i="20"/>
  <c r="EE56" i="20"/>
  <c r="EE54" i="20" s="1"/>
  <c r="EE5" i="20" s="1"/>
  <c r="EF58" i="20"/>
  <c r="EG58" i="20"/>
  <c r="BB56" i="25"/>
  <c r="EF61" i="20"/>
  <c r="BG90" i="25"/>
  <c r="BG85" i="25" s="1"/>
  <c r="EM96" i="20"/>
  <c r="BI90" i="25" s="1"/>
  <c r="EM64" i="20"/>
  <c r="BI59" i="25" s="1"/>
  <c r="BD86" i="25"/>
  <c r="BB90" i="25"/>
  <c r="EF96" i="20"/>
  <c r="BC81" i="25"/>
  <c r="BC79" i="25" s="1"/>
  <c r="EF85" i="20"/>
  <c r="BG58" i="25"/>
  <c r="EM63" i="20"/>
  <c r="BI58" i="25" s="1"/>
  <c r="EL63" i="20"/>
  <c r="BH58" i="25" s="1"/>
  <c r="BG71" i="25"/>
  <c r="BB75" i="25"/>
  <c r="EF81" i="20"/>
  <c r="BC75" i="25" s="1"/>
  <c r="BB61" i="25"/>
  <c r="EG66" i="20"/>
  <c r="BD61" i="25" s="1"/>
  <c r="EF66" i="20"/>
  <c r="BC61" i="25" s="1"/>
  <c r="BG81" i="25"/>
  <c r="BG79" i="25" s="1"/>
  <c r="EK85" i="20"/>
  <c r="EL87" i="20"/>
  <c r="BA51" i="25"/>
  <c r="BA4" i="25"/>
  <c r="EM88" i="20"/>
  <c r="BI82" i="25" s="1"/>
  <c r="EA54" i="20"/>
  <c r="EA5" i="20" s="1"/>
  <c r="EM82" i="20"/>
  <c r="BI76" i="25" s="1"/>
  <c r="EG62" i="20"/>
  <c r="BD57" i="25" s="1"/>
  <c r="EE68" i="20"/>
  <c r="BB64" i="25"/>
  <c r="BB63" i="25" s="1"/>
  <c r="EF69" i="20"/>
  <c r="EG82" i="20"/>
  <c r="BD76" i="25" s="1"/>
  <c r="EL77" i="20"/>
  <c r="BH71" i="25" s="1"/>
  <c r="BB85" i="25"/>
  <c r="EK68" i="20"/>
  <c r="CW60" i="20"/>
  <c r="AQ55" i="25" s="1"/>
  <c r="DC63" i="20"/>
  <c r="AV58" i="25" s="1"/>
  <c r="CW76" i="20"/>
  <c r="AQ70" i="25" s="1"/>
  <c r="J56" i="20"/>
  <c r="DA56" i="20"/>
  <c r="DB82" i="20"/>
  <c r="R82" i="20" s="1"/>
  <c r="DB65" i="20"/>
  <c r="AU60" i="25" s="1"/>
  <c r="DB94" i="20"/>
  <c r="AU88" i="25" s="1"/>
  <c r="DC94" i="20"/>
  <c r="AV88" i="25" s="1"/>
  <c r="G79" i="25"/>
  <c r="Q65" i="20"/>
  <c r="Q94" i="20"/>
  <c r="DC62" i="20"/>
  <c r="AV57" i="25" s="1"/>
  <c r="DB77" i="20"/>
  <c r="AU71" i="25" s="1"/>
  <c r="DC95" i="20"/>
  <c r="AV89" i="25" s="1"/>
  <c r="DB58" i="20"/>
  <c r="AU53" i="25" s="1"/>
  <c r="P85" i="20"/>
  <c r="CW79" i="20"/>
  <c r="AQ73" i="25" s="1"/>
  <c r="CV79" i="20"/>
  <c r="AP73" i="25" s="1"/>
  <c r="CV89" i="20"/>
  <c r="AP83" i="25" s="1"/>
  <c r="K66" i="20"/>
  <c r="K80" i="20"/>
  <c r="Q72" i="20"/>
  <c r="AO70" i="25"/>
  <c r="DB89" i="20"/>
  <c r="AU83" i="25" s="1"/>
  <c r="DB62" i="20"/>
  <c r="AU57" i="25" s="1"/>
  <c r="CW82" i="20"/>
  <c r="AQ76" i="25" s="1"/>
  <c r="DC96" i="20"/>
  <c r="AV90" i="25" s="1"/>
  <c r="DB95" i="20"/>
  <c r="AU89" i="25" s="1"/>
  <c r="CV78" i="20"/>
  <c r="AP72" i="25" s="1"/>
  <c r="AU86" i="25"/>
  <c r="DC92" i="20"/>
  <c r="AU80" i="25"/>
  <c r="DC86" i="20"/>
  <c r="DA54" i="20"/>
  <c r="DA5" i="20" s="1"/>
  <c r="R64" i="20"/>
  <c r="CU85" i="20"/>
  <c r="AO80" i="25"/>
  <c r="AO79" i="25" s="1"/>
  <c r="CT54" i="20"/>
  <c r="CT5" i="20" s="1"/>
  <c r="AO58" i="25"/>
  <c r="CV63" i="20"/>
  <c r="AP58" i="25" s="1"/>
  <c r="CW58" i="20"/>
  <c r="AQ53" i="25" s="1"/>
  <c r="O54" i="20"/>
  <c r="O5" i="20" s="1"/>
  <c r="R92" i="20"/>
  <c r="DC64" i="20"/>
  <c r="AV59" i="25" s="1"/>
  <c r="AN51" i="25"/>
  <c r="AN4" i="25"/>
  <c r="CV86" i="20"/>
  <c r="AQ64" i="25"/>
  <c r="CW87" i="20"/>
  <c r="AQ81" i="25" s="1"/>
  <c r="AU52" i="25"/>
  <c r="AO57" i="25"/>
  <c r="CV62" i="20"/>
  <c r="L62" i="20" s="1"/>
  <c r="AO54" i="25"/>
  <c r="CV59" i="20"/>
  <c r="Q60" i="20"/>
  <c r="AT86" i="25"/>
  <c r="AT85" i="25" s="1"/>
  <c r="DA91" i="20"/>
  <c r="DB72" i="20"/>
  <c r="AU76" i="25"/>
  <c r="DC82" i="20"/>
  <c r="AV76" i="25" s="1"/>
  <c r="AO67" i="25"/>
  <c r="AO63" i="25" s="1"/>
  <c r="CV73" i="20"/>
  <c r="DC78" i="20"/>
  <c r="AV72" i="25" s="1"/>
  <c r="CW94" i="20"/>
  <c r="AQ88" i="25" s="1"/>
  <c r="AO90" i="25"/>
  <c r="CW96" i="20"/>
  <c r="AQ90" i="25" s="1"/>
  <c r="CU75" i="20"/>
  <c r="CQ54" i="20"/>
  <c r="CQ5" i="20" s="1"/>
  <c r="DB93" i="20"/>
  <c r="CV95" i="20"/>
  <c r="AP89" i="25" s="1"/>
  <c r="AU70" i="25"/>
  <c r="CV66" i="20"/>
  <c r="AP61" i="25" s="1"/>
  <c r="DC89" i="20"/>
  <c r="AV83" i="25" s="1"/>
  <c r="AV52" i="25"/>
  <c r="P68" i="20"/>
  <c r="J85" i="20"/>
  <c r="AO69" i="25"/>
  <c r="DC58" i="20"/>
  <c r="AV53" i="25" s="1"/>
  <c r="AT81" i="25"/>
  <c r="DB87" i="20"/>
  <c r="CU91" i="20"/>
  <c r="CV77" i="20"/>
  <c r="CV91" i="20"/>
  <c r="AO56" i="25"/>
  <c r="CW61" i="20"/>
  <c r="AQ56" i="25" s="1"/>
  <c r="AO52" i="25"/>
  <c r="CU4" i="20"/>
  <c r="CU56" i="20"/>
  <c r="CV57" i="20"/>
  <c r="L57" i="20" s="1"/>
  <c r="DC88" i="20"/>
  <c r="AV82" i="25" s="1"/>
  <c r="AT80" i="25"/>
  <c r="AT79" i="25" s="1"/>
  <c r="DA85" i="20"/>
  <c r="AT55" i="25"/>
  <c r="DC60" i="20"/>
  <c r="AV55" i="25" s="1"/>
  <c r="I79" i="25"/>
  <c r="K59" i="20"/>
  <c r="CW80" i="20"/>
  <c r="AQ74" i="25" s="1"/>
  <c r="CW81" i="20"/>
  <c r="AQ75" i="25" s="1"/>
  <c r="CZ54" i="20"/>
  <c r="CZ5" i="20" s="1"/>
  <c r="AT54" i="25"/>
  <c r="DB59" i="20"/>
  <c r="AU54" i="25" s="1"/>
  <c r="CV88" i="20"/>
  <c r="AO85" i="25"/>
  <c r="CW65" i="20"/>
  <c r="AQ60" i="25" s="1"/>
  <c r="AP85" i="25"/>
  <c r="DB66" i="20"/>
  <c r="AU61" i="25" s="1"/>
  <c r="CW72" i="20"/>
  <c r="AQ66" i="25" s="1"/>
  <c r="AT70" i="25"/>
  <c r="AT69" i="25" s="1"/>
  <c r="DA75" i="20"/>
  <c r="CU68" i="20"/>
  <c r="DA4" i="20"/>
  <c r="DC76" i="20"/>
  <c r="DC77" i="20"/>
  <c r="AV71" i="25" s="1"/>
  <c r="AT64" i="25"/>
  <c r="AT63" i="25" s="1"/>
  <c r="DA68" i="20"/>
  <c r="DB69" i="20"/>
  <c r="DC69" i="20" s="1"/>
  <c r="AS51" i="25"/>
  <c r="AS4" i="25"/>
  <c r="CV68" i="20"/>
  <c r="CW66" i="20"/>
  <c r="AQ61" i="25" s="1"/>
  <c r="CW64" i="20"/>
  <c r="AQ59" i="25" s="1"/>
  <c r="DC81" i="20"/>
  <c r="AV75" i="25" s="1"/>
  <c r="AT67" i="25"/>
  <c r="DB73" i="20"/>
  <c r="AU67" i="25" s="1"/>
  <c r="AT56" i="25"/>
  <c r="AT51" i="25" s="1"/>
  <c r="DB61" i="20"/>
  <c r="AU56" i="25" s="1"/>
  <c r="DC61" i="20"/>
  <c r="AV56" i="25" s="1"/>
  <c r="Q87" i="20"/>
  <c r="BS60" i="20"/>
  <c r="BM62" i="20"/>
  <c r="AC57" i="25" s="1"/>
  <c r="Q62" i="20"/>
  <c r="P75" i="20"/>
  <c r="F75" i="20"/>
  <c r="G75" i="20" s="1"/>
  <c r="BS62" i="20"/>
  <c r="AH57" i="25" s="1"/>
  <c r="AC82" i="25"/>
  <c r="L88" i="20"/>
  <c r="BN88" i="20"/>
  <c r="AD82" i="25" s="1"/>
  <c r="Q95" i="20"/>
  <c r="BM81" i="20"/>
  <c r="AC75" i="25" s="1"/>
  <c r="Q58" i="20"/>
  <c r="BS95" i="20"/>
  <c r="AH89" i="25" s="1"/>
  <c r="K81" i="20"/>
  <c r="K62" i="20"/>
  <c r="BS58" i="20"/>
  <c r="AH53" i="25" s="1"/>
  <c r="BR91" i="20"/>
  <c r="Q91" i="20" s="1"/>
  <c r="BS77" i="20"/>
  <c r="AH71" i="25" s="1"/>
  <c r="BN81" i="20"/>
  <c r="AD75" i="25" s="1"/>
  <c r="BM79" i="20"/>
  <c r="AC73" i="25" s="1"/>
  <c r="BM64" i="20"/>
  <c r="AC59" i="25" s="1"/>
  <c r="K64" i="20"/>
  <c r="Q77" i="20"/>
  <c r="AC53" i="25"/>
  <c r="L58" i="20"/>
  <c r="J68" i="20"/>
  <c r="P91" i="20"/>
  <c r="F91" i="20"/>
  <c r="G91" i="20" s="1"/>
  <c r="AG85" i="25"/>
  <c r="BN72" i="20"/>
  <c r="AD66" i="25" s="1"/>
  <c r="Q88" i="20"/>
  <c r="R69" i="20"/>
  <c r="Q89" i="20"/>
  <c r="BT63" i="20"/>
  <c r="AI58" i="25" s="1"/>
  <c r="BS89" i="20"/>
  <c r="AH83" i="25" s="1"/>
  <c r="J4" i="20"/>
  <c r="BT96" i="20"/>
  <c r="AI90" i="25" s="1"/>
  <c r="AI82" i="25"/>
  <c r="S88" i="20"/>
  <c r="AC52" i="25"/>
  <c r="BN57" i="20"/>
  <c r="AD52" i="25" s="1"/>
  <c r="AB61" i="25"/>
  <c r="BM66" i="20"/>
  <c r="AC61" i="25" s="1"/>
  <c r="AG59" i="25"/>
  <c r="Q64" i="20"/>
  <c r="J91" i="20"/>
  <c r="AB82" i="25"/>
  <c r="K88" i="20"/>
  <c r="BN63" i="20"/>
  <c r="AD58" i="25" s="1"/>
  <c r="BM82" i="20"/>
  <c r="AC76" i="25" s="1"/>
  <c r="AA69" i="25"/>
  <c r="BN86" i="20"/>
  <c r="AD80" i="25" s="1"/>
  <c r="BN80" i="20"/>
  <c r="AD74" i="25" s="1"/>
  <c r="BR4" i="20"/>
  <c r="AB89" i="25"/>
  <c r="BM95" i="20"/>
  <c r="BT82" i="20"/>
  <c r="AI76" i="25" s="1"/>
  <c r="AG73" i="25"/>
  <c r="BS79" i="20"/>
  <c r="AH73" i="25" s="1"/>
  <c r="BS80" i="20"/>
  <c r="AH74" i="25" s="1"/>
  <c r="BM76" i="20"/>
  <c r="AC70" i="25" s="1"/>
  <c r="Q83" i="20"/>
  <c r="BS87" i="20"/>
  <c r="AH81" i="25" s="1"/>
  <c r="AI70" i="25"/>
  <c r="AC72" i="25"/>
  <c r="AI80" i="25"/>
  <c r="S86" i="20"/>
  <c r="AI64" i="25"/>
  <c r="AH75" i="25"/>
  <c r="R81" i="20"/>
  <c r="BT81" i="20"/>
  <c r="J75" i="20"/>
  <c r="AF51" i="25"/>
  <c r="AF4" i="25"/>
  <c r="BL56" i="20"/>
  <c r="BT83" i="20"/>
  <c r="AI77" i="25" s="1"/>
  <c r="BN73" i="20"/>
  <c r="AD67" i="25" s="1"/>
  <c r="R83" i="20"/>
  <c r="K87" i="20"/>
  <c r="P4" i="20"/>
  <c r="BM83" i="20"/>
  <c r="AC77" i="25" s="1"/>
  <c r="BQ54" i="20"/>
  <c r="BQ5" i="20" s="1"/>
  <c r="BL85" i="20"/>
  <c r="K85" i="20" s="1"/>
  <c r="BL4" i="20"/>
  <c r="AG66" i="25"/>
  <c r="BS72" i="20"/>
  <c r="AC65" i="25"/>
  <c r="AC63" i="25" s="1"/>
  <c r="BN70" i="20"/>
  <c r="AD65" i="25" s="1"/>
  <c r="AH52" i="25"/>
  <c r="BT57" i="20"/>
  <c r="AB72" i="25"/>
  <c r="AB69" i="25" s="1"/>
  <c r="K78" i="20"/>
  <c r="K83" i="20"/>
  <c r="AB87" i="25"/>
  <c r="BM93" i="20"/>
  <c r="AC87" i="25" s="1"/>
  <c r="AB83" i="25"/>
  <c r="K89" i="20"/>
  <c r="F4" i="20"/>
  <c r="G4" i="20" s="1"/>
  <c r="L73" i="20"/>
  <c r="F85" i="20"/>
  <c r="G85" i="20" s="1"/>
  <c r="AH80" i="25"/>
  <c r="R86" i="20"/>
  <c r="AH86" i="25"/>
  <c r="BS91" i="20"/>
  <c r="AH64" i="25"/>
  <c r="AG70" i="25"/>
  <c r="BR75" i="20"/>
  <c r="AA63" i="25"/>
  <c r="BN94" i="20"/>
  <c r="AD88" i="25" s="1"/>
  <c r="BT61" i="20"/>
  <c r="AI56" i="25" s="1"/>
  <c r="BN61" i="20"/>
  <c r="AD56" i="25" s="1"/>
  <c r="AG72" i="25"/>
  <c r="BS78" i="20"/>
  <c r="BT78" i="20" s="1"/>
  <c r="AI72" i="25" s="1"/>
  <c r="BM68" i="20"/>
  <c r="Q78" i="20"/>
  <c r="AG75" i="25"/>
  <c r="Q81" i="20"/>
  <c r="AG67" i="25"/>
  <c r="AG63" i="25" s="1"/>
  <c r="BS73" i="20"/>
  <c r="AH67" i="25" s="1"/>
  <c r="BL91" i="20"/>
  <c r="AB86" i="25"/>
  <c r="K92" i="20"/>
  <c r="BN92" i="20"/>
  <c r="M92" i="20" s="1"/>
  <c r="BT59" i="20"/>
  <c r="AI54" i="25" s="1"/>
  <c r="L72" i="20"/>
  <c r="L61" i="20"/>
  <c r="K93" i="20"/>
  <c r="AD64" i="25"/>
  <c r="AG81" i="25"/>
  <c r="AG61" i="25"/>
  <c r="Q66" i="20"/>
  <c r="BH54" i="20"/>
  <c r="BH5" i="20" s="1"/>
  <c r="BR56" i="20"/>
  <c r="AA51" i="25"/>
  <c r="AA4" i="25"/>
  <c r="BT94" i="20"/>
  <c r="AI88" i="25" s="1"/>
  <c r="BT66" i="20"/>
  <c r="AG79" i="25"/>
  <c r="BT71" i="20"/>
  <c r="AH70" i="25"/>
  <c r="AC86" i="25"/>
  <c r="BN58" i="20"/>
  <c r="AD53" i="25" s="1"/>
  <c r="AH61" i="25"/>
  <c r="R66" i="20"/>
  <c r="BM77" i="20"/>
  <c r="AB66" i="25"/>
  <c r="AB63" i="25" s="1"/>
  <c r="K72" i="20"/>
  <c r="BL75" i="20"/>
  <c r="AH82" i="25"/>
  <c r="R88" i="20"/>
  <c r="BM60" i="20"/>
  <c r="BN60" i="20" s="1"/>
  <c r="AD55" i="25" s="1"/>
  <c r="BM89" i="20"/>
  <c r="BN89" i="20" s="1"/>
  <c r="AD83" i="25" s="1"/>
  <c r="AB53" i="25"/>
  <c r="K58" i="20"/>
  <c r="BT92" i="20"/>
  <c r="S92" i="20" s="1"/>
  <c r="BM87" i="20"/>
  <c r="BN87" i="20" s="1"/>
  <c r="AH59" i="25"/>
  <c r="BT64" i="20"/>
  <c r="AI59" i="25" s="1"/>
  <c r="AB90" i="25"/>
  <c r="BM96" i="20"/>
  <c r="AC90" i="25" s="1"/>
  <c r="AB58" i="25"/>
  <c r="K63" i="20"/>
  <c r="BK54" i="20"/>
  <c r="BK5" i="20" s="1"/>
  <c r="AC54" i="25"/>
  <c r="BN59" i="20"/>
  <c r="BL68" i="20"/>
  <c r="BN78" i="20"/>
  <c r="U66" i="25"/>
  <c r="L81" i="20"/>
  <c r="P75" i="25"/>
  <c r="L80" i="20"/>
  <c r="V59" i="25"/>
  <c r="AK57" i="20"/>
  <c r="U52" i="25"/>
  <c r="R57" i="20"/>
  <c r="Q77" i="25"/>
  <c r="T79" i="25"/>
  <c r="P77" i="25"/>
  <c r="P61" i="25"/>
  <c r="AE66" i="20"/>
  <c r="S4" i="25"/>
  <c r="H54" i="20"/>
  <c r="H5" i="20" s="1"/>
  <c r="P87" i="25"/>
  <c r="AE93" i="20"/>
  <c r="AI4" i="20"/>
  <c r="U88" i="25"/>
  <c r="R94" i="20"/>
  <c r="K94" i="20"/>
  <c r="O88" i="25"/>
  <c r="AE94" i="20"/>
  <c r="T85" i="25"/>
  <c r="AJ71" i="20"/>
  <c r="R71" i="20" s="1"/>
  <c r="AK94" i="20"/>
  <c r="L94" i="20"/>
  <c r="P88" i="25"/>
  <c r="U74" i="25"/>
  <c r="T74" i="25"/>
  <c r="Q80" i="20"/>
  <c r="AK80" i="20"/>
  <c r="O79" i="25"/>
  <c r="I51" i="25"/>
  <c r="N69" i="25"/>
  <c r="AD68" i="20"/>
  <c r="I63" i="25"/>
  <c r="V72" i="25"/>
  <c r="AH54" i="20"/>
  <c r="AH5" i="20" s="1"/>
  <c r="N63" i="25"/>
  <c r="H49" i="25"/>
  <c r="H4" i="25" s="1"/>
  <c r="I85" i="25"/>
  <c r="N4" i="25"/>
  <c r="S85" i="25"/>
  <c r="V55" i="25"/>
  <c r="S96" i="20"/>
  <c r="V90" i="25"/>
  <c r="I70" i="25"/>
  <c r="I69" i="25" s="1"/>
  <c r="G69" i="25"/>
  <c r="T67" i="25"/>
  <c r="T63" i="25" s="1"/>
  <c r="Q73" i="20"/>
  <c r="AJ73" i="20"/>
  <c r="K71" i="20"/>
  <c r="AE71" i="20"/>
  <c r="M71" i="20" s="1"/>
  <c r="Q81" i="25"/>
  <c r="K79" i="20"/>
  <c r="O73" i="25"/>
  <c r="V60" i="25"/>
  <c r="O89" i="25"/>
  <c r="K95" i="20"/>
  <c r="AC91" i="20"/>
  <c r="N85" i="25"/>
  <c r="U76" i="25"/>
  <c r="G85" i="25"/>
  <c r="P56" i="20"/>
  <c r="U89" i="25"/>
  <c r="AJ91" i="20"/>
  <c r="O55" i="25"/>
  <c r="O51" i="25" s="1"/>
  <c r="K60" i="20"/>
  <c r="G63" i="25"/>
  <c r="S69" i="25"/>
  <c r="P81" i="25"/>
  <c r="U60" i="25"/>
  <c r="T73" i="25"/>
  <c r="Q79" i="20"/>
  <c r="AC4" i="20"/>
  <c r="S63" i="25"/>
  <c r="U81" i="25"/>
  <c r="U79" i="25" s="1"/>
  <c r="AJ85" i="20"/>
  <c r="Y54" i="20"/>
  <c r="Y5" i="20" s="1"/>
  <c r="P76" i="25"/>
  <c r="V64" i="25"/>
  <c r="O71" i="25"/>
  <c r="AE77" i="20"/>
  <c r="K77" i="20"/>
  <c r="AE82" i="20"/>
  <c r="O70" i="25"/>
  <c r="K76" i="20"/>
  <c r="AD76" i="20"/>
  <c r="AC75" i="20"/>
  <c r="Q83" i="25"/>
  <c r="Q76" i="20"/>
  <c r="T70" i="25"/>
  <c r="AI75" i="20"/>
  <c r="AJ76" i="20"/>
  <c r="AK76" i="20" s="1"/>
  <c r="V81" i="25"/>
  <c r="V79" i="25" s="1"/>
  <c r="U90" i="25"/>
  <c r="R96" i="20"/>
  <c r="AK82" i="20"/>
  <c r="M65" i="20"/>
  <c r="Q60" i="25"/>
  <c r="AD95" i="20"/>
  <c r="T76" i="25"/>
  <c r="Q82" i="20"/>
  <c r="V71" i="25"/>
  <c r="R70" i="20"/>
  <c r="U65" i="25"/>
  <c r="AD79" i="20"/>
  <c r="U71" i="25"/>
  <c r="AD60" i="20"/>
  <c r="AD56" i="20" s="1"/>
  <c r="AE69" i="20"/>
  <c r="P64" i="25"/>
  <c r="P63" i="25" s="1"/>
  <c r="AC68" i="20"/>
  <c r="O63" i="25"/>
  <c r="AB54" i="20"/>
  <c r="AB5" i="20" s="1"/>
  <c r="G51" i="25"/>
  <c r="AC56" i="20"/>
  <c r="AK85" i="20"/>
  <c r="U55" i="25"/>
  <c r="R60" i="20"/>
  <c r="AK70" i="20"/>
  <c r="AK95" i="20"/>
  <c r="O90" i="25"/>
  <c r="K96" i="20"/>
  <c r="AD96" i="20"/>
  <c r="AI68" i="20"/>
  <c r="Q68" i="20" s="1"/>
  <c r="Q67" i="25"/>
  <c r="AJ79" i="20"/>
  <c r="V58" i="25"/>
  <c r="Q86" i="25"/>
  <c r="Q65" i="25"/>
  <c r="Q75" i="25"/>
  <c r="T51" i="25"/>
  <c r="P80" i="25"/>
  <c r="L86" i="20"/>
  <c r="AD85" i="20"/>
  <c r="Q74" i="25"/>
  <c r="V54" i="25"/>
  <c r="Q53" i="25"/>
  <c r="Q56" i="25"/>
  <c r="G56" i="20"/>
  <c r="AE86" i="20"/>
  <c r="U56" i="25"/>
  <c r="AK61" i="20"/>
  <c r="V77" i="25"/>
  <c r="S83" i="20"/>
  <c r="Q82" i="25"/>
  <c r="U58" i="25"/>
  <c r="R63" i="20"/>
  <c r="P57" i="25"/>
  <c r="AE62" i="20"/>
  <c r="U54" i="25"/>
  <c r="R59" i="20"/>
  <c r="AJ56" i="20"/>
  <c r="L64" i="20" l="1"/>
  <c r="BN64" i="20"/>
  <c r="AD59" i="25" s="1"/>
  <c r="BT77" i="20"/>
  <c r="AI71" i="25" s="1"/>
  <c r="L83" i="20"/>
  <c r="BN83" i="20"/>
  <c r="AD77" i="25" s="1"/>
  <c r="BN79" i="20"/>
  <c r="AD73" i="25" s="1"/>
  <c r="BI70" i="25"/>
  <c r="BH53" i="25"/>
  <c r="EL4" i="20"/>
  <c r="EL56" i="20"/>
  <c r="EL54" i="20" s="1"/>
  <c r="EL5" i="20" s="1"/>
  <c r="BC53" i="25"/>
  <c r="EF4" i="20"/>
  <c r="EF56" i="20"/>
  <c r="BD53" i="25"/>
  <c r="EM58" i="20"/>
  <c r="BH66" i="25"/>
  <c r="BH63" i="25" s="1"/>
  <c r="EL68" i="20"/>
  <c r="BB51" i="25"/>
  <c r="BB4" i="25"/>
  <c r="EK54" i="20"/>
  <c r="EK5" i="20" s="1"/>
  <c r="EF68" i="20"/>
  <c r="BC64" i="25"/>
  <c r="BC63" i="25" s="1"/>
  <c r="EG69" i="20"/>
  <c r="BH70" i="25"/>
  <c r="BH69" i="25" s="1"/>
  <c r="EL75" i="20"/>
  <c r="BG51" i="25"/>
  <c r="BG4" i="25"/>
  <c r="BC67" i="25"/>
  <c r="EG73" i="20"/>
  <c r="BD67" i="25" s="1"/>
  <c r="EG94" i="20"/>
  <c r="BH81" i="25"/>
  <c r="BH79" i="25" s="1"/>
  <c r="EM87" i="20"/>
  <c r="EL85" i="20"/>
  <c r="BC56" i="25"/>
  <c r="EG61" i="20"/>
  <c r="BD56" i="25" s="1"/>
  <c r="BC71" i="25"/>
  <c r="BC69" i="25" s="1"/>
  <c r="EG77" i="20"/>
  <c r="EF75" i="20"/>
  <c r="BG69" i="25"/>
  <c r="BI86" i="25"/>
  <c r="BI85" i="25" s="1"/>
  <c r="EM91" i="20"/>
  <c r="EG81" i="20"/>
  <c r="BD75" i="25" s="1"/>
  <c r="L69" i="20"/>
  <c r="EM77" i="20"/>
  <c r="BI71" i="25" s="1"/>
  <c r="BC90" i="25"/>
  <c r="BC85" i="25" s="1"/>
  <c r="EG96" i="20"/>
  <c r="BD90" i="25" s="1"/>
  <c r="BC77" i="25"/>
  <c r="EG83" i="20"/>
  <c r="BD77" i="25" s="1"/>
  <c r="EM72" i="20"/>
  <c r="CW78" i="20"/>
  <c r="AQ72" i="25" s="1"/>
  <c r="DB75" i="20"/>
  <c r="DC66" i="20"/>
  <c r="AV61" i="25" s="1"/>
  <c r="DC65" i="20"/>
  <c r="L78" i="20"/>
  <c r="AU69" i="25"/>
  <c r="CW89" i="20"/>
  <c r="AQ83" i="25" s="1"/>
  <c r="M81" i="20"/>
  <c r="R65" i="20"/>
  <c r="J54" i="20"/>
  <c r="J5" i="20" s="1"/>
  <c r="R77" i="20"/>
  <c r="L77" i="20"/>
  <c r="AV64" i="25"/>
  <c r="S69" i="20"/>
  <c r="AV70" i="25"/>
  <c r="AV69" i="25" s="1"/>
  <c r="DC75" i="20"/>
  <c r="AP71" i="25"/>
  <c r="AP69" i="25" s="1"/>
  <c r="CV75" i="20"/>
  <c r="CW77" i="20"/>
  <c r="CW95" i="20"/>
  <c r="AQ89" i="25" s="1"/>
  <c r="AQ85" i="25" s="1"/>
  <c r="CW63" i="20"/>
  <c r="AQ58" i="25" s="1"/>
  <c r="CV4" i="20"/>
  <c r="AP52" i="25"/>
  <c r="CV56" i="20"/>
  <c r="AU87" i="25"/>
  <c r="DC93" i="20"/>
  <c r="DC91" i="20" s="1"/>
  <c r="R93" i="20"/>
  <c r="AP67" i="25"/>
  <c r="AP63" i="25" s="1"/>
  <c r="CW73" i="20"/>
  <c r="AQ67" i="25" s="1"/>
  <c r="AQ63" i="25" s="1"/>
  <c r="AU51" i="25"/>
  <c r="AV80" i="25"/>
  <c r="DC73" i="20"/>
  <c r="AV67" i="25" s="1"/>
  <c r="AP82" i="25"/>
  <c r="CW88" i="20"/>
  <c r="CU54" i="20"/>
  <c r="CU5" i="20" s="1"/>
  <c r="AU81" i="25"/>
  <c r="AU79" i="25" s="1"/>
  <c r="DC87" i="20"/>
  <c r="AV81" i="25" s="1"/>
  <c r="DB56" i="20"/>
  <c r="L63" i="20"/>
  <c r="AU64" i="25"/>
  <c r="DB68" i="20"/>
  <c r="AP54" i="25"/>
  <c r="L59" i="20"/>
  <c r="DB4" i="20"/>
  <c r="DB85" i="20"/>
  <c r="CW57" i="20"/>
  <c r="M57" i="20" s="1"/>
  <c r="AO4" i="25"/>
  <c r="AO51" i="25"/>
  <c r="CW59" i="20"/>
  <c r="AQ54" i="25" s="1"/>
  <c r="AV86" i="25"/>
  <c r="Q4" i="20"/>
  <c r="AT4" i="25"/>
  <c r="AU66" i="25"/>
  <c r="DC72" i="20"/>
  <c r="AV66" i="25" s="1"/>
  <c r="AU85" i="25"/>
  <c r="CV85" i="20"/>
  <c r="AP80" i="25"/>
  <c r="AP79" i="25" s="1"/>
  <c r="CW86" i="20"/>
  <c r="M86" i="20" s="1"/>
  <c r="R61" i="20"/>
  <c r="M63" i="20"/>
  <c r="DC59" i="20"/>
  <c r="S59" i="20" s="1"/>
  <c r="AP57" i="25"/>
  <c r="CW62" i="20"/>
  <c r="AQ57" i="25" s="1"/>
  <c r="DB91" i="20"/>
  <c r="R91" i="20" s="1"/>
  <c r="R62" i="20"/>
  <c r="AH55" i="25"/>
  <c r="BT60" i="20"/>
  <c r="BN62" i="20"/>
  <c r="AD57" i="25" s="1"/>
  <c r="BT62" i="20"/>
  <c r="AH85" i="25"/>
  <c r="S63" i="20"/>
  <c r="BT58" i="20"/>
  <c r="BS56" i="20"/>
  <c r="R95" i="20"/>
  <c r="BT87" i="20"/>
  <c r="AI81" i="25" s="1"/>
  <c r="R87" i="20"/>
  <c r="P54" i="20"/>
  <c r="P5" i="20" s="1"/>
  <c r="BT95" i="20"/>
  <c r="AI89" i="25" s="1"/>
  <c r="L66" i="20"/>
  <c r="G54" i="20"/>
  <c r="K4" i="20"/>
  <c r="R58" i="20"/>
  <c r="AG69" i="25"/>
  <c r="BS85" i="20"/>
  <c r="R89" i="20"/>
  <c r="AB51" i="25"/>
  <c r="L82" i="20"/>
  <c r="BS4" i="20"/>
  <c r="AG4" i="25"/>
  <c r="M72" i="20"/>
  <c r="F5" i="20"/>
  <c r="G5" i="20" s="1"/>
  <c r="BT89" i="20"/>
  <c r="AI83" i="25" s="1"/>
  <c r="BN66" i="20"/>
  <c r="AD61" i="25" s="1"/>
  <c r="BS68" i="20"/>
  <c r="M61" i="20"/>
  <c r="Q75" i="20"/>
  <c r="L93" i="20"/>
  <c r="R80" i="20"/>
  <c r="AG51" i="25"/>
  <c r="M58" i="20"/>
  <c r="BN93" i="20"/>
  <c r="AD87" i="25" s="1"/>
  <c r="BS75" i="20"/>
  <c r="BR54" i="20"/>
  <c r="BR5" i="20" s="1"/>
  <c r="BN82" i="20"/>
  <c r="AD76" i="25" s="1"/>
  <c r="BT73" i="20"/>
  <c r="AI67" i="25" s="1"/>
  <c r="AB4" i="25"/>
  <c r="M80" i="20"/>
  <c r="K75" i="20"/>
  <c r="AC89" i="25"/>
  <c r="AC85" i="25" s="1"/>
  <c r="BN95" i="20"/>
  <c r="AD89" i="25" s="1"/>
  <c r="F54" i="20"/>
  <c r="AB79" i="25"/>
  <c r="BT79" i="20"/>
  <c r="AI73" i="25" s="1"/>
  <c r="BT80" i="20"/>
  <c r="AI74" i="25" s="1"/>
  <c r="BN76" i="20"/>
  <c r="AD70" i="25" s="1"/>
  <c r="AD81" i="25"/>
  <c r="AD79" i="25" s="1"/>
  <c r="BN85" i="20"/>
  <c r="M87" i="20"/>
  <c r="BM91" i="20"/>
  <c r="BM4" i="20"/>
  <c r="AC83" i="25"/>
  <c r="L89" i="20"/>
  <c r="AH72" i="25"/>
  <c r="AH69" i="25" s="1"/>
  <c r="R78" i="20"/>
  <c r="AI52" i="25"/>
  <c r="AH66" i="25"/>
  <c r="AH63" i="25" s="1"/>
  <c r="BT72" i="20"/>
  <c r="R72" i="20"/>
  <c r="AC71" i="25"/>
  <c r="AC69" i="25" s="1"/>
  <c r="BN77" i="20"/>
  <c r="BM75" i="20"/>
  <c r="Q56" i="20"/>
  <c r="AC55" i="25"/>
  <c r="BM56" i="20"/>
  <c r="L56" i="20" s="1"/>
  <c r="AD63" i="25"/>
  <c r="AH51" i="25"/>
  <c r="BN96" i="20"/>
  <c r="AD90" i="25" s="1"/>
  <c r="K68" i="20"/>
  <c r="K91" i="20"/>
  <c r="BL54" i="20"/>
  <c r="BL5" i="20" s="1"/>
  <c r="AI75" i="25"/>
  <c r="S81" i="20"/>
  <c r="L68" i="20"/>
  <c r="AD54" i="25"/>
  <c r="AC81" i="25"/>
  <c r="BM85" i="20"/>
  <c r="L85" i="20" s="1"/>
  <c r="AI86" i="25"/>
  <c r="AD86" i="25"/>
  <c r="AH79" i="25"/>
  <c r="AI61" i="25"/>
  <c r="S66" i="20"/>
  <c r="BN68" i="20"/>
  <c r="M70" i="20"/>
  <c r="L87" i="20"/>
  <c r="S78" i="20"/>
  <c r="S89" i="20"/>
  <c r="S64" i="20"/>
  <c r="AD72" i="25"/>
  <c r="M78" i="20"/>
  <c r="AB85" i="25"/>
  <c r="V52" i="25"/>
  <c r="S57" i="20"/>
  <c r="P79" i="25"/>
  <c r="AE60" i="20"/>
  <c r="M60" i="20" s="1"/>
  <c r="Q61" i="25"/>
  <c r="T69" i="25"/>
  <c r="Q87" i="25"/>
  <c r="AD4" i="20"/>
  <c r="V74" i="25"/>
  <c r="AK71" i="20"/>
  <c r="S71" i="20" s="1"/>
  <c r="Q88" i="25"/>
  <c r="M94" i="20"/>
  <c r="V88" i="25"/>
  <c r="S94" i="20"/>
  <c r="AC54" i="20"/>
  <c r="AC5" i="20" s="1"/>
  <c r="I49" i="25"/>
  <c r="I4" i="25" s="1"/>
  <c r="G49" i="25"/>
  <c r="G4" i="25" s="1"/>
  <c r="O85" i="25"/>
  <c r="AE96" i="20"/>
  <c r="P90" i="25"/>
  <c r="L96" i="20"/>
  <c r="Q76" i="25"/>
  <c r="U67" i="25"/>
  <c r="U63" i="25" s="1"/>
  <c r="R73" i="20"/>
  <c r="AJ68" i="20"/>
  <c r="R68" i="20" s="1"/>
  <c r="AI54" i="20"/>
  <c r="AI5" i="20" s="1"/>
  <c r="K56" i="20"/>
  <c r="V89" i="25"/>
  <c r="AK91" i="20"/>
  <c r="O69" i="25"/>
  <c r="Q55" i="25"/>
  <c r="T4" i="25"/>
  <c r="O4" i="25"/>
  <c r="Q71" i="25"/>
  <c r="S76" i="20"/>
  <c r="V70" i="25"/>
  <c r="AK79" i="20"/>
  <c r="U73" i="25"/>
  <c r="R79" i="20"/>
  <c r="V65" i="25"/>
  <c r="S70" i="20"/>
  <c r="AE95" i="20"/>
  <c r="L95" i="20"/>
  <c r="P89" i="25"/>
  <c r="AD91" i="20"/>
  <c r="U85" i="25"/>
  <c r="AK73" i="20"/>
  <c r="M69" i="20"/>
  <c r="Q64" i="25"/>
  <c r="Q63" i="25" s="1"/>
  <c r="S82" i="20"/>
  <c r="V76" i="25"/>
  <c r="P55" i="25"/>
  <c r="P51" i="25" s="1"/>
  <c r="L60" i="20"/>
  <c r="AJ4" i="20"/>
  <c r="AE56" i="20"/>
  <c r="AE68" i="20"/>
  <c r="L79" i="20"/>
  <c r="P73" i="25"/>
  <c r="AE79" i="20"/>
  <c r="U70" i="25"/>
  <c r="R76" i="20"/>
  <c r="AJ75" i="20"/>
  <c r="AE76" i="20"/>
  <c r="L76" i="20"/>
  <c r="P70" i="25"/>
  <c r="AD75" i="20"/>
  <c r="U51" i="25"/>
  <c r="Q57" i="25"/>
  <c r="Q80" i="25"/>
  <c r="Q79" i="25" s="1"/>
  <c r="AE85" i="20"/>
  <c r="V56" i="25"/>
  <c r="S61" i="20"/>
  <c r="AK56" i="20"/>
  <c r="AI79" i="25" l="1"/>
  <c r="BT85" i="20"/>
  <c r="M64" i="20"/>
  <c r="M93" i="20"/>
  <c r="BT56" i="20"/>
  <c r="S77" i="20"/>
  <c r="BD64" i="25"/>
  <c r="BD63" i="25" s="1"/>
  <c r="EG68" i="20"/>
  <c r="BI53" i="25"/>
  <c r="EM56" i="20"/>
  <c r="EM4" i="20"/>
  <c r="BC51" i="25"/>
  <c r="BC4" i="25"/>
  <c r="BI81" i="25"/>
  <c r="BI79" i="25" s="1"/>
  <c r="EM85" i="20"/>
  <c r="BD88" i="25"/>
  <c r="BD85" i="25" s="1"/>
  <c r="EG91" i="20"/>
  <c r="BD71" i="25"/>
  <c r="BD69" i="25" s="1"/>
  <c r="EG75" i="20"/>
  <c r="EG56" i="20"/>
  <c r="EG54" i="20" s="1"/>
  <c r="EG5" i="20" s="1"/>
  <c r="S87" i="20"/>
  <c r="EG4" i="20"/>
  <c r="BH51" i="25"/>
  <c r="BH4" i="25"/>
  <c r="BD4" i="25"/>
  <c r="BD51" i="25"/>
  <c r="EM75" i="20"/>
  <c r="BI66" i="25"/>
  <c r="BI63" i="25" s="1"/>
  <c r="EM68" i="20"/>
  <c r="BI69" i="25"/>
  <c r="M83" i="20"/>
  <c r="R56" i="20"/>
  <c r="EF54" i="20"/>
  <c r="EF5" i="20" s="1"/>
  <c r="AU63" i="25"/>
  <c r="M89" i="20"/>
  <c r="AV60" i="25"/>
  <c r="S65" i="20"/>
  <c r="M73" i="20"/>
  <c r="R85" i="20"/>
  <c r="CW68" i="20"/>
  <c r="M62" i="20"/>
  <c r="M59" i="20"/>
  <c r="AQ71" i="25"/>
  <c r="AQ69" i="25" s="1"/>
  <c r="CW75" i="20"/>
  <c r="R4" i="20"/>
  <c r="DC85" i="20"/>
  <c r="S85" i="20" s="1"/>
  <c r="AQ80" i="25"/>
  <c r="CW85" i="20"/>
  <c r="M85" i="20" s="1"/>
  <c r="AV87" i="25"/>
  <c r="AV85" i="25" s="1"/>
  <c r="S93" i="20"/>
  <c r="AV79" i="25"/>
  <c r="CV54" i="20"/>
  <c r="CV5" i="20" s="1"/>
  <c r="M77" i="20"/>
  <c r="AP4" i="25"/>
  <c r="AP51" i="25"/>
  <c r="AU4" i="25"/>
  <c r="AQ82" i="25"/>
  <c r="M88" i="20"/>
  <c r="AV54" i="25"/>
  <c r="DC56" i="20"/>
  <c r="DC4" i="20"/>
  <c r="AQ52" i="25"/>
  <c r="CW4" i="20"/>
  <c r="CW56" i="20"/>
  <c r="CW54" i="20" s="1"/>
  <c r="CW5" i="20" s="1"/>
  <c r="AV63" i="25"/>
  <c r="DB54" i="20"/>
  <c r="DB5" i="20" s="1"/>
  <c r="CW91" i="20"/>
  <c r="DC68" i="20"/>
  <c r="AI57" i="25"/>
  <c r="S62" i="20"/>
  <c r="BT4" i="20"/>
  <c r="M66" i="20"/>
  <c r="BT91" i="20"/>
  <c r="AI55" i="25"/>
  <c r="S60" i="20"/>
  <c r="L75" i="20"/>
  <c r="M68" i="20"/>
  <c r="AD51" i="25"/>
  <c r="BN56" i="20"/>
  <c r="AI53" i="25"/>
  <c r="AI51" i="25" s="1"/>
  <c r="S58" i="20"/>
  <c r="S95" i="20"/>
  <c r="AI85" i="25"/>
  <c r="BS54" i="20"/>
  <c r="BS5" i="20" s="1"/>
  <c r="AC79" i="25"/>
  <c r="Q54" i="20"/>
  <c r="Q5" i="20" s="1"/>
  <c r="S91" i="20"/>
  <c r="M82" i="20"/>
  <c r="R75" i="20"/>
  <c r="BN91" i="20"/>
  <c r="AH4" i="25"/>
  <c r="AD85" i="25"/>
  <c r="L91" i="20"/>
  <c r="S80" i="20"/>
  <c r="AI69" i="25"/>
  <c r="BT75" i="20"/>
  <c r="K54" i="20"/>
  <c r="K5" i="20" s="1"/>
  <c r="AD71" i="25"/>
  <c r="AD69" i="25" s="1"/>
  <c r="BN75" i="20"/>
  <c r="AD4" i="25"/>
  <c r="BN4" i="20"/>
  <c r="BM54" i="20"/>
  <c r="BM5" i="20" s="1"/>
  <c r="AI66" i="25"/>
  <c r="AI63" i="25" s="1"/>
  <c r="S72" i="20"/>
  <c r="L4" i="20"/>
  <c r="AC4" i="25"/>
  <c r="AC51" i="25"/>
  <c r="BT68" i="20"/>
  <c r="Q51" i="25"/>
  <c r="V85" i="25"/>
  <c r="U69" i="25"/>
  <c r="P69" i="25"/>
  <c r="AD54" i="20"/>
  <c r="AD5" i="20" s="1"/>
  <c r="P85" i="25"/>
  <c r="AJ54" i="20"/>
  <c r="AJ5" i="20" s="1"/>
  <c r="V73" i="25"/>
  <c r="V69" i="25" s="1"/>
  <c r="S79" i="20"/>
  <c r="AK75" i="20"/>
  <c r="M76" i="20"/>
  <c r="Q70" i="25"/>
  <c r="AE75" i="20"/>
  <c r="V67" i="25"/>
  <c r="V63" i="25" s="1"/>
  <c r="S73" i="20"/>
  <c r="AK4" i="20"/>
  <c r="P4" i="25"/>
  <c r="U4" i="25"/>
  <c r="Q73" i="25"/>
  <c r="M79" i="20"/>
  <c r="AK68" i="20"/>
  <c r="M96" i="20"/>
  <c r="Q90" i="25"/>
  <c r="M95" i="20"/>
  <c r="Q89" i="25"/>
  <c r="AE91" i="20"/>
  <c r="M91" i="20" s="1"/>
  <c r="AE4" i="20"/>
  <c r="V51" i="25"/>
  <c r="S56" i="20" l="1"/>
  <c r="BT54" i="20"/>
  <c r="BT5" i="20" s="1"/>
  <c r="R54" i="20"/>
  <c r="R5" i="20" s="1"/>
  <c r="EM54" i="20"/>
  <c r="EM5" i="20" s="1"/>
  <c r="BI51" i="25"/>
  <c r="BI4" i="25"/>
  <c r="S75" i="20"/>
  <c r="AQ79" i="25"/>
  <c r="AQ51" i="25"/>
  <c r="AQ4" i="25"/>
  <c r="S4" i="20"/>
  <c r="DC54" i="20"/>
  <c r="DC5" i="20" s="1"/>
  <c r="AV51" i="25"/>
  <c r="AV4" i="25"/>
  <c r="M56" i="20"/>
  <c r="BN54" i="20"/>
  <c r="BN5" i="20" s="1"/>
  <c r="AI4" i="25"/>
  <c r="L54" i="20"/>
  <c r="L5" i="20" s="1"/>
  <c r="M4" i="20"/>
  <c r="S68" i="20"/>
  <c r="V4" i="25"/>
  <c r="Q85" i="25"/>
  <c r="AK54" i="20"/>
  <c r="AK5" i="20" s="1"/>
  <c r="Q69" i="25"/>
  <c r="M75" i="20"/>
  <c r="AE54" i="20"/>
  <c r="AE5" i="20" s="1"/>
  <c r="Q4" i="25"/>
  <c r="S54" i="20" l="1"/>
  <c r="S5" i="20" s="1"/>
  <c r="M54" i="20"/>
  <c r="M5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tc={5700B218-B870-4222-908B-EAE9553D3F05}</author>
  </authors>
  <commentList>
    <comment ref="F551" authorId="0" shapeId="0" xr:uid="{5700B218-B870-4222-908B-EAE9553D3F05}">
      <text>
        <t>[Threaded comment]
Your version of Excel allows you to read this threaded comment; however, any edits to it will get removed if the file is opened in a newer version of Excel. Learn more: https://go.microsoft.com/fwlink/?linkid=870924
Comment:
    TBD by Kamal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<sst xmlns="http://schemas.openxmlformats.org/spreadsheetml/2006/main" count="9023" uniqueCount="3081">
  <si>
    <t>Packages Summary</t>
  </si>
  <si>
    <r>
      <rPr>
        <sz val="14"/>
        <color theme="0"/>
        <rFont val="Meta-Normal"/>
        <family val="3"/>
      </rPr>
      <t>0059</t>
    </r>
    <r>
      <rPr>
        <sz val="14"/>
        <color theme="0"/>
        <rFont val="Impact"/>
        <family val="2"/>
      </rPr>
      <t xml:space="preserve"> | Pursuit of a Radical Rhapsody | Tower 8</t>
    </r>
  </si>
  <si>
    <t>Total</t>
  </si>
  <si>
    <t>Released Till Date</t>
  </si>
  <si>
    <t>Released Till Dec 23</t>
  </si>
  <si>
    <t>Balance</t>
  </si>
  <si>
    <t>AR</t>
  </si>
  <si>
    <t>Planned Packages CY 24</t>
  </si>
  <si>
    <t>Q1</t>
  </si>
  <si>
    <t>Q2</t>
  </si>
  <si>
    <t>Q3</t>
  </si>
  <si>
    <t>Q4</t>
  </si>
  <si>
    <t>Actual Packages CY 24</t>
  </si>
  <si>
    <t>ST</t>
  </si>
  <si>
    <t>MEP</t>
  </si>
  <si>
    <t>UDLS</t>
  </si>
  <si>
    <t>Design Packages</t>
  </si>
  <si>
    <t>Design Fees</t>
  </si>
  <si>
    <t xml:space="preserve">DESIGN </t>
  </si>
  <si>
    <t>Contract + Design Brief</t>
  </si>
  <si>
    <t>Vision Statement</t>
  </si>
  <si>
    <t xml:space="preserve">Land - Topographical Survey with information as per defined standard, </t>
  </si>
  <si>
    <t>Zoning &amp; Development Regulations</t>
  </si>
  <si>
    <t>Design Brief</t>
  </si>
  <si>
    <t>Schematic Concept</t>
  </si>
  <si>
    <t>Master Plan</t>
  </si>
  <si>
    <t>Blocks and Products</t>
  </si>
  <si>
    <t>Amenities &amp; Facilities</t>
  </si>
  <si>
    <t>Design Basis</t>
  </si>
  <si>
    <t>Pre Construction Set</t>
  </si>
  <si>
    <t>Blocks</t>
  </si>
  <si>
    <t>Products</t>
  </si>
  <si>
    <t>Approvals</t>
  </si>
  <si>
    <t>Development Plan</t>
  </si>
  <si>
    <t>Building Plan</t>
  </si>
  <si>
    <t>Fire Safety</t>
  </si>
  <si>
    <t>Environment</t>
  </si>
  <si>
    <t>Water Supply and Sewerage</t>
  </si>
  <si>
    <t>Power Supply</t>
  </si>
  <si>
    <t>Airport Authority</t>
  </si>
  <si>
    <t>Marketing and Sales</t>
  </si>
  <si>
    <t>Masterplan</t>
  </si>
  <si>
    <t>Specifications</t>
  </si>
  <si>
    <t>Clubhouse Design with list of Amenities</t>
  </si>
  <si>
    <t>Renders, Walk-through and Scaled model</t>
  </si>
  <si>
    <t>Project Entrance and Boundary wall</t>
  </si>
  <si>
    <t>Sales Centre and Experience Homes [Construction Docs]</t>
  </si>
  <si>
    <t>CONSTRUCTION DOCUMENTS</t>
  </si>
  <si>
    <t>BB01</t>
  </si>
  <si>
    <r>
      <t>GFC | Tower—</t>
    </r>
    <r>
      <rPr>
        <b/>
        <sz val="10"/>
        <color theme="1"/>
        <rFont val="Meta-Normal"/>
        <family val="3"/>
      </rPr>
      <t>08</t>
    </r>
  </si>
  <si>
    <t>T08-1</t>
  </si>
  <si>
    <t>Foundation and Grade Slab</t>
  </si>
  <si>
    <t>T08-2</t>
  </si>
  <si>
    <t>Parking Level-Sub grade</t>
  </si>
  <si>
    <t>T08-3</t>
  </si>
  <si>
    <t>Building Envelope and Common Areas [Basement]</t>
  </si>
  <si>
    <t>T08-4</t>
  </si>
  <si>
    <r>
      <t xml:space="preserve">Habitable Level </t>
    </r>
    <r>
      <rPr>
        <sz val="10"/>
        <color theme="1"/>
        <rFont val="Meta-Normal"/>
        <family val="3"/>
      </rPr>
      <t>01</t>
    </r>
  </si>
  <si>
    <t>T08-5</t>
  </si>
  <si>
    <t>Habitable Level - Even</t>
  </si>
  <si>
    <t>T08-6</t>
  </si>
  <si>
    <t>Habitable Level - Odd</t>
  </si>
  <si>
    <t>T08-7</t>
  </si>
  <si>
    <t>Building Envelope and Common Areas [Typical Tower Levels]</t>
  </si>
  <si>
    <t>T08-8</t>
  </si>
  <si>
    <t>Penthouse Levels</t>
  </si>
  <si>
    <t>T08-9</t>
  </si>
  <si>
    <t>Terrace Level</t>
  </si>
  <si>
    <t>T08-10</t>
  </si>
  <si>
    <t>Building Envelope and Common Areas [Penthouse Levels And Terrace Level]</t>
  </si>
  <si>
    <t>BB02</t>
  </si>
  <si>
    <t>GFC | Independent Subgrade Structure - Tower 8</t>
  </si>
  <si>
    <t>BB02-1</t>
  </si>
  <si>
    <t>Earthwork</t>
  </si>
  <si>
    <t>BB02-2</t>
  </si>
  <si>
    <t>Foundations &amp; Grade Slab</t>
  </si>
  <si>
    <t>BB02-3</t>
  </si>
  <si>
    <t>Podium Slab</t>
  </si>
  <si>
    <t>BB02-4</t>
  </si>
  <si>
    <t>Building Envelope and Common Areas</t>
  </si>
  <si>
    <t>PD</t>
  </si>
  <si>
    <t>GFC | Individual Homes</t>
  </si>
  <si>
    <t>R25-1</t>
  </si>
  <si>
    <t>R25 Default and it's variants</t>
  </si>
  <si>
    <t>L20-1</t>
  </si>
  <si>
    <t>L20 Default and it's variants</t>
  </si>
  <si>
    <t>D35-1</t>
  </si>
  <si>
    <t>D35 Default and it's variants</t>
  </si>
  <si>
    <t>L22-1</t>
  </si>
  <si>
    <t>L22 Default and it's variants</t>
  </si>
  <si>
    <t>R25P-1</t>
  </si>
  <si>
    <t>R25 P Default and it's variants</t>
  </si>
  <si>
    <t>L20P-1</t>
  </si>
  <si>
    <t>L20 P Default and it's variants</t>
  </si>
  <si>
    <t>D35P-1</t>
  </si>
  <si>
    <t>D35 P Default and it's variants</t>
  </si>
  <si>
    <t>L22P-1</t>
  </si>
  <si>
    <t>L22 P Default and it's variants</t>
  </si>
  <si>
    <t>MP</t>
  </si>
  <si>
    <t>GFC | Master Plan</t>
  </si>
  <si>
    <t>SDV-1</t>
  </si>
  <si>
    <t>SDV-2</t>
  </si>
  <si>
    <t>Site Development</t>
  </si>
  <si>
    <t>SDV-3</t>
  </si>
  <si>
    <t>Site MEP</t>
  </si>
  <si>
    <t>SDV-4</t>
  </si>
  <si>
    <t>Landscaping</t>
  </si>
  <si>
    <t>AM</t>
  </si>
  <si>
    <t>GFC | Amenities &amp; Facilities</t>
  </si>
  <si>
    <t>AMN-1</t>
  </si>
  <si>
    <t>Clubhouse—Structure and Envelope</t>
  </si>
  <si>
    <t>AMN-2</t>
  </si>
  <si>
    <t>Clubhouse—Interiors and Facilities</t>
  </si>
  <si>
    <t>AMN-3</t>
  </si>
  <si>
    <t>Clubhouse—Outdoor Spaces and Pool</t>
  </si>
  <si>
    <t>AMN-4</t>
  </si>
  <si>
    <t>Community spaces [Board Walk, Children play area]</t>
  </si>
  <si>
    <t>AMN-5</t>
  </si>
  <si>
    <t>Sporting Facilities</t>
  </si>
  <si>
    <t>POST-CONSTRUCTION</t>
  </si>
  <si>
    <t>Archives</t>
  </si>
  <si>
    <t xml:space="preserve">Complete set of "As-Built" drawings, final BoQ and project costs, </t>
  </si>
  <si>
    <t>Packages Design Fee</t>
  </si>
  <si>
    <t>Planned Billing CY 2024</t>
  </si>
  <si>
    <t>Actual Billing for CY 2024</t>
  </si>
  <si>
    <t>Status [in %]</t>
  </si>
  <si>
    <t>Status [GFC's]</t>
  </si>
  <si>
    <t>Issued Packages CY 24</t>
  </si>
  <si>
    <r>
      <rPr>
        <sz val="18"/>
        <color theme="0"/>
        <rFont val="Meta-Normal"/>
        <family val="3"/>
      </rPr>
      <t>0059</t>
    </r>
    <r>
      <rPr>
        <sz val="18"/>
        <color theme="0"/>
        <rFont val="Impact"/>
        <family val="2"/>
      </rPr>
      <t xml:space="preserve"> | Pursuit of a Radical Rhapsody | Tower 8</t>
    </r>
  </si>
  <si>
    <t>Total Fee</t>
  </si>
  <si>
    <t>Billed till Dec'25</t>
  </si>
  <si>
    <t>Planned Billing CY 26</t>
  </si>
  <si>
    <t>Actual Billing CY 26</t>
  </si>
  <si>
    <t>Fee</t>
  </si>
  <si>
    <t>Billed YTD</t>
  </si>
  <si>
    <t>Completed till Dec'25</t>
  </si>
  <si>
    <t>Plan in 
FY: 26</t>
  </si>
  <si>
    <t>Actual in CY : 26</t>
  </si>
  <si>
    <t>Issued till Dec'25</t>
  </si>
  <si>
    <t>Plan in FY - 26</t>
  </si>
  <si>
    <t>Actual in CY - 26</t>
  </si>
  <si>
    <t>LDS</t>
  </si>
  <si>
    <t>REMARKS</t>
  </si>
  <si>
    <t>GFC Release</t>
  </si>
  <si>
    <t>Status</t>
  </si>
  <si>
    <t>ITD24</t>
  </si>
  <si>
    <t>P25</t>
  </si>
  <si>
    <t>A25</t>
  </si>
  <si>
    <t>Experience Home + Project Experience</t>
  </si>
  <si>
    <t>Tree Planting Plan</t>
  </si>
  <si>
    <t>BB01-1</t>
  </si>
  <si>
    <t>BB01-2</t>
  </si>
  <si>
    <t>BB01-3</t>
  </si>
  <si>
    <t>BB01-4</t>
  </si>
  <si>
    <t>Habitable Level 01</t>
  </si>
  <si>
    <t>BB01-5</t>
  </si>
  <si>
    <t>BB01-6</t>
  </si>
  <si>
    <t>BB01-7</t>
  </si>
  <si>
    <t>BB01-8</t>
  </si>
  <si>
    <t>BB01-9</t>
  </si>
  <si>
    <t>BB01-10</t>
  </si>
  <si>
    <t>Parking level Subgrade</t>
  </si>
  <si>
    <t>BB02-5</t>
  </si>
  <si>
    <t>MP-1</t>
  </si>
  <si>
    <t>MP-2</t>
  </si>
  <si>
    <t>MP-3</t>
  </si>
  <si>
    <t>MP-4</t>
  </si>
  <si>
    <t>AM-1</t>
  </si>
  <si>
    <t>AM-2</t>
  </si>
  <si>
    <t>AM-3</t>
  </si>
  <si>
    <t>AM-4</t>
  </si>
  <si>
    <t>AM-5</t>
  </si>
  <si>
    <t>ITD25</t>
  </si>
  <si>
    <t>P26</t>
  </si>
  <si>
    <t>A26</t>
  </si>
  <si>
    <t>ITD26</t>
  </si>
  <si>
    <t>P27</t>
  </si>
  <si>
    <t>A27</t>
  </si>
  <si>
    <t>0059 | Pursuit of a Radical Rhapsody</t>
  </si>
  <si>
    <t>Location</t>
  </si>
  <si>
    <t>Batch Code</t>
  </si>
  <si>
    <t>Batch</t>
  </si>
  <si>
    <t>Issued till Dec 25</t>
  </si>
  <si>
    <t>Revision</t>
  </si>
  <si>
    <t>Plan in FY 26</t>
  </si>
  <si>
    <t>Issued in FY 26</t>
  </si>
  <si>
    <t>Plan in 
FY 26</t>
  </si>
  <si>
    <t>Issued in 
FY 26</t>
  </si>
  <si>
    <t>AR | DRAWING LIST</t>
  </si>
  <si>
    <t>Not Applicable</t>
  </si>
  <si>
    <t>Setting-Out</t>
  </si>
  <si>
    <t>A-T8B-4601</t>
  </si>
  <si>
    <t>Staircase 07 Details 01</t>
  </si>
  <si>
    <t>R0</t>
  </si>
  <si>
    <t>A-T8B-4602</t>
  </si>
  <si>
    <t>Staircase 07 Details 02</t>
  </si>
  <si>
    <t>BB03</t>
  </si>
  <si>
    <t>A-T8B-4610</t>
  </si>
  <si>
    <t>Staircase 08 Details 01</t>
  </si>
  <si>
    <t>BB04</t>
  </si>
  <si>
    <t>A-T8B-4611</t>
  </si>
  <si>
    <t>Staircase 08 Details 02</t>
  </si>
  <si>
    <t>BB05</t>
  </si>
  <si>
    <t>A-T8B-4101</t>
  </si>
  <si>
    <t>ISS KEY PLAN &amp; SECTIONS (1/1)</t>
  </si>
  <si>
    <t>A-T8B-4102</t>
  </si>
  <si>
    <t>STP DETAILS (1/4)</t>
  </si>
  <si>
    <t>A-T8B-4103</t>
  </si>
  <si>
    <t>STP DETAILS (2/4)</t>
  </si>
  <si>
    <t>A-T8B-4104</t>
  </si>
  <si>
    <t>STP DETAILS (3/4)</t>
  </si>
  <si>
    <t>A-T8B-4105</t>
  </si>
  <si>
    <t>STP DETAILS (4/4)</t>
  </si>
  <si>
    <t>A-T8B-4106</t>
  </si>
  <si>
    <t>UGT DETAILS (1/4)</t>
  </si>
  <si>
    <t>A-T8B-4107</t>
  </si>
  <si>
    <t>UGT DETAILS (2/4)</t>
  </si>
  <si>
    <t>A-T8B-4108</t>
  </si>
  <si>
    <t>UGT DETAILS (3/4)</t>
  </si>
  <si>
    <t>A-T8B-4109</t>
  </si>
  <si>
    <t>UGT DETAILS (4/4)</t>
  </si>
  <si>
    <t>Ramp Details</t>
  </si>
  <si>
    <t>Drainage Plan</t>
  </si>
  <si>
    <t>Site Level Drawings</t>
  </si>
  <si>
    <t>Floor Plans, General Arrangement Plans</t>
  </si>
  <si>
    <t>General Arrangement Elevations</t>
  </si>
  <si>
    <t>General Arrangement Sections</t>
  </si>
  <si>
    <t>Electrical Plans</t>
  </si>
  <si>
    <t>Masonry Setout Plans, Details</t>
  </si>
  <si>
    <t>Flooring Plans And Details</t>
  </si>
  <si>
    <t>Detailed Elevations/ Part Elevations</t>
  </si>
  <si>
    <t>A-T8B-4160</t>
  </si>
  <si>
    <t>STAFF LOUNGE AND TOILET KEY PLAN</t>
  </si>
  <si>
    <t>A-T8B-4161</t>
  </si>
  <si>
    <t>STAFF LOUNGE- MALE AND PANTRY</t>
  </si>
  <si>
    <t>A-T8B-4162</t>
  </si>
  <si>
    <t>STAFF LOUNGE - FEMALE AND PANTRY</t>
  </si>
  <si>
    <t>A-T8B-4171</t>
  </si>
  <si>
    <t>STAFF TOILET DETAILS - FEMALE</t>
  </si>
  <si>
    <t>A-T8B-4176</t>
  </si>
  <si>
    <t>STAFF TOILET DETAILS - MALE</t>
  </si>
  <si>
    <t>A-T8B-4177</t>
  </si>
  <si>
    <t>ELECTRICAL PLAN -STAFF LOUNGE AND TOILET</t>
  </si>
  <si>
    <t>A-T8B-4178</t>
  </si>
  <si>
    <t>ELECTRICAL SCHEDULE - STAFF LOUNGE AND TOILET</t>
  </si>
  <si>
    <t>A-T8B-7001</t>
  </si>
  <si>
    <t>STAFF LOUNGE AND TOILET SPECIFICATIONS</t>
  </si>
  <si>
    <t>A-T8-4116</t>
  </si>
  <si>
    <t>BIFOLD RAILING DETAILS- UGT</t>
  </si>
  <si>
    <t>A-T8B-4713</t>
  </si>
  <si>
    <t>DOOR DETAILS - D14</t>
  </si>
  <si>
    <t>A-T8B-4719</t>
  </si>
  <si>
    <t>DOOR DETAILS - D25</t>
  </si>
  <si>
    <t>A-T8B-4720</t>
  </si>
  <si>
    <t>DOOR DETAILS - D26</t>
  </si>
  <si>
    <t>A-T8B-4747</t>
  </si>
  <si>
    <t>SHAFT DOOR DETAILS - SD26A</t>
  </si>
  <si>
    <t>A-T8B-4748</t>
  </si>
  <si>
    <t>SHAFT DOOR DETAILS - SD27</t>
  </si>
  <si>
    <t>A-T8B-4749</t>
  </si>
  <si>
    <t>SHAFT DOOR DETAILS - SD28</t>
  </si>
  <si>
    <t>A-T8B-4750</t>
  </si>
  <si>
    <t>DOOR DETAILS - D28</t>
  </si>
  <si>
    <t>A-T8B-4752</t>
  </si>
  <si>
    <t>WINDOW DETAILS - W11 - STAFF LOUNGE</t>
  </si>
  <si>
    <t>A-T8B-4753</t>
  </si>
  <si>
    <t>WINDOW DETAILS - W50 - STP</t>
  </si>
  <si>
    <t>A-T8B-7101</t>
  </si>
  <si>
    <t>ISS DOOR-SHAFT DOOR SCHEDULE</t>
  </si>
  <si>
    <t>Detailed Sections/ Part Sections</t>
  </si>
  <si>
    <t>Doors And Windows</t>
  </si>
  <si>
    <t>Glazing Details</t>
  </si>
  <si>
    <t>Terrace Garden</t>
  </si>
  <si>
    <t>Doors And Windows Schedule</t>
  </si>
  <si>
    <t>Finishes Schedule</t>
  </si>
  <si>
    <t>Metal Fabrication</t>
  </si>
  <si>
    <t>Switchboard Schedule</t>
  </si>
  <si>
    <t>Luminaire Schedule</t>
  </si>
  <si>
    <t>Furniture, Fixtures &amp; Equipment Schedule</t>
  </si>
  <si>
    <t>Signage &amp; Branding</t>
  </si>
  <si>
    <t>Reflected Ceiling Plans</t>
  </si>
  <si>
    <t>GFC | Tower—08</t>
  </si>
  <si>
    <t>Setting Out</t>
  </si>
  <si>
    <t>A-T8-0001</t>
  </si>
  <si>
    <t>G.A. PLAN - SITE &amp; SURROUNDINGS</t>
  </si>
  <si>
    <t>A-T8-0010</t>
  </si>
  <si>
    <t>GA - SITE PLAN</t>
  </si>
  <si>
    <t>G.A. PLAN - SITE (PODIUM)</t>
  </si>
  <si>
    <t>A-T8-0021</t>
  </si>
  <si>
    <t>SETTING OUT PLAN - BASEMENT 04 (GRADE SLAB)</t>
  </si>
  <si>
    <t>R3</t>
  </si>
  <si>
    <t>A-T8-0022</t>
  </si>
  <si>
    <t>SETTING OUT - PROFILE OF BASEMENTS 02 &amp; 01</t>
  </si>
  <si>
    <t>A-T8-0026</t>
  </si>
  <si>
    <t>SETTING OUT PLAN - FOUNDATIONS - BASEMENT 04 (GRADE SLAB)</t>
  </si>
  <si>
    <t>A-T8-0031</t>
  </si>
  <si>
    <t>SETTING OUT OF COLUMNS - BASEMENT 4 (GRADE SLAB)</t>
  </si>
  <si>
    <t>A-T8-0051</t>
  </si>
  <si>
    <t>SITE SECTION - 1</t>
  </si>
  <si>
    <t>G.A. SITE SECTIONS 1</t>
  </si>
  <si>
    <t>A-T8-0052</t>
  </si>
  <si>
    <t>SITE SECTION 2</t>
  </si>
  <si>
    <t>G.A. SITE SECTIONS 2</t>
  </si>
  <si>
    <t>A-T8-1000</t>
  </si>
  <si>
    <t>G.A. PLAN - STILT</t>
  </si>
  <si>
    <t>G.A. PLAN - STILT (PODIUM)</t>
  </si>
  <si>
    <t>A-T8-1001</t>
  </si>
  <si>
    <t>G.A. PLAN - LEVEL 1</t>
  </si>
  <si>
    <t>A-T8-1002</t>
  </si>
  <si>
    <t>G.A. PLAN - TYPICAL EVEN LEVEL</t>
  </si>
  <si>
    <t>A-T8-1003</t>
  </si>
  <si>
    <t>G.A. PLAN - TYPICAL ODD LEVEL</t>
  </si>
  <si>
    <t>A-T8-1019</t>
  </si>
  <si>
    <t>G.A. PLAN - LEVELS 19 &amp; 29 (REFUGE LEVELS)</t>
  </si>
  <si>
    <t>G.A. PLAN LEVEL 19&amp; 29 (REFUGE LEVELS)</t>
  </si>
  <si>
    <t>A-T8-1031</t>
  </si>
  <si>
    <t>G.A. PLAN - LEVEL 31</t>
  </si>
  <si>
    <t>G.A. PLAN LEVEL 31</t>
  </si>
  <si>
    <t>A-T8-1032</t>
  </si>
  <si>
    <t>G.A. PLAN - LEVEL 32</t>
  </si>
  <si>
    <t>G.A. PLAN LEVEL 32</t>
  </si>
  <si>
    <t>A-T8-1033</t>
  </si>
  <si>
    <t>G.A. PLAN - LEVEL 33</t>
  </si>
  <si>
    <t>G.A. PLAN LEVEL 33</t>
  </si>
  <si>
    <t>A-T8-1034</t>
  </si>
  <si>
    <t>G.A. PLAN - TERRACE - LEVEL 34</t>
  </si>
  <si>
    <t>A-T8-2001</t>
  </si>
  <si>
    <t>G.A. ELEVATION - EAST</t>
  </si>
  <si>
    <t>A-T8-2002</t>
  </si>
  <si>
    <t>G.A. ELEVATION - SOUTH</t>
  </si>
  <si>
    <t>A-T8-2003</t>
  </si>
  <si>
    <t>G.A. ELEVATION - WEST</t>
  </si>
  <si>
    <t>A-T8-2004</t>
  </si>
  <si>
    <t>G.A. ELEVATION - NORTH</t>
  </si>
  <si>
    <t>A-T8-3001</t>
  </si>
  <si>
    <t>G.A. SECTION 1</t>
  </si>
  <si>
    <t>A-T8-3002</t>
  </si>
  <si>
    <t>G.A. SECTION 2</t>
  </si>
  <si>
    <t>A-T8-3003</t>
  </si>
  <si>
    <t>G.A. SECTION 3</t>
  </si>
  <si>
    <t>A-T8-3004</t>
  </si>
  <si>
    <t>G.A. SECTION 4</t>
  </si>
  <si>
    <t>A-T8-3005</t>
  </si>
  <si>
    <t>G.A. SECTION 5</t>
  </si>
  <si>
    <t>A-T8-3006</t>
  </si>
  <si>
    <t>G.A. SECTION 6</t>
  </si>
  <si>
    <t>A-T8-4601</t>
  </si>
  <si>
    <t>STAIRCASE-1 DETAILS 1</t>
  </si>
  <si>
    <t>STAIRCASE DETAILS - STAIRCASE 1 - 1OF2</t>
  </si>
  <si>
    <t>A-T8-4602</t>
  </si>
  <si>
    <t>STAIRCASE-1 DETAILS 2</t>
  </si>
  <si>
    <t>STAIRCASE DETAILS - STAIRCASE 1 - 2OF2</t>
  </si>
  <si>
    <t>A-T8-4606</t>
  </si>
  <si>
    <t>STAIRCASE-2 DETAILS 1</t>
  </si>
  <si>
    <t>STAIRCASE DETAILS - STAIRCASE 2 - 1OF2</t>
  </si>
  <si>
    <t>A-T8-4607</t>
  </si>
  <si>
    <t>STAIRCASE-2 DETAILS 2</t>
  </si>
  <si>
    <t>STAIRCASE DETAILS - STAIRCASE 2 - 2OF2</t>
  </si>
  <si>
    <t>A-T8-4608</t>
  </si>
  <si>
    <t>STAIRCASE-2 DETAILS 3</t>
  </si>
  <si>
    <t>A-T8-4611</t>
  </si>
  <si>
    <t>STAIRCASE 3 DETAILS 1</t>
  </si>
  <si>
    <t>STAIRCASE DETAILS - STAIRCASE 3 - 1OF2</t>
  </si>
  <si>
    <t>A-T8-4612</t>
  </si>
  <si>
    <t>STAIRCASE 3 DETAILS 2</t>
  </si>
  <si>
    <t>STAIRCASE DETAILS - STAIRCASE 3 - 2OF2</t>
  </si>
  <si>
    <t>A-T8-4613</t>
  </si>
  <si>
    <t>STAIRCASE 3 DETAILS 3</t>
  </si>
  <si>
    <t>A-T8-4616</t>
  </si>
  <si>
    <t>STAIRCASE 4 DETAILS 1</t>
  </si>
  <si>
    <t>STAIRCASE DETAILS - STAIRCASE 4 - 1OF2</t>
  </si>
  <si>
    <t>A-T8-4617</t>
  </si>
  <si>
    <t>STAIRCASE 4 DETAILS 2</t>
  </si>
  <si>
    <t>STAIRCASE DETAILS - STAIRCASE 4 - 2OF2</t>
  </si>
  <si>
    <t>A-T8-4618</t>
  </si>
  <si>
    <t>STAIRCASE 4 DETAILS 3</t>
  </si>
  <si>
    <t>A-T8-4621</t>
  </si>
  <si>
    <t>STAIRCASE 5 DETAILS 1</t>
  </si>
  <si>
    <t>STAIRCASE DETAILS - STAIRCASE 5 - 1OF2</t>
  </si>
  <si>
    <t>A-T8-4622</t>
  </si>
  <si>
    <t>STAIRCASE 5 DETAILS 2</t>
  </si>
  <si>
    <t>STAIRCASE DETAILS - STAIRCASE 5 - 2OF2</t>
  </si>
  <si>
    <t>A-T8-4651</t>
  </si>
  <si>
    <t>STAIRCASE STANDARD DETAILS</t>
  </si>
  <si>
    <t>A-T8-5101</t>
  </si>
  <si>
    <t>ENTRY- RAMP 1 DETAIL - 1</t>
  </si>
  <si>
    <t>ENTRY RAMP</t>
  </si>
  <si>
    <t>A-T8-5102</t>
  </si>
  <si>
    <t>ENTRY- RAMP 1 DETAIL - 2</t>
  </si>
  <si>
    <t>ENTRY RAMP DETAILS</t>
  </si>
  <si>
    <t>A-T8-5103</t>
  </si>
  <si>
    <t>ENTRY- RAMP 1 DETAIL - 3</t>
  </si>
  <si>
    <t>A-T8-5104</t>
  </si>
  <si>
    <t>A-T8-5105</t>
  </si>
  <si>
    <t>EXIT- RAMP 2 DETAIL - 1</t>
  </si>
  <si>
    <t>EXIT RAMP DETAILS</t>
  </si>
  <si>
    <t>A-T8-5106</t>
  </si>
  <si>
    <t>EXIT- RAMP 2 DETAIL - 2</t>
  </si>
  <si>
    <t>A-T8-5107</t>
  </si>
  <si>
    <t>EXIT- RAMP 2 DETAIL - 3</t>
  </si>
  <si>
    <t>A-T8-5110</t>
  </si>
  <si>
    <t>STANDARD DETAILS FOR RAMPS - 1</t>
  </si>
  <si>
    <t>A-T8-5111</t>
  </si>
  <si>
    <t>STANDARD DETAILS FOR RAMPS - 2</t>
  </si>
  <si>
    <t>A-T8-6401</t>
  </si>
  <si>
    <t>LIFTS - TYPICAL SECTIONAL DETAILS</t>
  </si>
  <si>
    <t>ELEVATOR DETAIL - 1 OF 2</t>
  </si>
  <si>
    <t>A-T8-G000</t>
  </si>
  <si>
    <t>COVER PAGE</t>
  </si>
  <si>
    <t>A-T8B-1001</t>
  </si>
  <si>
    <t>G.A. PLAN - BASEMENT 1</t>
  </si>
  <si>
    <t>G.A. PLAN BASEMENT 1</t>
  </si>
  <si>
    <t>A-T8B-1002</t>
  </si>
  <si>
    <t>G.A. PLAN - BASEMENT 2</t>
  </si>
  <si>
    <t>G.A. PLAN BASEMENT 2</t>
  </si>
  <si>
    <t>A-T8B-1003</t>
  </si>
  <si>
    <t>G.A. PLAN - BASEMENT 3</t>
  </si>
  <si>
    <t>G.A. PLAN BASEMENT 3</t>
  </si>
  <si>
    <t>A-T8B-1004</t>
  </si>
  <si>
    <t>G.A. PLAN - BASEMENT 4</t>
  </si>
  <si>
    <t>G.A. PLAN BASEMENT 4</t>
  </si>
  <si>
    <t>A-T8B-1101</t>
  </si>
  <si>
    <t>MASONRY PLAN - BASEMENT 1</t>
  </si>
  <si>
    <t>A-T8B-1106</t>
  </si>
  <si>
    <t>MASONRY PLAN - BASEMENT 2</t>
  </si>
  <si>
    <t>A-T8B-1107</t>
  </si>
  <si>
    <t>MASONRY PLAN - BASEMENT 3</t>
  </si>
  <si>
    <t>A-T8B-1108</t>
  </si>
  <si>
    <t>MASONRY PLAN - BASEMENT 4</t>
  </si>
  <si>
    <t>A-T8B-1401</t>
  </si>
  <si>
    <t>ELECTRICAL PLAN - BASEMENT 01 KEYPLAN</t>
  </si>
  <si>
    <t>A-T8B-1402</t>
  </si>
  <si>
    <t>ELECTRICAL PLAN - BASEMENT 01 (1 of 3)</t>
  </si>
  <si>
    <t>A-T8B-1403</t>
  </si>
  <si>
    <t>ELECTRICAL PLAN - BASEMENT 01 (2 of 3)</t>
  </si>
  <si>
    <t>A-T8B-1404</t>
  </si>
  <si>
    <t>ELECTRICAL PLAN - BASEMENT 01 (3 of 3)</t>
  </si>
  <si>
    <t>A-T8B-1411</t>
  </si>
  <si>
    <t>ELECTRICAL PLAN - BASEMENT 02 KEYPLAN</t>
  </si>
  <si>
    <t>A-T8B-1412</t>
  </si>
  <si>
    <t>ELECTRICAL PLAN - BASEMENT 02 (1 of 3)</t>
  </si>
  <si>
    <t>A-T8B-1413</t>
  </si>
  <si>
    <t>ELECTRICAL PLAN - BASEMENT 02 (2 of 3)</t>
  </si>
  <si>
    <t>A-T8B-1414</t>
  </si>
  <si>
    <t>ELECTRICAL PLAN - BASEMENT 02 (3 of 3)</t>
  </si>
  <si>
    <t>A-T8B-1421</t>
  </si>
  <si>
    <t>ELECTRICAL PLAN - BASEMENT 03 KEYPLAN</t>
  </si>
  <si>
    <t>A-T8B-1422</t>
  </si>
  <si>
    <t>ELECTRICAL PLAN - BASEMENT 03 (1 of 3)</t>
  </si>
  <si>
    <t>A-T8B-1423</t>
  </si>
  <si>
    <t>ELECTRICAL PLAN - BASEMENT 03 (2 of 3)</t>
  </si>
  <si>
    <t>A-T8B-1424</t>
  </si>
  <si>
    <t>ELECTRICAL PLAN - BASEMENT 03 (3 of 3)</t>
  </si>
  <si>
    <t>A-T8B-1431</t>
  </si>
  <si>
    <t>ELECTRICAL PLAN - BASEMENT 04 KEYPLAN</t>
  </si>
  <si>
    <t>A-T8B-1432</t>
  </si>
  <si>
    <t>ELECTRICAL PLAN - BASEMENT 04 (1 of 3)</t>
  </si>
  <si>
    <t>A-T8B-1433</t>
  </si>
  <si>
    <t>ELECTRICAL PLAN - BASEMENT 04 (2 of 3)</t>
  </si>
  <si>
    <t>A-T8B-1434</t>
  </si>
  <si>
    <t>ELECTRICAL PLAN - BASEMENT 04 (3 of 3)</t>
  </si>
  <si>
    <t>A-T8-4181</t>
  </si>
  <si>
    <t>Lobby Standard Details</t>
  </si>
  <si>
    <t>A-T8-6601</t>
  </si>
  <si>
    <t>LOBBY SIGNAGE STANDARD DETAILS</t>
  </si>
  <si>
    <t>A-T8.1-4101</t>
  </si>
  <si>
    <t>WING 01 LIFT LOBBY DETAILS-01</t>
  </si>
  <si>
    <t>A-T8.1-4102</t>
  </si>
  <si>
    <t>WING 01 LIFT LOBBY DETAILS-02</t>
  </si>
  <si>
    <t>A-T8.1-4103</t>
  </si>
  <si>
    <t>WING 01 LIFT LOBBY DETAILS-03</t>
  </si>
  <si>
    <t>A-T8.1-4106</t>
  </si>
  <si>
    <t>WING 01 FIRE TOWER LOBBY DETAILS-01</t>
  </si>
  <si>
    <t>A-T8.1-4107</t>
  </si>
  <si>
    <t>WING 01 FIRE TOWER LOBBY DETAILS-02</t>
  </si>
  <si>
    <t>A-T8.1-4108</t>
  </si>
  <si>
    <t>WING 01 FIRE TOWER LOBBY DETAILS-03</t>
  </si>
  <si>
    <t>A-T8.2-4101</t>
  </si>
  <si>
    <t>WING 2 LIFT LOBBY DETAILS (BASEMENT 4)</t>
  </si>
  <si>
    <t>A-T8.2-4102</t>
  </si>
  <si>
    <t>WING 2 LIFT LOBBY DETAILS (BASEMENT 3)</t>
  </si>
  <si>
    <t>A-T8.2-4103</t>
  </si>
  <si>
    <t>WING 2 LIFT LOBBY DETAILS (BASEMENT 2)</t>
  </si>
  <si>
    <t>A-T8.2-4104</t>
  </si>
  <si>
    <t>WING 2 LIFT LOBBY DETAILS (BASEMENT 1)</t>
  </si>
  <si>
    <t>A-T8.2-4105</t>
  </si>
  <si>
    <t>WING 2 LIFT LOBBY DETAILS (STILT)</t>
  </si>
  <si>
    <t>BASEMENT 01 - MASONRY PLAN - PART A</t>
  </si>
  <si>
    <t>A-T8B-1102</t>
  </si>
  <si>
    <t>BASEMENT 01 - MASONRY PLAN - PART B</t>
  </si>
  <si>
    <t>A-T8B-1103</t>
  </si>
  <si>
    <t>BASEMENT 01 - MASONRY PLAN - PART C</t>
  </si>
  <si>
    <t>BASEMENT 02 - MASONRY PLAN - PART A</t>
  </si>
  <si>
    <t>BASEMENT 02 - MASONRY PLAN - PART B</t>
  </si>
  <si>
    <t>BASEMENT 02 - MASONRY PLAN - PART C</t>
  </si>
  <si>
    <t>A-T8B-1111</t>
  </si>
  <si>
    <t>BASEMENT 03 - MASONRY PLAN - PART A</t>
  </si>
  <si>
    <t>A-T8B-1112</t>
  </si>
  <si>
    <t>BASEMENT 03 - MASONRY PLAN - PART B</t>
  </si>
  <si>
    <t>A-T8B-1113</t>
  </si>
  <si>
    <t>BASEMENT 03 - MASONRY PLAN - PART C</t>
  </si>
  <si>
    <t>A-T8B-1116</t>
  </si>
  <si>
    <t>BASEMENT 04 - MASONRY PLAN - PART A</t>
  </si>
  <si>
    <t>A-T8B-1117</t>
  </si>
  <si>
    <t>BASEMENT 04 - MASONRY PLAN - PART B</t>
  </si>
  <si>
    <t>A-T8B-1118</t>
  </si>
  <si>
    <t>BASEMENT 04 - MASONRY PLAN - PART C</t>
  </si>
  <si>
    <t>A-T8B-1150</t>
  </si>
  <si>
    <t>BASEMENT SECTION</t>
  </si>
  <si>
    <t>A-T8B-1181</t>
  </si>
  <si>
    <t>STANDARD DETAILS - BASEMENT (1/3)</t>
  </si>
  <si>
    <t>A-T8B-1182</t>
  </si>
  <si>
    <t>STANDARD DETAILS - BASEMENT (2/3)</t>
  </si>
  <si>
    <t>A-T8B-1183</t>
  </si>
  <si>
    <t>A-T8B-4121</t>
  </si>
  <si>
    <t>ELECTRICAL PANEL ROOM - W1 - BASEMENT 01</t>
  </si>
  <si>
    <t>A-T8B-4122</t>
  </si>
  <si>
    <t>ELECTRICAL PANEL ROOM - W2 - BASEMENT 01</t>
  </si>
  <si>
    <t>A-T8B-4126</t>
  </si>
  <si>
    <t>COMMUNICATION ROOM - BASEMENT 02</t>
  </si>
  <si>
    <t>A-T8B-4131</t>
  </si>
  <si>
    <t>GARBAGE ROOM - BASEMENT 01</t>
  </si>
  <si>
    <t>A-T8B-4141</t>
  </si>
  <si>
    <t>PLAN - VENTILATION SHAFTS (SH B01-B04) - INTAKE</t>
  </si>
  <si>
    <t>A-T8B-4142</t>
  </si>
  <si>
    <t>SECTION - VENTILATION SHAFTS (SH B01-B04) - INTAKE</t>
  </si>
  <si>
    <t>A-T8B-4143</t>
  </si>
  <si>
    <t>ELEVATION-VENTILATION SHAFTS (SH B01-B04) - INTAKE</t>
  </si>
  <si>
    <t>A-T8B-4146</t>
  </si>
  <si>
    <t>PLAN-VENTILATION SHAFTS (SH B05-B08) - INTAKE</t>
  </si>
  <si>
    <t>A-T8B-4147</t>
  </si>
  <si>
    <t>SECTION -VENTILATION SHAFTS (SH B05-B08) - INTAKE</t>
  </si>
  <si>
    <t>A-T8B-4148</t>
  </si>
  <si>
    <t>ELEVATION-VENTILATION SHAFTS (SH B05-B08) - INTAKE</t>
  </si>
  <si>
    <t>A-T8B-4149</t>
  </si>
  <si>
    <t>ROOF - VENTILATION SHAFTS (SH B05-B08) - INTAKE</t>
  </si>
  <si>
    <t>A-T8B-4151</t>
  </si>
  <si>
    <t>PLAN-VENTILATION SHAFTS (SH B09-B12) - OUTLET</t>
  </si>
  <si>
    <t>A-T8B-4152</t>
  </si>
  <si>
    <t>SECTION-VENTILATION SHAFTS (SH B09-B12) - OUTLET</t>
  </si>
  <si>
    <t>A-T8B-4153</t>
  </si>
  <si>
    <t>ELEVATION-VENTILATION SHAFTS (SH B09-B12) - OUTLET</t>
  </si>
  <si>
    <t>A-T8B-4154</t>
  </si>
  <si>
    <t>ROOF - VENTILATION SHAFTS (SH B09-B12) - OUTLET</t>
  </si>
  <si>
    <t>A-T8B-4156</t>
  </si>
  <si>
    <t>PLAN-VENTILATION SHAFTS (SH B13-B16) - OUTLET</t>
  </si>
  <si>
    <t>A-T8B-4157</t>
  </si>
  <si>
    <t>SECTION-VENTILATION SHAFTS (SH B13-B16) - OUTLET</t>
  </si>
  <si>
    <t>A-T8B-4158</t>
  </si>
  <si>
    <t>ELEVATION - VENTILATION SHATS (SH B13-B16) - OUTLET</t>
  </si>
  <si>
    <t>A-T8B-4701</t>
  </si>
  <si>
    <t>DOORS / SHAFT DOOR SCHEDULE (BASEMENT)</t>
  </si>
  <si>
    <t>A-T8B-4705</t>
  </si>
  <si>
    <t>DOOR DETAILS - D08.1</t>
  </si>
  <si>
    <t>A-T8B-4706</t>
  </si>
  <si>
    <t>DOOR DETAILS - D08.2</t>
  </si>
  <si>
    <t>A-T8B-4707</t>
  </si>
  <si>
    <t>DOOR DETAILS - D09.1</t>
  </si>
  <si>
    <t>A-T8B-4708</t>
  </si>
  <si>
    <t>DOOR DETAILS - D12</t>
  </si>
  <si>
    <t>A-T8B-4709</t>
  </si>
  <si>
    <t>DOOR DETAILS - D13.1</t>
  </si>
  <si>
    <t>A-T8B-4710</t>
  </si>
  <si>
    <t>DOOR DETAILS - D13.2</t>
  </si>
  <si>
    <t>A-T8B-4711</t>
  </si>
  <si>
    <t>DOOR DETAILS - D16</t>
  </si>
  <si>
    <t>A-T8B-4712</t>
  </si>
  <si>
    <t>DOOR DETAILS - D24</t>
  </si>
  <si>
    <t>A-T8B-4722</t>
  </si>
  <si>
    <t>PRESSURIZATION GRILL DETAILS - PSD01</t>
  </si>
  <si>
    <t>A-T8B-4723</t>
  </si>
  <si>
    <t>PRESSURIZATION GRILL DETAILS - PSD09</t>
  </si>
  <si>
    <t>A-T8B-4724</t>
  </si>
  <si>
    <t>PRESSURIZATION GRILL DETAILS - PSD12</t>
  </si>
  <si>
    <t>A-T8B-4725</t>
  </si>
  <si>
    <t>PRESSURIZATION GRILL DETAILS - PSD19</t>
  </si>
  <si>
    <t>A-T8B-4731</t>
  </si>
  <si>
    <t>SHAFT DOOR DETAILS - SD03</t>
  </si>
  <si>
    <t>A-T8B-4732</t>
  </si>
  <si>
    <t>SHAFT DOOR DETAILS - SD04</t>
  </si>
  <si>
    <t>A-T8B-4733</t>
  </si>
  <si>
    <t>SHAFT DOOR DETAILS - SD05</t>
  </si>
  <si>
    <t>A-T8B-4734</t>
  </si>
  <si>
    <t>SHAFT DOOR DETAILS - SD09</t>
  </si>
  <si>
    <t>A-T8B-4735</t>
  </si>
  <si>
    <t>SHAFT DOOR DETAILS - SD11</t>
  </si>
  <si>
    <t>A-T8B-4736</t>
  </si>
  <si>
    <t>SHAFT DOOR DETAILS - SD13</t>
  </si>
  <si>
    <t>A-T8B-4737</t>
  </si>
  <si>
    <t>SHAFT DOOR DETAILS - SD19</t>
  </si>
  <si>
    <t>A-T8B-4738</t>
  </si>
  <si>
    <t>SHAFT DOOR DETAILS - SD20</t>
  </si>
  <si>
    <t>A-T8B-4739</t>
  </si>
  <si>
    <t>SHAFT DOOR DETAILS - SD23</t>
  </si>
  <si>
    <t>A-T8B-4740</t>
  </si>
  <si>
    <t>SHAFT DOOR DETAILS - SD24</t>
  </si>
  <si>
    <t>A-T8B-7501</t>
  </si>
  <si>
    <t>LIGHTING SPECIFICATIONS SCHEDULE - BASEMENT</t>
  </si>
  <si>
    <t>A-T8-1401</t>
  </si>
  <si>
    <t>ELECTRICAL PLAN - STILT LEVEL</t>
  </si>
  <si>
    <t>A-T8-1402</t>
  </si>
  <si>
    <t>ELECTRICAL SCHEDULE - STILT LEVEL-01</t>
  </si>
  <si>
    <t>A-T8-1403</t>
  </si>
  <si>
    <t>ELECTRICAL SCHEDULE - STILT LEVEL-02</t>
  </si>
  <si>
    <t>A-T8-1120</t>
  </si>
  <si>
    <t>PLAN-MASONRY-STILT LEVEL</t>
  </si>
  <si>
    <t>A-T8-1155</t>
  </si>
  <si>
    <t>SERRATED RAMP DETAILS COMMON AREAS</t>
  </si>
  <si>
    <t>A-T8.2-1402</t>
  </si>
  <si>
    <t>ELECTRICAL PLAN - TYPICAL HABITABLE LEVELS (EVEN)- WING 2</t>
  </si>
  <si>
    <t>R1</t>
  </si>
  <si>
    <t>A-T8.1-1401</t>
  </si>
  <si>
    <t>ELECTRICAL PLAN - LEVEL ONE - WING 1</t>
  </si>
  <si>
    <t>A-T8.1-1405</t>
  </si>
  <si>
    <t>ELECTRICAL PLAN - TYPICAL HABITABLE LEVELS - WING 1</t>
  </si>
  <si>
    <t>A-T8.1-1406</t>
  </si>
  <si>
    <t>ELECTRICAL SCHEDULE - TYPICAL HABITABLE LEVELS - WING 1</t>
  </si>
  <si>
    <t>A-T8.1-1407</t>
  </si>
  <si>
    <t>ELECTRICAL SCHEDULE - RC WALL POINTS - WING 1</t>
  </si>
  <si>
    <t>A-T8.1-1409</t>
  </si>
  <si>
    <t>ELECTRICAL PLAN - REFUGE LEVELS - 19 &amp; 29</t>
  </si>
  <si>
    <t>A-T8.2-1401</t>
  </si>
  <si>
    <t>ELECTRICAL PLAN - LEVEL 1 - WING 2</t>
  </si>
  <si>
    <t>A-T8.2-1403</t>
  </si>
  <si>
    <t>ELECTRICAL PLAN - TYPICAL HABITABLE LEVELS (ODD)- WING 2</t>
  </si>
  <si>
    <t>A-T8.2-1404</t>
  </si>
  <si>
    <t>ELECTRICAL SCHEDULE - L20 DEFAULT UNIT</t>
  </si>
  <si>
    <t>A-T8.2-1405</t>
  </si>
  <si>
    <t>ELECTRICAL SCHEDULE - D35 DEFAULT UNIT</t>
  </si>
  <si>
    <t>A-T8.2-1406</t>
  </si>
  <si>
    <t>ELECTRICAL SCHEDULE - WING 02 - RC WALL POINTS</t>
  </si>
  <si>
    <t>A-T8.1-4701</t>
  </si>
  <si>
    <t>DOORS / SHAFT DOORS SCHEDULE - WING 1 COMMON AREAS (HABITABLE LEVELS)</t>
  </si>
  <si>
    <t>A-T8.1-7501</t>
  </si>
  <si>
    <t>LIGHTING SPECIFICATION SCHEDULE - W01 COMMON AREAS (HABITABLE LEVELS)</t>
  </si>
  <si>
    <t>A-T8.2-4701</t>
  </si>
  <si>
    <t>DOORS / SHAFT DOORS SCHEDULE - WING 2 COMMON AREAS (HABITABLE LEVELS)</t>
  </si>
  <si>
    <t>A-T8.2-6201</t>
  </si>
  <si>
    <t>D35 - Terrace Garden Details - 01</t>
  </si>
  <si>
    <t>D35 - Terrace Garden Details - 02</t>
  </si>
  <si>
    <t>A-T8-1106</t>
  </si>
  <si>
    <t>PLAN - RC WALL LAYOUT - TYPICAL ODD LEVELS</t>
  </si>
  <si>
    <t>A-T8-1107</t>
  </si>
  <si>
    <t>PLAN - SKIRTING+DRIP MOULD+ UPSTAND GROOVE DETAILS ( ODD)</t>
  </si>
  <si>
    <t>A-T8-1108</t>
  </si>
  <si>
    <t>3D VIEW - RC WALL LAYOUT - TYPICAL ODD LEVEL</t>
  </si>
  <si>
    <t>A-T8-1109</t>
  </si>
  <si>
    <t>PLAN - RC WALL LAYOUT- TYPICAL EVEN LEVEL</t>
  </si>
  <si>
    <t>A-T8-1112</t>
  </si>
  <si>
    <t>PLAN AND SECTION - RC + MASONRY WALL LAYOUT - REFUGE LEVEL</t>
  </si>
  <si>
    <t>A-T8-1141</t>
  </si>
  <si>
    <t>EXTERNAL ALUWOOD WINDOW DETAIL-FOR 225MM THICK RC WALL</t>
  </si>
  <si>
    <t>A-T8-1142</t>
  </si>
  <si>
    <t>EXTERNAL ALUWOOD WINDOW DETAIL (FOR RC+DRYWALL)</t>
  </si>
  <si>
    <t>A-T8-1143</t>
  </si>
  <si>
    <t>EXTERNAL ALUWOOD WINDOW DETAIL WITH WIRECUT-FOR 225MM THICK RC WALL</t>
  </si>
  <si>
    <t>A-T8-1145</t>
  </si>
  <si>
    <t>ALUWOOD-FRENCH DOOR DETAIL-FOR 225MM THICK RC WALL</t>
  </si>
  <si>
    <t>A-T8-1146</t>
  </si>
  <si>
    <t>ALUWOOD- FRENCH DOOR DETAIL-FOR RC+DRYWALL</t>
  </si>
  <si>
    <t>A-T8-1150</t>
  </si>
  <si>
    <t>SKIRTING DETAIL</t>
  </si>
  <si>
    <t>A-T8-1151</t>
  </si>
  <si>
    <t>DRIP MOULD AND GROOVE DETAIL</t>
  </si>
  <si>
    <t>A-T8.1-6201</t>
  </si>
  <si>
    <t>R25 TERRACE GARDEN DETAILS 01</t>
  </si>
  <si>
    <t>A-T8.1-6202</t>
  </si>
  <si>
    <t>R25 TERRACE GARDEN DETAILS 02</t>
  </si>
  <si>
    <t>A-T8.1-6211</t>
  </si>
  <si>
    <t>R25 SERVICE PLATFORM DETAILS 01</t>
  </si>
  <si>
    <t>A-T8.1-6212</t>
  </si>
  <si>
    <t>R25 SERVICE PLATFORM DETAILS 02</t>
  </si>
  <si>
    <t>A-T8.1-6213</t>
  </si>
  <si>
    <t>R25 SERVICE PLATFORM DETAILS 03</t>
  </si>
  <si>
    <t>A-T8.1-6221</t>
  </si>
  <si>
    <t>WING 1 CORRIDOR DETAILS 01</t>
  </si>
  <si>
    <t>A-T8.1-6222</t>
  </si>
  <si>
    <t>WING 1 CORRIDOR DETAILS 02</t>
  </si>
  <si>
    <t>A-T8.1-1102</t>
  </si>
  <si>
    <t>PLAN - RC WALL &amp; MASONRY LAYOUT - WING 01</t>
  </si>
  <si>
    <t>A-T8.1-1106</t>
  </si>
  <si>
    <t>SECTIONS - RC WALL FRAMING - WING 01 (1/2)</t>
  </si>
  <si>
    <t>A-T8.1-1107</t>
  </si>
  <si>
    <t>SECTIONS - RC WALL FRAMING - WING 01 (2/2)</t>
  </si>
  <si>
    <t>A-T8.1-1111</t>
  </si>
  <si>
    <t>SECTIONS - RC WALL FRAMING - R25 UNIT (1/3)</t>
  </si>
  <si>
    <t>A-T8.1-1112</t>
  </si>
  <si>
    <t>SECTIONS - RC WALL FRAMING - R25 UNIT (2/3)</t>
  </si>
  <si>
    <t>A-T8.1-1113</t>
  </si>
  <si>
    <t>SECTIONS - RC WALL FRAMING - R25 UNIT (3/3)</t>
  </si>
  <si>
    <t>A-T8.1-1116</t>
  </si>
  <si>
    <t>SECTIONS - RC WALL FRAMING - L22 UNIT (1/3)</t>
  </si>
  <si>
    <t>A-T8.1-1117</t>
  </si>
  <si>
    <t>SECTIONS - RC WALL FRAMING - L22 UNIT (2/3)</t>
  </si>
  <si>
    <t>A-T8.1-1118</t>
  </si>
  <si>
    <t>SECTIONS - RC WALL FRAMING - L22 UNIT (3/3)</t>
  </si>
  <si>
    <t>A-T8.2-1105</t>
  </si>
  <si>
    <t>PLAN - RC WALL &amp; MASONRY LAYOUT - WING 02</t>
  </si>
  <si>
    <t>A-T8.2-1106</t>
  </si>
  <si>
    <t>SECTIONS - RC WALL FRAMING - WING 02 (1/2)</t>
  </si>
  <si>
    <t>A-T8.2-1107</t>
  </si>
  <si>
    <t>SECTIONS - RC WALL FRAMING - WING 02 (2/2)</t>
  </si>
  <si>
    <t>A-T8.2-1108</t>
  </si>
  <si>
    <t>SECTIONS - RC WALL FRAMING - L20 UNIT (1/3)</t>
  </si>
  <si>
    <t>A-T8.2-1109</t>
  </si>
  <si>
    <t>SECTIONS - RC WALL FRAMING - L20 UNIT (2/3)</t>
  </si>
  <si>
    <t>A-T8.2-1110</t>
  </si>
  <si>
    <t>SECTIONS - RC WALL FRAMING - L20 UNIT (3/3)</t>
  </si>
  <si>
    <t>A-T8.2-1111</t>
  </si>
  <si>
    <t>SECTIONS - RC WALL FRAMING - D35 UNIT (1/5)</t>
  </si>
  <si>
    <t>A-T8.2-1112</t>
  </si>
  <si>
    <t>SECTIONS - RC WALL FRAMING - D35 UNIT (2/5)</t>
  </si>
  <si>
    <t>A-T8.2-1113</t>
  </si>
  <si>
    <t>SECTIONS - RC WALL FRAMING - D35 UNIT (3/5)</t>
  </si>
  <si>
    <t>A-T8.2-1114</t>
  </si>
  <si>
    <t>SECTIONS - RC WALL FRAMING - D35 UNIT (4/5)</t>
  </si>
  <si>
    <t>A-T8.2-1115</t>
  </si>
  <si>
    <t>SECTIONS - RC WALL FRAMING - D35 UNIT (5/5)</t>
  </si>
  <si>
    <t>A-T8-1110</t>
  </si>
  <si>
    <t>PLAN - SKIRTING+DRIP MOULD+ UPSTAND GROOVE DETAILS ( EVEN)</t>
  </si>
  <si>
    <t>A-T8-1111</t>
  </si>
  <si>
    <t>3D VIEW - RC WALL LAYOUT - TYPICAL EVEN LEVEL</t>
  </si>
  <si>
    <t>A-T8-1121</t>
  </si>
  <si>
    <t>PLAN - DRIP MOULD+ UPSTAND GROOVE DETAILS (LEVEL 01)</t>
  </si>
  <si>
    <t>A-T8-1131</t>
  </si>
  <si>
    <t>PLAN - EXPOSED CONCRETE SURFACES IN TOWER</t>
  </si>
  <si>
    <t>A-T8-1161</t>
  </si>
  <si>
    <t>SHUTTERING LAYOUT - EXPOSED PART - LEVEL 01</t>
  </si>
  <si>
    <t>LOBBY SIGNAGE DETAILS</t>
  </si>
  <si>
    <t>A-T8.1-4111</t>
  </si>
  <si>
    <t>WING 01 LOBBY DETAILS - LEVEL 01</t>
  </si>
  <si>
    <t>A-T8.1-4112</t>
  </si>
  <si>
    <t>WING 01 LOBBY DETAILS - TYPICAL LEVEL</t>
  </si>
  <si>
    <t>A-T8.1-6203</t>
  </si>
  <si>
    <t>L22 TERRACE GARDEN DETAILS 01</t>
  </si>
  <si>
    <t>A-T8.1-6204</t>
  </si>
  <si>
    <t>L22 TERRACE GARDEN DETAILS 02</t>
  </si>
  <si>
    <t>A-T8.2-6206</t>
  </si>
  <si>
    <t>L20 TERRACE GARDEN DETAILS 01</t>
  </si>
  <si>
    <t>A-T8.2-6207</t>
  </si>
  <si>
    <t>L20 TERRACE GARDEN DETAILS 02</t>
  </si>
  <si>
    <t>A-T8.2-6208</t>
  </si>
  <si>
    <t>L20 TERRACE GARDEN DETAILS 03</t>
  </si>
  <si>
    <t>A-T8.2-6209</t>
  </si>
  <si>
    <t>L20 SERVICE PLATFORM-1 DETAILS</t>
  </si>
  <si>
    <t>A-T8.1-4113</t>
  </si>
  <si>
    <t>WING 01 LOBBY DETAILS - REFUGE LEVEL</t>
  </si>
  <si>
    <t>A-T8.1-4114</t>
  </si>
  <si>
    <t>WING 01 LOBBY DETAILS - SECTIONS</t>
  </si>
  <si>
    <t>A-T8.2-4106</t>
  </si>
  <si>
    <t>WING 2 LIFT LOBBY (TYP. LEVL, REFUGE, 33) 01</t>
  </si>
  <si>
    <t>A-T8.2-4107</t>
  </si>
  <si>
    <t>WING 2 LIFT LOBBY (TYP. LEVL, REFUGE, 33) 02</t>
  </si>
  <si>
    <t>A-T8.2-7501</t>
  </si>
  <si>
    <t>LIGHTING SPECIFICATION SCHEDULE - W02 COMMON AREAS (HABITABLE LEVELS)</t>
  </si>
  <si>
    <t xml:space="preserve">Internal Staircase Details </t>
  </si>
  <si>
    <t>A-eD0000</t>
  </si>
  <si>
    <t>COVER SHEET - SPECIFICATIONS</t>
  </si>
  <si>
    <t>R25</t>
  </si>
  <si>
    <t>A-eD0001</t>
  </si>
  <si>
    <t>R25 - DRAWING LIST - PURPLE DEFAULT</t>
  </si>
  <si>
    <t>A-eD0002</t>
  </si>
  <si>
    <t>R25 - DRAWING LIST - BLUE DEFAULT</t>
  </si>
  <si>
    <t>A-eD0003</t>
  </si>
  <si>
    <t>DRAWING LIST - GREEN DEFAULT</t>
  </si>
  <si>
    <t>A-eD0010</t>
  </si>
  <si>
    <t>R25 GENERAL SELECTIONS</t>
  </si>
  <si>
    <t>A-eD0011</t>
  </si>
  <si>
    <t>FDC SPECIFICATIONS</t>
  </si>
  <si>
    <t>A-eD0012</t>
  </si>
  <si>
    <t>CABINETRY SPECIFICATIONS</t>
  </si>
  <si>
    <t>A-eD0013a</t>
  </si>
  <si>
    <t>PNS SPECIFICATIONS</t>
  </si>
  <si>
    <t>A-eD0013b</t>
  </si>
  <si>
    <t>A-eD0014</t>
  </si>
  <si>
    <t>FENESTRATION SPECIFICATIONS</t>
  </si>
  <si>
    <t>A-eD0015</t>
  </si>
  <si>
    <t>KITCHEN SPECIFICATIONS (DEFAULT BLUE)</t>
  </si>
  <si>
    <t>A-eD0016</t>
  </si>
  <si>
    <t>KITCHEN SPECIFICATIONS (DEFAULT PURPLE)</t>
  </si>
  <si>
    <t>A-eD0017</t>
  </si>
  <si>
    <t>R25 - KITCHEN SPECIFICATIONS (AFS BLUE)</t>
  </si>
  <si>
    <t>A-eD0018</t>
  </si>
  <si>
    <t>R25 - KITCHEN SPECIFICATIONS (AFS PURPLE)</t>
  </si>
  <si>
    <t>A-eD0019</t>
  </si>
  <si>
    <t>HOME AUTOMATION SPECS (PURPLE DEFAULT)</t>
  </si>
  <si>
    <t>A-eD1011</t>
  </si>
  <si>
    <t>R25 - MASONRY AND FLOORING (PURPLE)</t>
  </si>
  <si>
    <t>A-eD1012</t>
  </si>
  <si>
    <t>R25 - MASONRY AND FLOORING (BLUE)</t>
  </si>
  <si>
    <t>A-eD1013</t>
  </si>
  <si>
    <t>MASONRY AND FLOORING (GREEN)</t>
  </si>
  <si>
    <t>A-eD1014</t>
  </si>
  <si>
    <t>FOYER AFS LAYOUT DETAILS (R25)</t>
  </si>
  <si>
    <t>A-eD1021</t>
  </si>
  <si>
    <t>R25 - FURNITURE LAYOUT (PURPLE)</t>
  </si>
  <si>
    <t>A-eD1022</t>
  </si>
  <si>
    <t>R25 - FURNITURE LAYOUT (BLUE)</t>
  </si>
  <si>
    <t>A-eD1023</t>
  </si>
  <si>
    <t>FURNITURE LAYOUT (GREEN)</t>
  </si>
  <si>
    <t>A-eD1031</t>
  </si>
  <si>
    <t>R25 - ELECTRICAL LAYOUT (PURPLE)</t>
  </si>
  <si>
    <t>A-eD1032</t>
  </si>
  <si>
    <t>R25 - ELECTRICAL LAYOUT (BLUE)</t>
  </si>
  <si>
    <t>A-eD1033</t>
  </si>
  <si>
    <t>ELECTRICAL LAYOUT (GREEN)</t>
  </si>
  <si>
    <t>A-eD1034</t>
  </si>
  <si>
    <t>R25 - DB LOCATION</t>
  </si>
  <si>
    <t>A-eD1035</t>
  </si>
  <si>
    <t>R25 - FEATURE WALL DETAILS (PURPLE)</t>
  </si>
  <si>
    <t>A-eD1036</t>
  </si>
  <si>
    <t>A-eD1041</t>
  </si>
  <si>
    <t>R25 - REFLECTED CEILING PLAN (BLUE AND PURPLE SPEC)</t>
  </si>
  <si>
    <t>A-eD1042</t>
  </si>
  <si>
    <t>REFLECTED CEILING PLAN (GREEN SPEC)</t>
  </si>
  <si>
    <t>A-eD1045</t>
  </si>
  <si>
    <t>R25 - INTERIOR ELEVATIONS (1/2)</t>
  </si>
  <si>
    <t>A-eD1046</t>
  </si>
  <si>
    <t>R25 - INTERIOR ELEVATIONS (2/2)</t>
  </si>
  <si>
    <t>A-eD1051</t>
  </si>
  <si>
    <t>R25 - VRV LAYOUT (BLUE AND PURPLE)</t>
  </si>
  <si>
    <t>A-eD1052</t>
  </si>
  <si>
    <t>R25 - VRV GRILL ELEVATIONS</t>
  </si>
  <si>
    <t>A-eD1061</t>
  </si>
  <si>
    <t>R25 - SPLIT AC LAYOUT (CUSTOMISATION OPTION)</t>
  </si>
  <si>
    <t>A-eD1071</t>
  </si>
  <si>
    <t>R25 - HOME AUTOMATION - LIGHTING LAYOUT</t>
  </si>
  <si>
    <t>A-eD1072</t>
  </si>
  <si>
    <t>R25 - HOME AUTOMATION - OCCUPANCY SENSOR</t>
  </si>
  <si>
    <t>A-eD1073</t>
  </si>
  <si>
    <t>R25 - HOME AUTOMATION - SECURITY INTERNAL</t>
  </si>
  <si>
    <t>A-eD1074</t>
  </si>
  <si>
    <t>R25 - HOME AUTOMATION - STAND ALONE PACKAGE</t>
  </si>
  <si>
    <t>A-eD1075</t>
  </si>
  <si>
    <t>R25 - HOME AUTOMATION - ENTRANCE MANAGEMENT</t>
  </si>
  <si>
    <t>A-eD2300</t>
  </si>
  <si>
    <t>KITCHEN PLAN - GAS &amp; CHIMNEY ROUTING</t>
  </si>
  <si>
    <t>A-eD2301</t>
  </si>
  <si>
    <t>KITCHEN PLAN (GREEN)</t>
  </si>
  <si>
    <t>A-eD2302</t>
  </si>
  <si>
    <t>KITCHEN INTERNAL ELEVATION - Ai (GREEN)</t>
  </si>
  <si>
    <t>A-eD2304</t>
  </si>
  <si>
    <t>KITCHEN INTERNAL ELEVATION - Bi (GREEN)</t>
  </si>
  <si>
    <t>A-eD2305</t>
  </si>
  <si>
    <t>KITCHEN INTERNAL ELEVATION - Ci (GREEN)</t>
  </si>
  <si>
    <t>A-eD2401</t>
  </si>
  <si>
    <t>R25 - MACHINE CRAFT KITCHEN PLAN (BLUE)</t>
  </si>
  <si>
    <t>A-eD2402</t>
  </si>
  <si>
    <t>R25 - MACHINE CRAFT KITCHEN EXTERNAL ELEVATION - A (BLUE)</t>
  </si>
  <si>
    <t>A-eD2403</t>
  </si>
  <si>
    <t>R25 - MACHINE CRAFT KITCHEN INTERNAL ELEVATION - Ai (BLUE)</t>
  </si>
  <si>
    <t>A-eD2404</t>
  </si>
  <si>
    <t>R25 - MACHINE CRAFT KITCHEN EXTERNAL ELEVATION - B (BLUE)</t>
  </si>
  <si>
    <t>A-eD2405</t>
  </si>
  <si>
    <t>R25 - MACHINE CRAFT KITCHEN INTERNAL ELEVATION - Bi (BLUE)</t>
  </si>
  <si>
    <t>A-eD2406</t>
  </si>
  <si>
    <t>R25 - MACHINE CRAFT KITCHEN EXTERNAL ELEVATION - C (BLUE)</t>
  </si>
  <si>
    <t>A-eD2407</t>
  </si>
  <si>
    <t>R25 - MACHINE CRAFT KITCHEN INTERNAL ELEVATION - Ci (BLUE)</t>
  </si>
  <si>
    <t>A-eD2501</t>
  </si>
  <si>
    <t>R25 - MACHINE CRAFT KITCHEN PLAN (PURPLE)</t>
  </si>
  <si>
    <t>A-eD2502</t>
  </si>
  <si>
    <t>R25 - MACHINE CRAFT KITCHEN EXTERNAL ELEVATION - A (PURPLE)</t>
  </si>
  <si>
    <t>A-eD2503</t>
  </si>
  <si>
    <t>R25 - MACHINE CRAFT KITCHEN INTERNAL ELEVATION - Ai (PURPLE)</t>
  </si>
  <si>
    <t>A-eD2504</t>
  </si>
  <si>
    <t>R25 - MACHINE CRAFT KITCHEN EXTERNAL ELEVATION - B (PURPLE)</t>
  </si>
  <si>
    <t>A-eD2505</t>
  </si>
  <si>
    <t>R25 - MACHINE CRAFT KITCHEN INTERNAL ELEVATION - Bi (PURPLE)</t>
  </si>
  <si>
    <t>A-eD2506</t>
  </si>
  <si>
    <t>R25 - MACHINE CRAFT KITCHEN EXTERNAL ELEVATION - C (PURPLE)</t>
  </si>
  <si>
    <t>A-eD2507</t>
  </si>
  <si>
    <t>R25 - MACHINE CRAFT KITCHEN INTERNAL ELEVATION - Ci (PURPLE)</t>
  </si>
  <si>
    <t>A-eD2601</t>
  </si>
  <si>
    <t>R25 - KITCHEN PLAN (AFS LAYOUT - PURPLE)</t>
  </si>
  <si>
    <t>A-eD2602</t>
  </si>
  <si>
    <t>R25 - KITCHEN EXTERNAL ELEVATION - A (AFS LAYOUT - PURPLE)</t>
  </si>
  <si>
    <t>A-eD2603</t>
  </si>
  <si>
    <t>R25 - KITCHEN INTERNAL ELEVATION - Ai (AFS LAYOUT - PURPLE)</t>
  </si>
  <si>
    <t>A-eD2604</t>
  </si>
  <si>
    <t>R25 - KITCHEN INTERNAL ELEVATION - Bi(AFS LAYOUT - PURPLE)</t>
  </si>
  <si>
    <t>A-eD2605</t>
  </si>
  <si>
    <t>R25 - KITCHEN EXTERNAL ELEVATION - C (AFS LAYOUT - PURPLE)</t>
  </si>
  <si>
    <t>A-eD2606</t>
  </si>
  <si>
    <t>R25 - KITCHEN INTERNAL ELEVATION - Ci (AFS LAYOUT - PURPLE)</t>
  </si>
  <si>
    <t>A-eD2607</t>
  </si>
  <si>
    <t>R25 - KITCHEN EXTERNAL ELEVATION - D (AFS LAYOUT - PURPLE)</t>
  </si>
  <si>
    <t>A-eD2608</t>
  </si>
  <si>
    <t>R25 - KITCHEN INTERNAL ELEVATION - Di (AFS LAYOUT - PURPLE)</t>
  </si>
  <si>
    <t>A-eD2609</t>
  </si>
  <si>
    <t>R25 - ELECTRICAL SCHEDULE - KITD (AFS PURPLE)</t>
  </si>
  <si>
    <t>A-eD2650</t>
  </si>
  <si>
    <t>R25 - KITCHEN PLAN (AFS LAYOUT - BLUE)</t>
  </si>
  <si>
    <t>A-eD2651</t>
  </si>
  <si>
    <t>R25 - KITCHEN EXTERNAL ELEVATION - A (AFS LAYOUT - BLUE)</t>
  </si>
  <si>
    <t>A-eD2652</t>
  </si>
  <si>
    <t>R25 - KITCHEN INTERNAL ELEVATION - Ai (AFS LAYOUT - BLUE)</t>
  </si>
  <si>
    <t>A-eD2653</t>
  </si>
  <si>
    <t>R25 - KITCHEN INTERNAL ELEVATION - Bi (AFS LAYOUT - BLUE)</t>
  </si>
  <si>
    <t>A-eD2654</t>
  </si>
  <si>
    <t>R25 - KITCHEN EXTERNAL ELEVATION - C (AFS LAYOUT - BLUE)</t>
  </si>
  <si>
    <t>A-eD2655</t>
  </si>
  <si>
    <t>R25 - KITCHEN INTERNAL ELEVATION - Ci (AFS LAYOUT - BLUE)</t>
  </si>
  <si>
    <t>A-eD2656</t>
  </si>
  <si>
    <t>R25 - KITCHEN EXTERNAL ELEVATION - D (AFS LAYOUT - BLUE)</t>
  </si>
  <si>
    <t>A-eD2657</t>
  </si>
  <si>
    <t>R25 - KITCHEN INTERNAL ELEVATION - Di (AFS LAYOUT - BLUE)</t>
  </si>
  <si>
    <t>A-eD2658</t>
  </si>
  <si>
    <t>R25 - ELECTRICAL SCHEDULE - KITD (AFS BLUE)</t>
  </si>
  <si>
    <t>A-eD3121</t>
  </si>
  <si>
    <t>R25 - UTILITY PLAN</t>
  </si>
  <si>
    <t>A-eD3122</t>
  </si>
  <si>
    <t>R25 - UTILITY ELEVATION - A</t>
  </si>
  <si>
    <t>A-eD3123</t>
  </si>
  <si>
    <t>R25 - UTILITY ELEVATION - B</t>
  </si>
  <si>
    <t>A-eD3124</t>
  </si>
  <si>
    <t>R25 - UTILITY ELEVATION - C</t>
  </si>
  <si>
    <t>A-eD3125</t>
  </si>
  <si>
    <t>R25 - UTILITY ELEVATION - D</t>
  </si>
  <si>
    <t>A-eD4101</t>
  </si>
  <si>
    <t>R25 - BATHROOM 1 PLAN (PURPLE)</t>
  </si>
  <si>
    <t>A-eD4102</t>
  </si>
  <si>
    <t>R25 - BATHROOM 1 ELEVATION - A (PURPLE)</t>
  </si>
  <si>
    <t>A-eD4103</t>
  </si>
  <si>
    <t>R25 - BATHROOM 1 ELEVATION - B (PURPLE)</t>
  </si>
  <si>
    <t>A-eD4104</t>
  </si>
  <si>
    <t>R25 - BATHROOM 1 ELEVATION - C (PURPLE)</t>
  </si>
  <si>
    <t>A-eD4105</t>
  </si>
  <si>
    <t>R25 - BATHROOM 1 ELEVATION - D (PURPLE)</t>
  </si>
  <si>
    <t>A-eD4106</t>
  </si>
  <si>
    <t>R25 - BATHROOM 1 PLAN (BLUE)</t>
  </si>
  <si>
    <t>A-eD4107</t>
  </si>
  <si>
    <t>R25 - BATHROOM 1 ELEVATION - A (BLUE)</t>
  </si>
  <si>
    <t>A-eD4108</t>
  </si>
  <si>
    <t>R25 - BATHROOM 1 ELEVATION - B (BLUE)</t>
  </si>
  <si>
    <t>A-eD4109</t>
  </si>
  <si>
    <t>R25 - BATHROOM 1 ELEVATION - C (BLUE)</t>
  </si>
  <si>
    <t>A-eD4110</t>
  </si>
  <si>
    <t>R25 - BATHROOM 1 ELEVATION - D (BLUE)</t>
  </si>
  <si>
    <t>A-eD4111</t>
  </si>
  <si>
    <t>BATHROOM 1 PLAN (GREEN)</t>
  </si>
  <si>
    <t>A-eD4112</t>
  </si>
  <si>
    <t>BATHROOM 1 ELEVATION - A (GREEN)</t>
  </si>
  <si>
    <t>A-eD4113</t>
  </si>
  <si>
    <t>BATHROOM 1 ELEVATION - B (GREEN)</t>
  </si>
  <si>
    <t>A-eD4114</t>
  </si>
  <si>
    <t>BATHROOM 1 ELEVATION - C (GREEN)</t>
  </si>
  <si>
    <t>A-eD4115</t>
  </si>
  <si>
    <t>BATHROOM 1 ELEVATION - D (GREEN)</t>
  </si>
  <si>
    <t>A-eD4201</t>
  </si>
  <si>
    <t>R25 - BATHROOM 2 PLAN (PURPLE)</t>
  </si>
  <si>
    <t>A-eD4202</t>
  </si>
  <si>
    <t>R25 - BATHROOM 2 ELEVATION - A (PURPLE)</t>
  </si>
  <si>
    <t>A-eD4203</t>
  </si>
  <si>
    <t>R25 - BATHROOM 2 ELEVATION - B (PURPLE)</t>
  </si>
  <si>
    <t>A-eD4204</t>
  </si>
  <si>
    <t>R25 - BATHROOM 2 ELEVATION - C (PURPLE)</t>
  </si>
  <si>
    <t>A-eD4205</t>
  </si>
  <si>
    <t>R25 - BATHROOM 2 ELEVATION - D (PURPLE)</t>
  </si>
  <si>
    <t>A-eD4206</t>
  </si>
  <si>
    <t>R25 - BATHROOM 2 PLAN (BLUE)</t>
  </si>
  <si>
    <t>A-eD4207</t>
  </si>
  <si>
    <t>R25 - BATHROOM 2 ELEVATION - A (BLUE)</t>
  </si>
  <si>
    <t>A-eD4208</t>
  </si>
  <si>
    <t>R25 - BATHROOM 2 ELEVATION - B (BLUE)</t>
  </si>
  <si>
    <t>A-eD4209</t>
  </si>
  <si>
    <t>R25 - BATHROOM 2 ELEVATION - C (BLUE)</t>
  </si>
  <si>
    <t>A-eD4210</t>
  </si>
  <si>
    <t>R25 - BATHROOM 2 ELEVATION - D (BLUE)</t>
  </si>
  <si>
    <t>A-eD4211</t>
  </si>
  <si>
    <t>BATHROOM 2 PLAN (GREEN)</t>
  </si>
  <si>
    <t>A-eD4212</t>
  </si>
  <si>
    <t>BATHROOM 2 ELEVATION - A (GREEN)</t>
  </si>
  <si>
    <t>A-eD4213</t>
  </si>
  <si>
    <t>BATHROOM 2 ELEVATION - B (GREEN)</t>
  </si>
  <si>
    <t>A-eD4214</t>
  </si>
  <si>
    <t>BATHROOM 2 ELEVATION - C (GREEN)</t>
  </si>
  <si>
    <t>A-eD4215</t>
  </si>
  <si>
    <t>BATHROOM 2 ELEVATION - D (GREEN)</t>
  </si>
  <si>
    <t>A-eD4301</t>
  </si>
  <si>
    <t>R25 - BATHROOM 3 PLAN (PURPLE)</t>
  </si>
  <si>
    <t>A-eD4302</t>
  </si>
  <si>
    <t>R25 - BATHROOM 3 ELEVATION - A (PURPLE)</t>
  </si>
  <si>
    <t>A-eD4303</t>
  </si>
  <si>
    <t>R25 - BATHROOM 3 ELEVATION - B (PURPLE)</t>
  </si>
  <si>
    <t>A-eD4304</t>
  </si>
  <si>
    <t>R25 - BATHROOM 3 ELEVATION - C (PURPLE)</t>
  </si>
  <si>
    <t>A-eD4305</t>
  </si>
  <si>
    <t>R25 - BATHROOM 3 ELEVATION - D (PURPLE)</t>
  </si>
  <si>
    <t>A-eD4306</t>
  </si>
  <si>
    <t>R25 - BATHROOM 3 PLAN (BLUE)</t>
  </si>
  <si>
    <t>A-eD4307</t>
  </si>
  <si>
    <t>R25 - BATHROOM 3 ELEVATION - A (BLUE)</t>
  </si>
  <si>
    <t>A-eD4308</t>
  </si>
  <si>
    <t>R25 - BATHROOM 3 ELEVATION - B (BLUE)</t>
  </si>
  <si>
    <t>A-eD4309</t>
  </si>
  <si>
    <t>R25 - BATHROOM 3 ELEVATION - C (BLUE)</t>
  </si>
  <si>
    <t>A-eD4310</t>
  </si>
  <si>
    <t>R25 - BATHROOM 3 ELEVATION - D (BLUE)</t>
  </si>
  <si>
    <t>A-eD4311</t>
  </si>
  <si>
    <t>BATHROOM 3 PLAN (GREEN)</t>
  </si>
  <si>
    <t>A-eD4312</t>
  </si>
  <si>
    <t>BATHROOM 3 ELEVATION - A (GREEN)</t>
  </si>
  <si>
    <t>A-eD4313</t>
  </si>
  <si>
    <t>BATHROOM 3 ELEVATION - B (GREEN)</t>
  </si>
  <si>
    <t>A-eD4314</t>
  </si>
  <si>
    <t>BATHROOM 3 ELEVATION - C (GREEN)</t>
  </si>
  <si>
    <t>A-eD4315</t>
  </si>
  <si>
    <t>BATHROOM 3 ELEVATION - D (GREEN)</t>
  </si>
  <si>
    <t>A-eD4401</t>
  </si>
  <si>
    <t>R25 - MAID'S BATHROOM PLAN</t>
  </si>
  <si>
    <t>A-eD4402</t>
  </si>
  <si>
    <t>R25 - MAID'S BATHROOM ELEVATION - A</t>
  </si>
  <si>
    <t>A-eD4403</t>
  </si>
  <si>
    <t>R25 - MAID'S BATHROOM ELEVATION - B</t>
  </si>
  <si>
    <t>A-eD4404</t>
  </si>
  <si>
    <t>R25 - MAID'S BATHROOM ELEVATION - C</t>
  </si>
  <si>
    <t>A-eD4405</t>
  </si>
  <si>
    <t>R25 - MAID'S BATHROOM ELEVATION - D</t>
  </si>
  <si>
    <t>A-eD8011</t>
  </si>
  <si>
    <t>R25 - ELECTRICAL SCHEDULE - 01 (PURPLE)</t>
  </si>
  <si>
    <t>A-eD8012</t>
  </si>
  <si>
    <t>R25 - ELECTRICAL SCHEDULE - 02 (PURPLE)</t>
  </si>
  <si>
    <t>A-eD8013</t>
  </si>
  <si>
    <t>R25 - ELECTRICAL SCHEDULE - 03 (PURPLE)</t>
  </si>
  <si>
    <t>A-eD8014</t>
  </si>
  <si>
    <t>R25 - ELECTRICAL SCHEDULE - 04 (PURPLE)</t>
  </si>
  <si>
    <t>A-eD8016</t>
  </si>
  <si>
    <t>R25 - ELECTRICAL SCHEDULE - 01 (BLUE)</t>
  </si>
  <si>
    <t>A-eD8017</t>
  </si>
  <si>
    <t>R25 - ELECTRICAL SCHEDULE - 02 (BLUE)</t>
  </si>
  <si>
    <t>A-eD8018</t>
  </si>
  <si>
    <t>R25 - ELECTRICAL SCHEDULE - 03 (BLUE)</t>
  </si>
  <si>
    <t>A-eD8019</t>
  </si>
  <si>
    <t>R25 - ELECTRICAL SCHEDULE - 04 (BLUE)</t>
  </si>
  <si>
    <t>A-eD8021</t>
  </si>
  <si>
    <t>ELECTRICAL SCHEDULE - 01 (GREEN)</t>
  </si>
  <si>
    <t>A-eD8022</t>
  </si>
  <si>
    <t>ELECTRICAL SCHEDULE - 02 (GREEN)</t>
  </si>
  <si>
    <t>A-eD8023</t>
  </si>
  <si>
    <t>ELECTRICAL SCHEDULE - 03 (GREEN)</t>
  </si>
  <si>
    <t>A-eD8024</t>
  </si>
  <si>
    <t>ELECTRICAL SCHEDULE - 04 (GREEN)</t>
  </si>
  <si>
    <t>A-eD8041</t>
  </si>
  <si>
    <t>R25 - SYMBOLS AND ABBREVIATIONS</t>
  </si>
  <si>
    <t>A-eD8042</t>
  </si>
  <si>
    <t>R25 - STANDARD DETAILS</t>
  </si>
  <si>
    <t>A-eD8043</t>
  </si>
  <si>
    <t>UNIT PLANS</t>
  </si>
  <si>
    <t>L20</t>
  </si>
  <si>
    <t>DETAILED SECTIONS - 43XX</t>
  </si>
  <si>
    <t>DOOR WINDOW DRAWINGS</t>
  </si>
  <si>
    <t>KITCHEN DETAILS - 54XX</t>
  </si>
  <si>
    <t>BATHROOM DETAILS - 55XX</t>
  </si>
  <si>
    <t>SPECIFICATIONS / SCHEDULES - 7XXX</t>
  </si>
  <si>
    <t>D35</t>
  </si>
  <si>
    <t>L22</t>
  </si>
  <si>
    <t>R25P</t>
  </si>
  <si>
    <t>L20P</t>
  </si>
  <si>
    <t>D35P</t>
  </si>
  <si>
    <t>L22P</t>
  </si>
  <si>
    <t>Grading Plan</t>
  </si>
  <si>
    <t>A-00-5106</t>
  </si>
  <si>
    <t>SETTING-OUT - T8 BOUNDARY - EAST</t>
  </si>
  <si>
    <t>A-00-5107</t>
  </si>
  <si>
    <t>SETTING-OUT - T8 BOUNDARY - EAST (PERC &amp; EARTHG. PITS)</t>
  </si>
  <si>
    <t>Boundary wall and Site Structures</t>
  </si>
  <si>
    <t>A-T8-0126</t>
  </si>
  <si>
    <t>SITE PLAN (GA) - OUTSIDE BASEMENT PROFILE</t>
  </si>
  <si>
    <t>A-T8-0130</t>
  </si>
  <si>
    <t>3D VIEW OF SITE (GA) - FROM SOUTH-WEST</t>
  </si>
  <si>
    <t>A-T8-0151</t>
  </si>
  <si>
    <t>BOUNDARY &amp; EDGE DETAILS - EAST</t>
  </si>
  <si>
    <t>A-T8-0152</t>
  </si>
  <si>
    <t>A-T8-0153</t>
  </si>
  <si>
    <t>A-T8-0154</t>
  </si>
  <si>
    <t>External Wall Details</t>
  </si>
  <si>
    <t>Enclosure And Fencing Details</t>
  </si>
  <si>
    <t>Flooring Details</t>
  </si>
  <si>
    <t>Cabinetry Details</t>
  </si>
  <si>
    <t>General Selection &amp; Specifications</t>
  </si>
  <si>
    <t>Electrical Layout</t>
  </si>
  <si>
    <t>Reflected Ceiling Plan</t>
  </si>
  <si>
    <t>Bathroom Dwgs</t>
  </si>
  <si>
    <t>Electrical Schedule</t>
  </si>
  <si>
    <t>Pns Specifications</t>
  </si>
  <si>
    <t>Ceiling Details</t>
  </si>
  <si>
    <t>Storm Water Manholes And Recharge Pit Details</t>
  </si>
  <si>
    <t>Roads, Pavements, Site Lighting and Signage</t>
  </si>
  <si>
    <t>Road/Paving plans</t>
  </si>
  <si>
    <t>Road—Detailed Sections/ Part Sections</t>
  </si>
  <si>
    <t>Cross Sections</t>
  </si>
  <si>
    <t>Signage</t>
  </si>
  <si>
    <t>Light Pole Details</t>
  </si>
  <si>
    <t>Utility Structure—Power Supply and Backup</t>
  </si>
  <si>
    <t>Transformer Yard,DG Yard,Electrical Room,Communication Room</t>
  </si>
  <si>
    <t>Utility Structure—Water Supply and FPS</t>
  </si>
  <si>
    <t>UGT, WTP, Storm Water Tanks And Pump Room</t>
  </si>
  <si>
    <t>Utility Structure—Sewerage | Wastewater</t>
  </si>
  <si>
    <t>STP</t>
  </si>
  <si>
    <t>Utility Structure—Garbage Disposal | OWC</t>
  </si>
  <si>
    <t>OWC &amp; Central Garbage Collection</t>
  </si>
  <si>
    <t>Equipment Layout</t>
  </si>
  <si>
    <t>Water Body Details</t>
  </si>
  <si>
    <t xml:space="preserve">Staircase Details </t>
  </si>
  <si>
    <t>Fire Protection System</t>
  </si>
  <si>
    <t>Hvac Layout</t>
  </si>
  <si>
    <t>Home Automation</t>
  </si>
  <si>
    <t>Kitchen Layout</t>
  </si>
  <si>
    <t>Utility Dwgs</t>
  </si>
  <si>
    <t>Kitchen Specifications</t>
  </si>
  <si>
    <t>External Building Elements</t>
  </si>
  <si>
    <t>Indoor</t>
  </si>
  <si>
    <t>Flooring Plan and Details</t>
  </si>
  <si>
    <t>Lighting Plan</t>
  </si>
  <si>
    <t>Finishing Schedule</t>
  </si>
  <si>
    <t>Outdoor</t>
  </si>
  <si>
    <t>Site Plans</t>
  </si>
  <si>
    <t>Flooring Plan</t>
  </si>
  <si>
    <t>Sporting Facility GFC set</t>
  </si>
  <si>
    <t>NA</t>
  </si>
  <si>
    <t/>
  </si>
  <si>
    <t>Please do not delete this row</t>
  </si>
  <si>
    <t>ST | DRAWING LIST</t>
  </si>
  <si>
    <t>Independent Subgrade Structure [Block Z]</t>
  </si>
  <si>
    <t>S-EBZ-EX0001</t>
  </si>
  <si>
    <t>EXCAVATION LAYOUT FOR BLOCK-Z</t>
  </si>
  <si>
    <t>ISSZ</t>
  </si>
  <si>
    <t>FD</t>
  </si>
  <si>
    <t>FOUNDATION DETAILS</t>
  </si>
  <si>
    <t>S-B1a-BM0101</t>
  </si>
  <si>
    <t>BEAMS REINF. SCHEDULE (SHEET-01)</t>
  </si>
  <si>
    <t>S-B1a-BM0102</t>
  </si>
  <si>
    <t>BEAMS REINF. SCHEDULE (SHEET-02)</t>
  </si>
  <si>
    <t>S-B1a-BM0103</t>
  </si>
  <si>
    <t>BEAMS REINF. DETAILS (SHEET-03)</t>
  </si>
  <si>
    <t>S-B1a-BM0201</t>
  </si>
  <si>
    <t>S-B1a-CL0001</t>
  </si>
  <si>
    <t>B1a (STP-UGT) COLUMN REINF. DETAILS (SHEET 1)</t>
  </si>
  <si>
    <t>S-B1a-FD0001</t>
  </si>
  <si>
    <t>UGT &amp; STP FOUNDATION LAYOUT AND FRAMING PLAN</t>
  </si>
  <si>
    <t>S-B1a-FD0002</t>
  </si>
  <si>
    <t>B1a (T08 STP-UGT) FOUNDATION BOTTOM REINF. DETAILS</t>
  </si>
  <si>
    <t>S-B1a-FD0003</t>
  </si>
  <si>
    <t>B1a (T08 STP-UGT) FOUNDATION TOP REINF. DETAILS</t>
  </si>
  <si>
    <t>S-B1a-FD0004</t>
  </si>
  <si>
    <t>B1a (T08 STP-UGT) FOUNDATION SECTIONS DETAILS</t>
  </si>
  <si>
    <t>S-B1a-FD0005</t>
  </si>
  <si>
    <t>B1a (T08 STP-UGT) FOUNDATION BBS (SHEET-01)</t>
  </si>
  <si>
    <t>S-B1a-FD0006</t>
  </si>
  <si>
    <t>B1a (T08 STP-UGT) FOUNDATION BBS (SHEET-02)</t>
  </si>
  <si>
    <t>S-B1a-SB0101</t>
  </si>
  <si>
    <t>STAFF LOUNGE LEVEL SLAB TOP &amp; BOTTOM REINF. DETAILS</t>
  </si>
  <si>
    <t>CL</t>
  </si>
  <si>
    <t>COLUMN DETAILS</t>
  </si>
  <si>
    <t>RW</t>
  </si>
  <si>
    <t>WALL DETAILS</t>
  </si>
  <si>
    <t>Parking Level Subgrade</t>
  </si>
  <si>
    <t>FP</t>
  </si>
  <si>
    <t>FRAMING PLAN AT SSL1</t>
  </si>
  <si>
    <t>BM</t>
  </si>
  <si>
    <t>BEAM REINFORCEMENT DETAILS—SSL1</t>
  </si>
  <si>
    <t>B1a</t>
  </si>
  <si>
    <t>WALKWAY LEVEL SLAB TOP REINF. DETAILS</t>
  </si>
  <si>
    <t>WALKWAY LEVEL SLAB BOTTOM REINF. DETAILS</t>
  </si>
  <si>
    <t>SB</t>
  </si>
  <si>
    <t>SLAB REINFORCEMENT DETAILS—SSL1</t>
  </si>
  <si>
    <t xml:space="preserve"> </t>
  </si>
  <si>
    <t>FRAMING PLAN AT SSL2</t>
  </si>
  <si>
    <t>BEAM REINFORCEMENT DETAILS—SSL2</t>
  </si>
  <si>
    <t>SLAB REINFORCEMENT DETAILS—SSL2</t>
  </si>
  <si>
    <t>Tower—08</t>
  </si>
  <si>
    <t>S-T08-8001</t>
  </si>
  <si>
    <t>BUILDING VIEWS</t>
  </si>
  <si>
    <t>S-T08-FD0001</t>
  </si>
  <si>
    <t>FOUNDATION LAYOUT</t>
  </si>
  <si>
    <t>S-T08-FP0101</t>
  </si>
  <si>
    <t>FRAMING PLAN AT SSL01</t>
  </si>
  <si>
    <t>S-T08-SE0001</t>
  </si>
  <si>
    <t>BUILDING SECTIONS</t>
  </si>
  <si>
    <t>S-T08-RW0001</t>
  </si>
  <si>
    <t>PLAN SHOWING CUOUTS IN RETAINING WALLS</t>
  </si>
  <si>
    <t>S-T08-RW0002</t>
  </si>
  <si>
    <t>RETAINING WALL DETAILS OF T08</t>
  </si>
  <si>
    <t>S-T08-RW0003</t>
  </si>
  <si>
    <t>RETAINING WALL REINF DETAILS (SHEET 1)</t>
  </si>
  <si>
    <t>S-T08-RW0004</t>
  </si>
  <si>
    <t>RETAINING WALL DETAILS OF T08  (SHEET 2)</t>
  </si>
  <si>
    <t>S-T08-RW0005</t>
  </si>
  <si>
    <t>RETAINING WALL REINF DETAILS (SHEET 2)</t>
  </si>
  <si>
    <t>S-T08-RW0006</t>
  </si>
  <si>
    <t>Retaining wall sections &amp; Typ. Cutout details</t>
  </si>
  <si>
    <t>S-T08-ST0101</t>
  </si>
  <si>
    <t>STAIRCASE 1 - PLAN &amp; SECTIONS</t>
  </si>
  <si>
    <t>S-T08-ST0201</t>
  </si>
  <si>
    <t>STAIRCASE 2 - PLAN &amp; SECTIONS</t>
  </si>
  <si>
    <t>S-T08-ST0301</t>
  </si>
  <si>
    <t>STAIRCASE 3- PLAN &amp; SECTIONS</t>
  </si>
  <si>
    <t>S-T08-ST0401</t>
  </si>
  <si>
    <t>STAIRCASE 4 - PLAN &amp; SECTIONS</t>
  </si>
  <si>
    <t>S-T08-ST0501</t>
  </si>
  <si>
    <t>STAIRCASE 5- PLAN &amp; SECTIONS</t>
  </si>
  <si>
    <t>S-T08-RP0101</t>
  </si>
  <si>
    <t>Ramp 1 - Plans and 3D Views (Sheet-1)</t>
  </si>
  <si>
    <t>S-T08-RP0102</t>
  </si>
  <si>
    <t>Ramp 1 - Plans and 3D Views (Sheet-2)</t>
  </si>
  <si>
    <t>S-T08-RP0112</t>
  </si>
  <si>
    <t>Ramp 1 - Beam Schedule</t>
  </si>
  <si>
    <t>S-T08-RP0201</t>
  </si>
  <si>
    <t>Ramp 2 - Plans and 3D Views (Sheet-1)</t>
  </si>
  <si>
    <t>S-T08-RP0202</t>
  </si>
  <si>
    <t>Ramp 2 - Plans and 3D Views (Sheet-2)</t>
  </si>
  <si>
    <t>S-T08-RP0222</t>
  </si>
  <si>
    <t>Ramp 2 - Beam Reinforcement Details</t>
  </si>
  <si>
    <t>S-T08-FD0002</t>
  </si>
  <si>
    <t>PLAN SHOWING TOWER RAFT PCC LAYOUT</t>
  </si>
  <si>
    <t>S-T08-FD0003</t>
  </si>
  <si>
    <t>SECTION SHOWING TOWER RAFT PCC DETAIL</t>
  </si>
  <si>
    <t>S-T08-CL0001</t>
  </si>
  <si>
    <t>COLUMN GENERAL DETAILS</t>
  </si>
  <si>
    <t>S-T08-CL0002</t>
  </si>
  <si>
    <t>TYPICAL COLUMN COUPLER DETAILS</t>
  </si>
  <si>
    <t>R2</t>
  </si>
  <si>
    <t>S-T08-CL0003</t>
  </si>
  <si>
    <t>TYPICAL COLUMN LAPPING DETAILS</t>
  </si>
  <si>
    <t>S-T08-CL0004</t>
  </si>
  <si>
    <t>COLUMN C36 TO C42 &amp; C44 REINF. DETAILS</t>
  </si>
  <si>
    <t>S-T08-CL0005</t>
  </si>
  <si>
    <t>COLUMN C45 TO  C52 REINF. DETAILS</t>
  </si>
  <si>
    <t>S-T08-CL0006</t>
  </si>
  <si>
    <t>COLUMN C53 TO C61 REINF. DETAILS</t>
  </si>
  <si>
    <t>S-T08-CL0007</t>
  </si>
  <si>
    <t>COLUMN C62 TO C67 REINF. DETAILS</t>
  </si>
  <si>
    <t>S-T08-CL0008</t>
  </si>
  <si>
    <t>COLUMN C68 TO C75 REINF. DETAILS</t>
  </si>
  <si>
    <t>S-T08-CL0009</t>
  </si>
  <si>
    <t>COLUMN C77 TO C84 REINF. DETAILS</t>
  </si>
  <si>
    <t>S-T08-CL0010</t>
  </si>
  <si>
    <t>COLUMN C88, C106 &amp; C107 REINF. DETAILS</t>
  </si>
  <si>
    <t>S-T08-CL0011</t>
  </si>
  <si>
    <t>COLUMN C43, C58, C89 TO C92 &amp; C85 TO C87 REINF. DETAILS</t>
  </si>
  <si>
    <t>S-T08-CL0012</t>
  </si>
  <si>
    <t>COLUMN C93 TO C105, C108 &amp; C109 REINF. DETAILS</t>
  </si>
  <si>
    <t>S-T08-CL0101</t>
  </si>
  <si>
    <t>COLUMN C1a, C1b, C12a &amp; C12b PEDESTAL DETAILS (SHEET 1 OF 3)</t>
  </si>
  <si>
    <t>S-T08-CL0102</t>
  </si>
  <si>
    <t>COLUMN C1a, C1b, C12a &amp; C12b DETAILS (SHEET 2 OF 3)</t>
  </si>
  <si>
    <t>S-T08-CL0103</t>
  </si>
  <si>
    <t>COLUMN C1a, C1b, C12a &amp; C12b DETAILS (SHEET 3 OF 3)</t>
  </si>
  <si>
    <t>S-T08-CL0201</t>
  </si>
  <si>
    <t>COLUMN C2a, C2b, C9a, C9b, C14a &amp; C14b PEDESTAL DETAILS (SHEET 1  OF 3)</t>
  </si>
  <si>
    <t>S-T08-CL0202</t>
  </si>
  <si>
    <t>COLUMN C2a, C2b, C9a, C9b, C14a &amp; C14b DETAILS (SHEET 2 OF 3)</t>
  </si>
  <si>
    <t>S-T08-CL0203</t>
  </si>
  <si>
    <t>COLUMN C2a, C2b, C9a, C9b, C14a &amp; C14b DETAILS (SHEET 3 OF 3)</t>
  </si>
  <si>
    <t>S-T08-CL0301</t>
  </si>
  <si>
    <t>COLUMN C3a, C3b, C13a &amp; C13b DETAILS (SHEET 1  OF 3)</t>
  </si>
  <si>
    <t>S-T08-CL0302</t>
  </si>
  <si>
    <t>COLUMN C3a, C3b, C13a &amp; C13b DETAILS (SHEET 2  OF 3)</t>
  </si>
  <si>
    <t>S-T08-CL0303</t>
  </si>
  <si>
    <t>COLUMN C3a, C3b, C13a &amp; C13b DETAILS (SHEET 3  OF 3)</t>
  </si>
  <si>
    <t>S-T08-CL0401</t>
  </si>
  <si>
    <t>COLUMN C4a&amp;b, C7a&amp;b, C4a1&amp;b1, C7a1&amp;b1, C16a&amp;b, C16a1&amp;b1 PEDESTAL DETAILS (SHEET 1  OF 3)</t>
  </si>
  <si>
    <t>S-T08-CL0402</t>
  </si>
  <si>
    <t>COLUMN C4a&amp;b, C7a&amp;b, C4a1&amp;b1, C7a1&amp;b1, C16a&amp;b, C16a1&amp;b1 DETAILS (SHEET 2  OF 3)</t>
  </si>
  <si>
    <t>S-T08-CL0403</t>
  </si>
  <si>
    <t>COLUMN C4a&amp;b, C7a&amp;b, C4a1&amp;b1, C7a1&amp;b1, C16a&amp;b, C16a1&amp;b1 DETAILS (SHEET 3  OF 3)</t>
  </si>
  <si>
    <t>S-T08-CL0501</t>
  </si>
  <si>
    <t>COLUMN C5a &amp; C5b PEDESTAL DETAILS (SHEET 1  OF 3)</t>
  </si>
  <si>
    <t>S-T08-CL0502</t>
  </si>
  <si>
    <t>COLUMN C5a &amp; C5b DETAILS (SHEET 2  OF 3)</t>
  </si>
  <si>
    <t>S-T08-CL0503</t>
  </si>
  <si>
    <t>COLUMN C5a &amp; C5b DETAILS (SHEET 3  OF 3)</t>
  </si>
  <si>
    <t>S-T08-CL0801</t>
  </si>
  <si>
    <t>COLUMN C8a &amp; C8b PEDESTAL DETAILS (SHEET 1  OF 3)</t>
  </si>
  <si>
    <t>S-T08-CL0802</t>
  </si>
  <si>
    <t>COLUMN C8a &amp; C8b DETAILS (SHEET 2  OF 3)</t>
  </si>
  <si>
    <t>S-T08-CL0803</t>
  </si>
  <si>
    <t>COLUMN C8a &amp; C8b DETAILS (SHEET 3  OF 3)</t>
  </si>
  <si>
    <t>S-T08-CL1001</t>
  </si>
  <si>
    <t>COLUMN C10a &amp; C10b PEDESTAL DETAILS (SHEET 1  OF 3)</t>
  </si>
  <si>
    <t>S-T08-CL1002</t>
  </si>
  <si>
    <t>COLUMN C10a &amp; C10b DETAILS (SHEET 2 OF 3)</t>
  </si>
  <si>
    <t>S-T08-CL1003</t>
  </si>
  <si>
    <t>COLUMN C10a &amp; C10b DETAILS (SHEET 3 OF 3)</t>
  </si>
  <si>
    <t>S-T08-CL1501</t>
  </si>
  <si>
    <t>COLUMN C15a &amp; C15b DETAILS (SHEET 1  OF 3)</t>
  </si>
  <si>
    <t>S-T08-CL1502</t>
  </si>
  <si>
    <t>COLUMN C15a &amp; C15b DETAILS (SHEET 2 OF 3)</t>
  </si>
  <si>
    <t>S-T08-CL1503</t>
  </si>
  <si>
    <t>COLUMN C15a &amp; C15b DETAILS (SHEET 3 OF 3)</t>
  </si>
  <si>
    <t>S-T08-CL1901</t>
  </si>
  <si>
    <t>COLUMN C19a &amp; C20a COMBINED PEDESTAL DETAILS (SHEET 1  OF 4)</t>
  </si>
  <si>
    <t>S-T08-CL1902</t>
  </si>
  <si>
    <t>COLUMN C19b &amp; C20b COMBINED PEDESTAL DETAILS (SHEET 2 OF 4)</t>
  </si>
  <si>
    <t>S-T08-CL1903</t>
  </si>
  <si>
    <t>COLUMN C19a &amp; C19b DETAILS (SHEET 3 OF 4)</t>
  </si>
  <si>
    <t>S-T08-CL1904</t>
  </si>
  <si>
    <t>COLUMN C19a &amp; C19b DETAILS (SHEET 4 OF 4)</t>
  </si>
  <si>
    <t>S-T08-CL2201</t>
  </si>
  <si>
    <t>COLUMN C22a PEDESTAL DETAILS (SHEET 1  OF 3)</t>
  </si>
  <si>
    <t>S-T08-CL2202</t>
  </si>
  <si>
    <t>COLUMN C22a DETAILS (SHEET 2 OF 3)</t>
  </si>
  <si>
    <t>S-T08-CL2203</t>
  </si>
  <si>
    <t>COLUMN C22a DETAILS (SHEET 3 OF 3)</t>
  </si>
  <si>
    <t>S-T08-CL2204</t>
  </si>
  <si>
    <t>COLUMN C22b PEDESTAL DETAILS (SHEET 1 OF 3)</t>
  </si>
  <si>
    <t>S-T08-CL2205</t>
  </si>
  <si>
    <t>COLUMN C22b DETAILS (SHEET 2 OF 3)</t>
  </si>
  <si>
    <t>S-T08-CL2206</t>
  </si>
  <si>
    <t>COLUMN C22b DETAILS (SHEET 3 OF 3)</t>
  </si>
  <si>
    <t>S-T08-CL2401</t>
  </si>
  <si>
    <t>COLUMN C24a&amp;b PEDESTAL DETAILS (SHEET 1 OF 3)</t>
  </si>
  <si>
    <t>S-T08-CL2402</t>
  </si>
  <si>
    <t>COLUMN C24a&amp;b DETAILS (SHEET 2 OF 3)</t>
  </si>
  <si>
    <t>S-T08-CL2403</t>
  </si>
  <si>
    <t>COLUMN C24a&amp;b DETAILS (SHEET 3 OF 3)</t>
  </si>
  <si>
    <t>S-T08-CL2501</t>
  </si>
  <si>
    <t>COLUMN C25a&amp;b PEDESTAL DETAILS (SHEET 1 OF 3)</t>
  </si>
  <si>
    <t>S-T08-CL2502</t>
  </si>
  <si>
    <t>COLUMN C25a&amp;b DETAILS (SHEET 2 OF 3)</t>
  </si>
  <si>
    <t>R4</t>
  </si>
  <si>
    <t>S-T08-CL2503</t>
  </si>
  <si>
    <t>COLUMN C25a&amp;b DETAILS (SHEET 3 OF 3)</t>
  </si>
  <si>
    <t>S-T08-CL2601</t>
  </si>
  <si>
    <t>COLUMN C26a&amp;b PEDESTAL DETAILS (SHEET 1 OF 3)</t>
  </si>
  <si>
    <t>S-T08-CL2602</t>
  </si>
  <si>
    <t>COLUMN C26a&amp;b DETAILS (SHEET 2 OF 3)</t>
  </si>
  <si>
    <t>S-T08-CL2603</t>
  </si>
  <si>
    <t>COLUMN C26a&amp;b DETAILS (SHEET 3 OF 3)</t>
  </si>
  <si>
    <t>S-T08-CL2901</t>
  </si>
  <si>
    <t>COLUMN C29a&amp;b PEDESTAL DETAILS (SHEET 1 OF 2)</t>
  </si>
  <si>
    <t>S-T08-CL2902</t>
  </si>
  <si>
    <t>COLUMN C29a&amp;b DETAILS (SHEET 2 OF 2)</t>
  </si>
  <si>
    <t>S-T08-CL3101</t>
  </si>
  <si>
    <t>COLUMN C31a&amp;b PEDESTAL DETAILS (SHEET 1 OF 3)</t>
  </si>
  <si>
    <t>S-T08-CL3102</t>
  </si>
  <si>
    <t>COLUMN C31a&amp;b DETAILS (SHEET 2 OF 3)</t>
  </si>
  <si>
    <t>S-T08-CL3103</t>
  </si>
  <si>
    <t>COLUMN C31a&amp;b DETAILS (SHEET 3 OF 3)</t>
  </si>
  <si>
    <t>S-T08-CL3201</t>
  </si>
  <si>
    <t>COLUMN C32a&amp;b PEDESTAL DETAILS (SHEET 1 OF 3)</t>
  </si>
  <si>
    <t>S-T08-CL3202</t>
  </si>
  <si>
    <t>COLUMN C32a&amp;b DETAILS (SHEET 2 OF 3)</t>
  </si>
  <si>
    <t>S-T08-CL3203</t>
  </si>
  <si>
    <t>COLUMN C32a&amp;b DETAILS (SHEET 3 OF 3)</t>
  </si>
  <si>
    <t>S-T08-CL2301</t>
  </si>
  <si>
    <t>COLUMN C23a PEDESTAL DETAILS (SHEET 1 OF 3)</t>
  </si>
  <si>
    <t>S-T08-CL2302</t>
  </si>
  <si>
    <t>COLUMN C23a DETAILS (SHEET 2 OF 3)</t>
  </si>
  <si>
    <t>S-T08-CL2303</t>
  </si>
  <si>
    <t>COLUMN C23a DETAILS (SHEET 3 OF 3)</t>
  </si>
  <si>
    <t>S-T08-CL2801</t>
  </si>
  <si>
    <t>COLUMN C28a&amp;b AND C30 a&amp;b COMBINED PEDESTAL DETAILS (SHEET 1 OF 3)</t>
  </si>
  <si>
    <t>S-T08-CL2802</t>
  </si>
  <si>
    <t>COLUMN C28a&amp;b DETAILS (SHEET 2 OF 3)</t>
  </si>
  <si>
    <t>S-T08-CL2803</t>
  </si>
  <si>
    <t>COLUMN C28a&amp;b DETAILS (SHEET 3 OF 3)</t>
  </si>
  <si>
    <t>S-T08-CL3001</t>
  </si>
  <si>
    <t>COLUMN C30a&amp;b REINFORCEMENT DETAILS (SHEET 1 OF 1)</t>
  </si>
  <si>
    <t>S-T08-CL3301</t>
  </si>
  <si>
    <t>COLUMN C33 a&amp;b COMBINED PEDESTAL DETAILS (SHEET 1 OF 3)</t>
  </si>
  <si>
    <t>S-T08-CL3302</t>
  </si>
  <si>
    <t>COLUMN C33 a&amp;b DETAILS (SHEET 2 OF 3)</t>
  </si>
  <si>
    <t>S-T08-CL3303</t>
  </si>
  <si>
    <t>COLUMN C33 a&amp;b DETAILS (SHEET 3 OF 3)</t>
  </si>
  <si>
    <t>S-T08-CL3401</t>
  </si>
  <si>
    <t>COLUMN C34a&amp;b PEDESTAL DETAILS (SHEET 1 OF 3)</t>
  </si>
  <si>
    <t>S-T08-CL3402</t>
  </si>
  <si>
    <t>COLUMN C34 a&amp;b DETAILS (SHEET 2 OF 3)</t>
  </si>
  <si>
    <t>S-T08-CL3403</t>
  </si>
  <si>
    <t>COLUMN C34 a&amp;b DETAILS (SHEET 3 OF 3)</t>
  </si>
  <si>
    <t>S-T08-CL3501</t>
  </si>
  <si>
    <t>COLUMN C35a&amp;b PEDESTAL DETAILS (SHEET 1 OF 3)</t>
  </si>
  <si>
    <t>S-T08-CL3502</t>
  </si>
  <si>
    <t>COLUMN C35 a&amp;b DETAILS (SHEET 2 OF 3)</t>
  </si>
  <si>
    <t>S-T08-CL3503</t>
  </si>
  <si>
    <t>COLUMN C35 a&amp;b DETAILS (SHEET 3 OF 3)</t>
  </si>
  <si>
    <t>S-T08-CL0601</t>
  </si>
  <si>
    <t>COLUMN C6 a&amp;b PEDESTAL DETAILS (SHEET 1 OF 4)</t>
  </si>
  <si>
    <t>S-T08-CL0602</t>
  </si>
  <si>
    <t>COLUMN C6 a&amp;b DETAILS (SHEET 2 OF 4)</t>
  </si>
  <si>
    <t>S-T08-CL0603</t>
  </si>
  <si>
    <t>COLUMN C6 a&amp;b DETAILS (SHEET 3 OF 4)</t>
  </si>
  <si>
    <t>S-T08-CL0604</t>
  </si>
  <si>
    <t>COLUMN C6 a&amp;b DETAILS (SHEET 4 OF 4)</t>
  </si>
  <si>
    <t>S-T08-CL1101</t>
  </si>
  <si>
    <t>COLUMN C11 PEDESTAL DETAILS (SHEET 1 OF 4)</t>
  </si>
  <si>
    <t>S-T08-CL1102</t>
  </si>
  <si>
    <t>COLUMN C11 DETAILS (SHEET 2 OF 4)</t>
  </si>
  <si>
    <t>S-T08-CL1103</t>
  </si>
  <si>
    <t>COLUMN C11 DETAILS (SHEET 3 OF 4)</t>
  </si>
  <si>
    <t>S-T08-CL1104</t>
  </si>
  <si>
    <t>COLUMN C11 DETAILS (SHEET 4 OF 4)</t>
  </si>
  <si>
    <t>S-T08-CL1701</t>
  </si>
  <si>
    <t>COLUMN C17a PEDESTAL DETAILS (SHEET 1 OF 3)</t>
  </si>
  <si>
    <t>S-T08-CL1702</t>
  </si>
  <si>
    <t>COLUMN C17a DETAILS (SHEET 2 OF 3)</t>
  </si>
  <si>
    <t>S-T08-CL1703</t>
  </si>
  <si>
    <t>COLUMN C17a DETAILS (SHEET 3 OF 3)</t>
  </si>
  <si>
    <t>S-T08-CL1801</t>
  </si>
  <si>
    <t>COLUMN C18 a&amp;b PEDESTAL DETAILS (SHEET 1 OF 5)</t>
  </si>
  <si>
    <t>S-T08-CL1802</t>
  </si>
  <si>
    <t>COLUMN C18a DETAILS (SHEET 2 OF 5)</t>
  </si>
  <si>
    <t>S-T08-CL1803</t>
  </si>
  <si>
    <t>COLUMN C18a DETAILS (SHEET 3 OF 5)</t>
  </si>
  <si>
    <t>S-T08-CL1804</t>
  </si>
  <si>
    <t>COLUMN C18b DETAILS (SHEET 4 OF 5)</t>
  </si>
  <si>
    <t>S-T08-CL1805</t>
  </si>
  <si>
    <t>COLUMN C18b DETAILS (SHEET 5 OF 5)</t>
  </si>
  <si>
    <t>S-T08-CL2001</t>
  </si>
  <si>
    <t>COLUMN C20a DETAILS (SHEET 1 OF 5)</t>
  </si>
  <si>
    <t>S-T08-CL2002</t>
  </si>
  <si>
    <t>COLUMN C20a DETAILS (SHEET 2 OF 5)</t>
  </si>
  <si>
    <t>S-T08-CL2003</t>
  </si>
  <si>
    <t>COLUMN C20b DETAILS (SHEET 3 OF 5)</t>
  </si>
  <si>
    <t>S-T08-CL2004</t>
  </si>
  <si>
    <t>COLUMN C20b DETAILS (SHEET 4 OF 5)</t>
  </si>
  <si>
    <t>S-T08-CL2005</t>
  </si>
  <si>
    <t>COLUMN C20b DETAILS (SHEET 5 OF 5)</t>
  </si>
  <si>
    <t>S-T08-CL2101</t>
  </si>
  <si>
    <t>COLUMN C21a PEDESTAL DETAILS (SHEET 1 OF 5)</t>
  </si>
  <si>
    <t>S-T08-CL2102</t>
  </si>
  <si>
    <t>COLUMN C21a DETAILS (SHEET 2 OF 5)</t>
  </si>
  <si>
    <t>S-T08-CL2103</t>
  </si>
  <si>
    <t>COLUMN C21b PEDESTAL DETAILS (SHEET 3 OF 5)</t>
  </si>
  <si>
    <t>S-T08-CL2104</t>
  </si>
  <si>
    <t>COLUMN C21b DETAILS (SHEET 4 OF 5)</t>
  </si>
  <si>
    <t>S-T08-CL2105</t>
  </si>
  <si>
    <t>COLUMN C21b DETAILS (SHEET 5 OF 5)</t>
  </si>
  <si>
    <t>S-T08-CL2701</t>
  </si>
  <si>
    <t>COLUMN C27a &amp; b COMBINED PEDESTAL DETAILS (SHEET 1  OF 3)</t>
  </si>
  <si>
    <t>S-T08-CL2702</t>
  </si>
  <si>
    <t>COLUMN C27a &amp; b DETAILS (SHEET 2 OF 3)</t>
  </si>
  <si>
    <t>S-T08-CL2703</t>
  </si>
  <si>
    <t>COLUMN C27a &amp; b DETAILS (SHEET 3 OF 3)</t>
  </si>
  <si>
    <t>S-T08-CL1704</t>
  </si>
  <si>
    <t>COLUMN C17b PEDESTAL DETAILS (SHEET 1 OF 4)</t>
  </si>
  <si>
    <t>S-T08-CL1705</t>
  </si>
  <si>
    <t>COLUMN 17b DETAILS (SHEET 2 OF 4)</t>
  </si>
  <si>
    <t>S-T08-CL1706</t>
  </si>
  <si>
    <t>COLUMN 17b DETAILS (SHEET 3 OF 4)</t>
  </si>
  <si>
    <t>S-T08-CL1707</t>
  </si>
  <si>
    <t>COLUMN 17b DETAILS (SHEET 4 OF 4)</t>
  </si>
  <si>
    <t>S-T08-CL3601</t>
  </si>
  <si>
    <t>COLUMN LC1 AND LC2 DETAILS (SHEET 1 OF 3)</t>
  </si>
  <si>
    <t>S-T08-CL3602</t>
  </si>
  <si>
    <t>COLUMN LC1 AND LC2 DETAILS (SHEET 2 OF 3)</t>
  </si>
  <si>
    <t>S-T08-CL3603</t>
  </si>
  <si>
    <t>COLUMN LC1 AND LC2 DETAILS (SHEET 3 OF 3)</t>
  </si>
  <si>
    <t>S-T08-CL3701</t>
  </si>
  <si>
    <t>COLUMN LC3 DETAILS (SHEET 1 OF 3)</t>
  </si>
  <si>
    <t>S-T08-CL3702</t>
  </si>
  <si>
    <t>COLUMN LC3 DETAILS (SHEET 2 OF 3)</t>
  </si>
  <si>
    <t>S-T08-CL3703</t>
  </si>
  <si>
    <t>COLUMN LC3 DETAILS (SHEET 3 OF 3)</t>
  </si>
  <si>
    <t>S-T08-CL3801</t>
  </si>
  <si>
    <t>COLUMN LC4 DETAILS (SHEET 1 OF 3)</t>
  </si>
  <si>
    <t>S-T08-CL3802</t>
  </si>
  <si>
    <t>COLUMN LC4 DETAILS (SHEET 2 OF 3)</t>
  </si>
  <si>
    <t>S-T08-CL3803</t>
  </si>
  <si>
    <t>COLUMN LC4 DETAILS (SHEET 3 OF 3)</t>
  </si>
  <si>
    <t>S-T08-CL3804</t>
  </si>
  <si>
    <t>Tower Crane Cutout Details in LC4</t>
  </si>
  <si>
    <t>S-T08-CL3901</t>
  </si>
  <si>
    <t>COLUMN DC2a AND DC2b DETAILS (SHEET 1 OF 2)</t>
  </si>
  <si>
    <t>S-T08-CL3902</t>
  </si>
  <si>
    <t>COLUMN DC2a AND DC2b DETAILS (SHEET 2 OF 2)</t>
  </si>
  <si>
    <t>S-T08-ST0102</t>
  </si>
  <si>
    <t>REINFORCEMENT DETAILS OF STAIRCASE -1 (SHEET 1)</t>
  </si>
  <si>
    <t>S-T08-ST0103</t>
  </si>
  <si>
    <t>REINFORCEMENT DETAILS OF STAIRCASE -1 (SHEET 2)</t>
  </si>
  <si>
    <t>S-T08-ST0104</t>
  </si>
  <si>
    <t>REINFORCEMENT DETAILS OF STAIRCASE -1 (SHEET 3)</t>
  </si>
  <si>
    <t>S-T08-ST0105</t>
  </si>
  <si>
    <t>REINFORCEMENT DETAILS OF STAIRCASE -1 (SHEET 4)</t>
  </si>
  <si>
    <t>S-T08-ST0106</t>
  </si>
  <si>
    <t>REINFORCEMENT DETAILS OF STAIRCASE -1 (SHEET 5)</t>
  </si>
  <si>
    <t>S-T08-ST0107</t>
  </si>
  <si>
    <t>REINFORCEMENT DETAILS OF STAIRCASE -1 (SHEET 6)</t>
  </si>
  <si>
    <t>S-T08-ST0108</t>
  </si>
  <si>
    <t>REINFORCEMENT DETAILS OF STAIRCASE -1 (SHEET 7)</t>
  </si>
  <si>
    <t>S-T08-ST0202</t>
  </si>
  <si>
    <t>REINFORCEMENT DETAILS OF STAIRCASE -2 (SHEET 1)</t>
  </si>
  <si>
    <t>S-T08-ST0203</t>
  </si>
  <si>
    <t>REINFORCEMENT DETAILS OF STAIRCASE -2 (SHEET 2)</t>
  </si>
  <si>
    <t>S-T08-ST0204</t>
  </si>
  <si>
    <t>REINFORCEMENT DETAILS OF STAIRCASE -2 (SHEET 3)</t>
  </si>
  <si>
    <t>S-T08-ST0205</t>
  </si>
  <si>
    <t>REINFORCEMENT DETAILS OF STAIRCASE -2 (SHEET 4)</t>
  </si>
  <si>
    <t>S-T08-ST0206</t>
  </si>
  <si>
    <t>REINFORCEMENT DETAILS OF STAIRCASE -2 (SHEET 5)</t>
  </si>
  <si>
    <t>S-T08-ST0207</t>
  </si>
  <si>
    <t>REINFORCEMENT DETAILS OF STAIRCASE -2 (SHEET 6)</t>
  </si>
  <si>
    <t>S-T08-ST0208</t>
  </si>
  <si>
    <t>REINFORCEMENT DETAILS OF STAIRCASE -2 (SHEET 7)</t>
  </si>
  <si>
    <t>STAIRCASE 3 - PLAN &amp; SECTIONS</t>
  </si>
  <si>
    <t>S-T08-ST0302</t>
  </si>
  <si>
    <t>REINFORCEMENT DETAILS OF STAIRCASE -3 (SHEET 1)</t>
  </si>
  <si>
    <t>S-T08-ST0303</t>
  </si>
  <si>
    <t>REINFORCEMENT DETAILS OF STAIRCASE -3 (SHEET 2)</t>
  </si>
  <si>
    <t>S-T08-ST0304</t>
  </si>
  <si>
    <t>REINFORCEMENT DETAILS OF STAIRCASE -3 (SHEET 3)</t>
  </si>
  <si>
    <t>S-T08-ST0305</t>
  </si>
  <si>
    <t>REINFORCEMENT DETAILS OF STAIRCASE -3 (SHEET 4)</t>
  </si>
  <si>
    <t>S-T08-ST0306</t>
  </si>
  <si>
    <t>REINFORCEMENT DETAILS OF STAIRCASE -3 (SHEET 5)</t>
  </si>
  <si>
    <t>S-T08-ST0307</t>
  </si>
  <si>
    <t>REINFORCEMENT DETAILS OF STAIRCASE -3 (SHEET 6)</t>
  </si>
  <si>
    <t>S-T08-ST0308</t>
  </si>
  <si>
    <t>REINFORCEMENT DETAILS OF STAIRCASE -3 (SHEET 7)</t>
  </si>
  <si>
    <t>S-T08-ST0309</t>
  </si>
  <si>
    <t>REINFORCEMENT DETAILS OF STAIRCASE -3 (SHEET 8)</t>
  </si>
  <si>
    <t>S-T08-ST0402</t>
  </si>
  <si>
    <t>REINFORCEMENT DETAILS OF STAIRCASE -4 (SHEET 1)</t>
  </si>
  <si>
    <t>S-T08-ST0403</t>
  </si>
  <si>
    <t>REINFORCEMENT DETAILS OF STAIRCASE -4 (SHEET 2)</t>
  </si>
  <si>
    <t>S-T08-ST0404</t>
  </si>
  <si>
    <t>REINFORCEMENT DETAILS OF STAIRCASE -4 (SHEET 3)</t>
  </si>
  <si>
    <t>S-T08-ST0405</t>
  </si>
  <si>
    <t>REINFORCEMENT DETAILS OF STAIRCASE -4 (SHEET 4)</t>
  </si>
  <si>
    <t>S-T08-ST0406</t>
  </si>
  <si>
    <t>REINFORCEMENT DETAILS OF STAIRCASE -4 (SHEET 5)</t>
  </si>
  <si>
    <t>S-T08-ST0407</t>
  </si>
  <si>
    <t>REINFORCEMENT DETAILS OF STAIRCASE -4 (SHEET 6)</t>
  </si>
  <si>
    <t>S-T08-ST0408</t>
  </si>
  <si>
    <t>REINFORCEMENT DETAILS OF STAIRCASE -4 (SHEET 7)</t>
  </si>
  <si>
    <t>STAIRCASE 5 - PLAN &amp; SECTIONS</t>
  </si>
  <si>
    <t>S-T08-ST0502</t>
  </si>
  <si>
    <t>REINFORCEMENT DETAILS OF STAIRCASE -5 (SHEET 1)</t>
  </si>
  <si>
    <t>S-T08-ST0503</t>
  </si>
  <si>
    <t>REINFORCEMENT DETAILS OF STAIRCASE -5 (SHEET 2)</t>
  </si>
  <si>
    <t>S-T08-ST0504</t>
  </si>
  <si>
    <t>REINFORCEMENT DETAILS OF STAIRCASE -5 (SHEET 3)</t>
  </si>
  <si>
    <t>S-T08-ST0505</t>
  </si>
  <si>
    <t>REINFORCEMENT DETAILS OF STAIRCASE -5 (SHEET 4)</t>
  </si>
  <si>
    <t>S-T08-ST0506</t>
  </si>
  <si>
    <t>REINFORCEMENT DETAILS OF STAIRCASE -5 (SHEET 5)</t>
  </si>
  <si>
    <t>PLAN SHOWING CUTOUTS IN RETAINING WALL</t>
  </si>
  <si>
    <t>S-T08-FP0201</t>
  </si>
  <si>
    <t>FRAMING PLAN AT SSL02</t>
  </si>
  <si>
    <t>S-T08-SL0101</t>
  </si>
  <si>
    <t>PART PLAN AND SECTION SHOWING SLEEVE LOCATIONS AT SSL01</t>
  </si>
  <si>
    <t>S-T08-SL0102</t>
  </si>
  <si>
    <t>SLEEVE REINF. DETAILS AT SSL01</t>
  </si>
  <si>
    <t>S-T08-SL0201</t>
  </si>
  <si>
    <t>PART PLAN AND SECTION SHOWING SLEEVE LOCATIONS AT SSL02</t>
  </si>
  <si>
    <t>S-T08-SL0202</t>
  </si>
  <si>
    <t>SLEEVE REINF. DETAILS AT SSL02</t>
  </si>
  <si>
    <t>S-T08-RP0115</t>
  </si>
  <si>
    <t>Ramp 1 - Slab Reinforcement Details from SSL0 to SSL01</t>
  </si>
  <si>
    <t>S-T08-RP0203</t>
  </si>
  <si>
    <t>Ramp 2 - 1RB1 &amp; B87 Beam Reinforcement Details (SSL0 to SSL1)</t>
  </si>
  <si>
    <t>S-T08-RP0204</t>
  </si>
  <si>
    <t>Ramp 2 - 1RB1 &amp; B87 Beam BBS (SSL0 to SSL1)</t>
  </si>
  <si>
    <t>S-T08-RP0205</t>
  </si>
  <si>
    <t>Ramp 2 - B85 &amp; 1RB2 Beam Reinforcement Details (SSL0 to SSL1)</t>
  </si>
  <si>
    <t>S-T08-RP0206</t>
  </si>
  <si>
    <t>Ramp 2 - B85 &amp; 1RB2 Beam BBS (SSL0 to SSL1)</t>
  </si>
  <si>
    <t>S-T08-RP0225</t>
  </si>
  <si>
    <t>Ramp 2 - Slab Reinforcement Details from SSL0 to SSL01</t>
  </si>
  <si>
    <t>S-T08-FD0004</t>
  </si>
  <si>
    <t>PLAN SHOWING RAFT BOTTOM REINF. IN Y-DIRECTION (SHEET 1)</t>
  </si>
  <si>
    <t>S-T08-FD0005</t>
  </si>
  <si>
    <t>PLAN SHOWING RAFT BOTTOM REINF. IN Y-DIRECTION (SHEET 2)</t>
  </si>
  <si>
    <t>S-T08-FD0006</t>
  </si>
  <si>
    <t>PLAN SHOWING RAFT BOTTOM REINF. IN Y-DIRECTION (SHEET 3)</t>
  </si>
  <si>
    <t>S-T08-FD0007</t>
  </si>
  <si>
    <t>BBS OF RAFT BOTTOM REINF. IN Y-DIRECTION</t>
  </si>
  <si>
    <t>S-T08-FD0008</t>
  </si>
  <si>
    <t>PLAN SHOWING RAFT BOTTOM REINF. IN X-DIRECTION (SHEET 1)</t>
  </si>
  <si>
    <t>S-T08-FD0009</t>
  </si>
  <si>
    <t>PLAN SHOWING RAFT BOTTOM REINF. IN X-DIRECTION (SHEET 2)</t>
  </si>
  <si>
    <t>S-T08-FD0010</t>
  </si>
  <si>
    <t>PLAN SHOWING RAFT BOTTOM REINF. IN X-DIRECTION (SHEET 3)</t>
  </si>
  <si>
    <t>S-T08-FD0011</t>
  </si>
  <si>
    <t>BBS OF RAFT BOTTOM REINF. IN X-DIRECTION</t>
  </si>
  <si>
    <t>S-T08-FD0012</t>
  </si>
  <si>
    <t>PLAN SHOWING RAFT TOP REINF. IN Y-DIRECTION (SHEET 1)</t>
  </si>
  <si>
    <t>S-T08-FD0013</t>
  </si>
  <si>
    <t>PLAN SHOWING RAFT TOP REINF. IN Y-DIRECTION (SHEET 2)</t>
  </si>
  <si>
    <t>S-T08-FD0014</t>
  </si>
  <si>
    <t>BBS OF RAFT TOP REINF. IN Y-DIRECTION</t>
  </si>
  <si>
    <t>S-T08-FD0015</t>
  </si>
  <si>
    <t>PLAN SHOWING RAFT TOP REINF. IN X-DIRECTION (SHEET 1)</t>
  </si>
  <si>
    <t>S-T08-FD0016</t>
  </si>
  <si>
    <t>PLAN SHOWING RAFT TOP REINF. IN X-DIRECTION (SHEET 2)</t>
  </si>
  <si>
    <t>S-T08-FD0017</t>
  </si>
  <si>
    <t>BBS OF RAFT TOP REINF. IN X-DIRECTION</t>
  </si>
  <si>
    <t>S-T08-FD0018</t>
  </si>
  <si>
    <t>PLAN SHOWING RAFT SIDE FACE REINF. DETAIL</t>
  </si>
  <si>
    <t>S-T08-FD0019</t>
  </si>
  <si>
    <t>PLAN SHOWING RAFT SHEAR REINF. DETAIL</t>
  </si>
  <si>
    <t>S-T08-FD0020</t>
  </si>
  <si>
    <t>BBS OD RAFT SHEAR AND SAIDE FACE REINF. DETAIL</t>
  </si>
  <si>
    <t>S-T08-FD0021</t>
  </si>
  <si>
    <t>SECTION AA &amp; BB RAFT REINFORCEMENT DETAIL</t>
  </si>
  <si>
    <t>S-T08-FD0022</t>
  </si>
  <si>
    <t>PLAN SHOWING EXTENDED BASEMENT RAFT Y-DIRECTION BOTTOM REINF. DETAIL</t>
  </si>
  <si>
    <t>S-T08-FD0023</t>
  </si>
  <si>
    <t>PLAN SHOWING EXTENDED BASEMENT RAFT X-DIRECTION BOTTOM REINF. DETAIL</t>
  </si>
  <si>
    <t>S-T08-FD0024</t>
  </si>
  <si>
    <t>BBS OF EXTENDED BASEMENT RAFT BOTTOM REINF.</t>
  </si>
  <si>
    <t>S-T08-FD0025</t>
  </si>
  <si>
    <t>PLAN SHOWING EXTENDED BASEMENT RAFT Y-DIRECTION TOP REINF. DETAIL</t>
  </si>
  <si>
    <t>S-T08-FD0026</t>
  </si>
  <si>
    <t>BBS OF EXTENDED BASEMENT RAFT Y-DIRECTION TOP REINFORCEMENT</t>
  </si>
  <si>
    <t>S-T08-FD0027</t>
  </si>
  <si>
    <t>PLAN SHOWING EXTENDED BASEMENT RAFT X-DIRECTION TOP REINF. DETAIL</t>
  </si>
  <si>
    <t>S-T08-FD0028</t>
  </si>
  <si>
    <t>BBS OF EXTENDED BASEMENT RAFT X-DIRECTION TOP REINFORCEMENT</t>
  </si>
  <si>
    <t>S-T08-FD0029</t>
  </si>
  <si>
    <t>EXTENDED BASEMENT SECTION &amp; TYP. BEAM REINF. DETAIL</t>
  </si>
  <si>
    <t>S-T08-FD0030</t>
  </si>
  <si>
    <t>CONSTRUCTION JOINT DETAILS</t>
  </si>
  <si>
    <t>S-T08-FD0031</t>
  </si>
  <si>
    <t>PLAN SHOWING THERMOCOUPLER LOCATIONS</t>
  </si>
  <si>
    <t>S-T08-FD0032</t>
  </si>
  <si>
    <t>ROCK ANCHOR DETAILS</t>
  </si>
  <si>
    <t>S-T08-FD0033</t>
  </si>
  <si>
    <t>EXTENDED BASEMENT CONSTRUCTION JOINT AND ANCHORING DETAILS</t>
  </si>
  <si>
    <t>S-T08-SBGN01</t>
  </si>
  <si>
    <t>GENERAL NOTES FOR SLABS</t>
  </si>
  <si>
    <t>S-T08-SB0113</t>
  </si>
  <si>
    <t>SECTION A, B &amp; C SLAB REINFORCEMENT DETAIL</t>
  </si>
  <si>
    <t>S-T08-SB0114</t>
  </si>
  <si>
    <t>PLAN SHOWING SLAB SHEAR REINFORCEMENT DETAIL</t>
  </si>
  <si>
    <t>S-T08-SB0115</t>
  </si>
  <si>
    <t>REINF. ANVHORING DETAILS (SLAB/BEAM WITH DIAPHRAGM WALL)</t>
  </si>
  <si>
    <t>S-T08-BMGN01</t>
  </si>
  <si>
    <t>GENERAL NOTES FOR BEAMS</t>
  </si>
  <si>
    <t>S-T08-BM0101</t>
  </si>
  <si>
    <t>Typical Beam Details</t>
  </si>
  <si>
    <t>S-T08-BM0111</t>
  </si>
  <si>
    <t>BEAM B28b-2 REINFORCEMENT DETAILS (SSL01)</t>
  </si>
  <si>
    <t>S-T08-BM0112</t>
  </si>
  <si>
    <t>BEAM B32 REINFORCEMENT DETAILS (SSL01)</t>
  </si>
  <si>
    <t>S-T08-BM0113</t>
  </si>
  <si>
    <t>Beam B28b-2 Reinf Details(SSL02)</t>
  </si>
  <si>
    <t>S-T08-BM0114</t>
  </si>
  <si>
    <t>Beam B32 Reinf Details (SSL02)</t>
  </si>
  <si>
    <t>S-T08-BM0115</t>
  </si>
  <si>
    <t>BEAM B65b-2, CB AND SB REINFORCEMENT DETAILS</t>
  </si>
  <si>
    <t>S-T08-BM0301</t>
  </si>
  <si>
    <t>S-T08-BM0314</t>
  </si>
  <si>
    <t>Beam B27B-4&amp;SB Reinf Details</t>
  </si>
  <si>
    <t>S-T08-BM0315</t>
  </si>
  <si>
    <t>Beam 28 Reinf. Details (Sheet 1)</t>
  </si>
  <si>
    <t>S-T08-BM0316</t>
  </si>
  <si>
    <t>Beam 28 Reinf. Details (Sheet 2)</t>
  </si>
  <si>
    <t>S-T08-BM0317</t>
  </si>
  <si>
    <t>Beam 28 Reinf. Details (Sheet 3)</t>
  </si>
  <si>
    <t>S-T08-BM0318</t>
  </si>
  <si>
    <t>Beam B48-2 &amp; B48-3 Reinf.Details</t>
  </si>
  <si>
    <t>S-T08-BM0319</t>
  </si>
  <si>
    <t>Beam B65b &amp; B33a/b Reinf. Details</t>
  </si>
  <si>
    <t>S-T08-BM0320</t>
  </si>
  <si>
    <t>Beam B66-a-7 Reinf Details</t>
  </si>
  <si>
    <t>S-T08-BM0321</t>
  </si>
  <si>
    <t>Beam B66b-7 Reinf Details</t>
  </si>
  <si>
    <t>S-T08-BM0322</t>
  </si>
  <si>
    <t>Beam B66a-4 Reinf Details</t>
  </si>
  <si>
    <t>S-T08-BM0323</t>
  </si>
  <si>
    <t>Beam B66b-4 Reinf Details</t>
  </si>
  <si>
    <t>S-T08-BM0435</t>
  </si>
  <si>
    <t>TYP UPSTAND DETAILS</t>
  </si>
  <si>
    <t>S-T08-BM0501</t>
  </si>
  <si>
    <t>S-T08-BM0502</t>
  </si>
  <si>
    <t>Beam reinforcement Details (Sheet-1)</t>
  </si>
  <si>
    <t>S-T08-BM0503</t>
  </si>
  <si>
    <t>Beam reinforcement Details (Sheet-2)</t>
  </si>
  <si>
    <t>S-T08-BM0504</t>
  </si>
  <si>
    <t>Beam reinforcement Details (Sheet-3)</t>
  </si>
  <si>
    <t>S-T08-BM0505</t>
  </si>
  <si>
    <t>Beam reinforcement Details (Sheet-4)</t>
  </si>
  <si>
    <t>S-T08-BM0506</t>
  </si>
  <si>
    <t>Beam reinforcement Details (Sheet-5)</t>
  </si>
  <si>
    <t>S-T08-BM0507</t>
  </si>
  <si>
    <t>Beam reinforcement Details (Sheet-6)</t>
  </si>
  <si>
    <t>S-T08-BM0508</t>
  </si>
  <si>
    <t>Beam reinforcement Details (Sheet-7)</t>
  </si>
  <si>
    <t>S-T08-BM0509</t>
  </si>
  <si>
    <t>Beam reinforcement Details (Sheet-8)</t>
  </si>
  <si>
    <t>S-T08-BM0510</t>
  </si>
  <si>
    <t>Beam B11ab.SB1,SB2,SB3 &amp; STB02 Reinf Details</t>
  </si>
  <si>
    <t>S-T08-BM0511</t>
  </si>
  <si>
    <t>Beam B13ab Reinf Details</t>
  </si>
  <si>
    <t>S-T08-BM0512</t>
  </si>
  <si>
    <t>Beam B28 Reinf details(Sheet 1)</t>
  </si>
  <si>
    <t>S-T08-BM0513</t>
  </si>
  <si>
    <t>Beam B28 Reinf details(Sheet 2)</t>
  </si>
  <si>
    <t>S-T08-BM0514</t>
  </si>
  <si>
    <t>Beam B28 Reinf details(Sheet 3)</t>
  </si>
  <si>
    <t>S-T08-BM0515</t>
  </si>
  <si>
    <t>Beam B66-1 Reinf.Details</t>
  </si>
  <si>
    <t>S-T08-BM0516</t>
  </si>
  <si>
    <t>Beam B64 Reinf Details</t>
  </si>
  <si>
    <t>S-T08-BM0517</t>
  </si>
  <si>
    <t>Beam B33 Reinf Details</t>
  </si>
  <si>
    <t>S-T08-BM0601</t>
  </si>
  <si>
    <t>TYPICAL LEVEL BEAM REINF. DETAILS (SHEET 1 )</t>
  </si>
  <si>
    <t>S-T08-BM0602</t>
  </si>
  <si>
    <t>TYPICAL LEVEL BEAM REINF. DETAILS (SHEET 2 )</t>
  </si>
  <si>
    <t>S-T08-BM0603</t>
  </si>
  <si>
    <t>TYPICAL LEVEL BEAM REINF. DETAILS (SHEET 3 )</t>
  </si>
  <si>
    <t>S-T08-BM0604</t>
  </si>
  <si>
    <t>TYPICAL LEVEL BEAM REINF. DETAILS (SHEET 4 )</t>
  </si>
  <si>
    <t>S-T08-BM0605</t>
  </si>
  <si>
    <t>TYPICAL LEVEL BEAM REINF. DETAILS (SHEET 5 )</t>
  </si>
  <si>
    <t>S-T08-BM0606</t>
  </si>
  <si>
    <t>TYPICAL LEVEL BEAM REINF. DETAILS (SHEET 6 )</t>
  </si>
  <si>
    <t>S-T08-BM0607</t>
  </si>
  <si>
    <t>TYPICAL LEVEL BEAM REINF. DETAILS (SHEET 7 )</t>
  </si>
  <si>
    <t>S-T08-BM0608</t>
  </si>
  <si>
    <t>TYPICAL LEVEL BEAM REINF. DETAILS (SHEET 8 )</t>
  </si>
  <si>
    <t>S-T08-BM0609</t>
  </si>
  <si>
    <t>TYPICAL LEVEL BEAM REINF. DETAILS (SHEET 9 )</t>
  </si>
  <si>
    <t>S-T08-BM0610</t>
  </si>
  <si>
    <t>TYPICAL LEVEL BEAM REINF. DETAILS (SHEET 10 )</t>
  </si>
  <si>
    <t>S-T08-BM0611</t>
  </si>
  <si>
    <t>TYPICAL LEVEL BEAM REINF. DETAILS (SHEET 11 )</t>
  </si>
  <si>
    <t>S-T08-BM0612</t>
  </si>
  <si>
    <t>TYPICAL LEVEL BEAM REINF. DETAILS (SHEET 12 )</t>
  </si>
  <si>
    <t>S-T08-BM0613</t>
  </si>
  <si>
    <t>TYPICAL LEVEL BEAM REINF. DETAILS (SHEET 13 )</t>
  </si>
  <si>
    <t>S-T08-BM0614</t>
  </si>
  <si>
    <t>TYPICAL LEVEL BEAM REINF. DETAILS (SHEET 14 )</t>
  </si>
  <si>
    <t>S-T08-BM0615</t>
  </si>
  <si>
    <t>TYPICAL LEVEL BEAM REINF. DETAILS (SHEET 15 )</t>
  </si>
  <si>
    <t>S-T08-BM0616</t>
  </si>
  <si>
    <t>TYPICAL LEVEL BEAM REINF. DETAILS (SHEET 16 )</t>
  </si>
  <si>
    <t>S-T08-BM0617</t>
  </si>
  <si>
    <t>TYPICAL LEVEL BEAM REINF. DETAILS (SHEET 17 )</t>
  </si>
  <si>
    <t>S-T08-BM0618</t>
  </si>
  <si>
    <t>TYPICAL LEVEL BEAM REINF. DETAILS (SHEET 18 )</t>
  </si>
  <si>
    <t>S-T08-BM0619</t>
  </si>
  <si>
    <t>TYPICAL LEVEL BEAM REINF. DETAILS (SHEET 19 )</t>
  </si>
  <si>
    <t>S-T08-BM0620</t>
  </si>
  <si>
    <t>TYPICAL LEVEL BEAM REINF. DETAILS (SHEET 20 )</t>
  </si>
  <si>
    <t>S-T08-BM0621</t>
  </si>
  <si>
    <t>TYPICAL LEVEL BEAM REINF. DETAILS (SHEET 21 )</t>
  </si>
  <si>
    <t>S-T08-SL0602</t>
  </si>
  <si>
    <t>TYPICAL SLEEVE REINF DETAILS</t>
  </si>
  <si>
    <t>S-T08-SL0603</t>
  </si>
  <si>
    <t>SLEEVE REINF DETAILS (SHEET 1)</t>
  </si>
  <si>
    <t>S-T08-SL0604</t>
  </si>
  <si>
    <t>SLEEVE REINF DETAILS (SHEET 2)</t>
  </si>
  <si>
    <t>S-T08-SL0605</t>
  </si>
  <si>
    <t>SLEEVE REINF DETAILS (SHEET 3)</t>
  </si>
  <si>
    <t>S-T08-SL0606</t>
  </si>
  <si>
    <t>SLEEVE REINF DETAILS (SHEET 4)</t>
  </si>
  <si>
    <t>S-T08-BM0401</t>
  </si>
  <si>
    <t>BEAM REINF. DETAILS (SHEET 1)</t>
  </si>
  <si>
    <t>S-T08-BM0402</t>
  </si>
  <si>
    <t>BEAM REINF. DETAILS (SHEET 2)</t>
  </si>
  <si>
    <t>S-T08-BM0403</t>
  </si>
  <si>
    <t>BEAM REINF. DETAILS (SHEET 3)</t>
  </si>
  <si>
    <t>S-T08-BM0404</t>
  </si>
  <si>
    <t>BEAM REINF. DETAILS (SHEET 4)</t>
  </si>
  <si>
    <t>S-T08-BM0405</t>
  </si>
  <si>
    <t>BEAM REINF. DETAILS (SHEET 5)</t>
  </si>
  <si>
    <t>S-T08-BM0406</t>
  </si>
  <si>
    <t>BEAM REINF. DETAILS (SHEET 6)</t>
  </si>
  <si>
    <t>S-T08-BM0407</t>
  </si>
  <si>
    <t>BEAM REINF. DETAILS (SHEET 7)</t>
  </si>
  <si>
    <t>S-T08-BM0408</t>
  </si>
  <si>
    <t>BEAM REINF. DETAILS (SHEET 8)</t>
  </si>
  <si>
    <t>S-T08-BM0409</t>
  </si>
  <si>
    <t>BEAM REINF. DETAILS (SHEET 9)</t>
  </si>
  <si>
    <t>S-T08-BM0410</t>
  </si>
  <si>
    <t>BEAM REINF. DETAILS (SHEET 10)</t>
  </si>
  <si>
    <t>S-T08-BM0411</t>
  </si>
  <si>
    <t>BEAM REINF. DETAILS (SHEET 11)</t>
  </si>
  <si>
    <t>S-T08-BM0412</t>
  </si>
  <si>
    <t>BEAM REINF. DETAILS (SHEET 12)</t>
  </si>
  <si>
    <t>S-T08-BM0413</t>
  </si>
  <si>
    <t>BEAM B2-5 REINF. DETAILS</t>
  </si>
  <si>
    <t>S-T08-BM0414</t>
  </si>
  <si>
    <t>BEAM B12-3 RENF. DETAILS</t>
  </si>
  <si>
    <t>S-T08-BM0415</t>
  </si>
  <si>
    <t>BEAM B14-3 REINF. DETAILS</t>
  </si>
  <si>
    <t>S-T08-BM0416</t>
  </si>
  <si>
    <t>BEAM B28-4 REINF. DETAILS</t>
  </si>
  <si>
    <t>S-T08-BM0417</t>
  </si>
  <si>
    <t>BEAM B33-1 &amp; B33-2 REINF. DETAILS</t>
  </si>
  <si>
    <t>S-T08-BM0418</t>
  </si>
  <si>
    <t>BEAM B36-1 &amp; B36-2  REINF. DETAILS</t>
  </si>
  <si>
    <t>S-T08-BM0419</t>
  </si>
  <si>
    <t>BEAM B38-1 REINF. DETAILS</t>
  </si>
  <si>
    <t>S-T08-BM0420</t>
  </si>
  <si>
    <t>BEAM B41-1 &amp; B41-2  REINF. DETAILS</t>
  </si>
  <si>
    <t>S-T08-BM0421</t>
  </si>
  <si>
    <t>BEAM B42-1  REINF. DETAILS</t>
  </si>
  <si>
    <t>S-T08-BM0422</t>
  </si>
  <si>
    <t>BEAM B50-1  REINF. DETAILS</t>
  </si>
  <si>
    <t>S-T08-BM0423</t>
  </si>
  <si>
    <t>BEAM B50-3 REINF. DETAILS</t>
  </si>
  <si>
    <t>S-T08-BM0424</t>
  </si>
  <si>
    <t>BEAM B58-2 REINF. DETAILS</t>
  </si>
  <si>
    <t>S-T08-BM0425</t>
  </si>
  <si>
    <t>BEAM B61-7 REINF. DETAILS</t>
  </si>
  <si>
    <t>S-T08-BM0426</t>
  </si>
  <si>
    <t>BEAM B93-1 REINF. DETAILS</t>
  </si>
  <si>
    <t>S-T08-BM0427</t>
  </si>
  <si>
    <t>BEAM B104-4 REINF. DETAILS</t>
  </si>
  <si>
    <t>S-T08-BM0428</t>
  </si>
  <si>
    <t>BEAM B104-7 REINF. DETAILS</t>
  </si>
  <si>
    <t>S-T08-BM0429</t>
  </si>
  <si>
    <t>BEAM B110-2 REINF. DETAILS</t>
  </si>
  <si>
    <t>S-T08-BM0430</t>
  </si>
  <si>
    <t>BEAM B118-2 REINF. DETAILS</t>
  </si>
  <si>
    <t>S-T08-BM0431</t>
  </si>
  <si>
    <t>BEAM B118-4 (SHEET 1) REINF. DETAILS</t>
  </si>
  <si>
    <t>S-T08-BM0432</t>
  </si>
  <si>
    <t>BEAM B118-4 (SHEET 2) REINF. DETAILS</t>
  </si>
  <si>
    <t>S-T08-BM0433</t>
  </si>
  <si>
    <t>BEAM B9-3 REINF. DETAILS</t>
  </si>
  <si>
    <t>S-T08-BM0434</t>
  </si>
  <si>
    <t>BEAM REINF. DETAILS</t>
  </si>
  <si>
    <t>S-T08-FP0401</t>
  </si>
  <si>
    <t>FRAMING PLAN AT SSL04</t>
  </si>
  <si>
    <t>S-T08-SB0401</t>
  </si>
  <si>
    <t>PLAN SHOWING SSL04 (BOTTOM-X) REINF. DETAIL (SHEET 1)</t>
  </si>
  <si>
    <t>S-T08-SB0402</t>
  </si>
  <si>
    <t>BBS OF SSL04 (BOTTOM-X) REINF. DETAIL (SHEET 2)</t>
  </si>
  <si>
    <t>S-T08-SB0403</t>
  </si>
  <si>
    <t>BBS OF SSL04 (BOTTOM-X) REINF. DETAIL (SHEET 3)</t>
  </si>
  <si>
    <t>S-T08-SB0404</t>
  </si>
  <si>
    <t>PLAN SHOWING SSL04 (BOTTOM-Y) REINF. DETAIL (SHEET 1)</t>
  </si>
  <si>
    <t>S-T08-SB0405</t>
  </si>
  <si>
    <t>BBS OF SSL04 (BOTTOM-Y) REINF. DETAIL (SHEET 2)</t>
  </si>
  <si>
    <t>S-T08-SB0406</t>
  </si>
  <si>
    <t>BBS OF SSL04 (BOTTOM-Y) REINF. DETAIL (SHEET 3)</t>
  </si>
  <si>
    <t>S-T08-SB0407</t>
  </si>
  <si>
    <t>PLAN SHOWING SSL04 (TOP-X) REINF. DETAIL (SHEET 1)</t>
  </si>
  <si>
    <t>S-T08-SB0408</t>
  </si>
  <si>
    <t>BBS OF SSL04 (TOP-X) REINF. DETAIL (SHEET 2)</t>
  </si>
  <si>
    <t>S-T08-SB0409</t>
  </si>
  <si>
    <t>BBS OF SSL04 (TOP-X) REINF. DETAIL (SHEET 3)</t>
  </si>
  <si>
    <t>S-T08-SB0410</t>
  </si>
  <si>
    <t>PLAN SHOWING SSL04 (TOP-Y) REINF. DETAIL (SHEET 1)</t>
  </si>
  <si>
    <t>S-T08-SB0411</t>
  </si>
  <si>
    <t>BBS OF SSL04 (TOP-Y) REINF. DETAIL (SHEET 2)</t>
  </si>
  <si>
    <t>S-T08-SB0412</t>
  </si>
  <si>
    <t>BBS OF SSL04 (TOP-Y) REINF. DETAIL (SHEET 3)</t>
  </si>
  <si>
    <t>S-T08-RP0117</t>
  </si>
  <si>
    <t>Ramp 1 - Slab Reinforcement Details from SSL03 to SSL04</t>
  </si>
  <si>
    <t>S-T08-RP0215</t>
  </si>
  <si>
    <t>Ramp 2 - 4RB-1 Beam Reinforcement Details (SSL03 to SSL04)</t>
  </si>
  <si>
    <t>S-T08-RP0216</t>
  </si>
  <si>
    <t>Ramp 2 - 4RB-1 Beam BBS (SSL03 to SSL04)</t>
  </si>
  <si>
    <t>S-T08-RP0217</t>
  </si>
  <si>
    <t>Ramp 2 - B85 &amp; 4RB-2 Beam Reinforcement Details (SSL03 to SSL04)</t>
  </si>
  <si>
    <t>S-T08-RP0218</t>
  </si>
  <si>
    <t>Ramp 2 - B85 &amp; 4RB-2 Beam BBS (SSL03 to SSL04)</t>
  </si>
  <si>
    <t>S-T08-RP0219</t>
  </si>
  <si>
    <t>Ramp 2 - B85-7 Reinforcement Details (SSL04)</t>
  </si>
  <si>
    <t>S-T08-RP0220</t>
  </si>
  <si>
    <t>Ramp 2 - Beam B136 Reinforcement Details (SSL04)</t>
  </si>
  <si>
    <t>S-T08-RP0221</t>
  </si>
  <si>
    <t>Ramp 2 - Beam 4RB1-9 Reinforcement Details (SSL04)</t>
  </si>
  <si>
    <t>S-T08-RP0227</t>
  </si>
  <si>
    <t>Ramp 2 - Slab Reinforcement Details from SSL03 to SSL04</t>
  </si>
  <si>
    <t>S-T08-RP0104</t>
  </si>
  <si>
    <t>Ramp 1 - SSL0 to SSL1 Beam BBS (Sheet-2)</t>
  </si>
  <si>
    <t>S-T08-RP0106</t>
  </si>
  <si>
    <t>Ramp 1 - SSL1 to SSL2 Beam BBS (Sheet-2)</t>
  </si>
  <si>
    <t>S-T08-RP0108</t>
  </si>
  <si>
    <t>Ramp 1 - SSL2 to SSL3 Beam BBS (Sheet-2)</t>
  </si>
  <si>
    <t>S-T08-RP0110</t>
  </si>
  <si>
    <t>Ramp 1 - SSL3 to SSL4 Beam BBS (Sheet-2)</t>
  </si>
  <si>
    <t>S-T08-RP0111</t>
  </si>
  <si>
    <t>Ramp 1 - SSL3 to SSL4 Beam Details</t>
  </si>
  <si>
    <t>S-T08-RP0207</t>
  </si>
  <si>
    <t>Ramp 2 - 2RB1 &amp; B87 Beam Reinforcement Details (SSL01 to SSL02)</t>
  </si>
  <si>
    <t>S-T08-RP0208</t>
  </si>
  <si>
    <t>Ramp 2 - 2RB1 &amp; B87 Beam BBS (SSL01 to SSL02)</t>
  </si>
  <si>
    <t>S-T08-RP0209</t>
  </si>
  <si>
    <t>Ramp 2 - B85 &amp; 2RB2 Beam Reinforcement Details (SSL01 to SSL02)</t>
  </si>
  <si>
    <t>S-T08-RP0210</t>
  </si>
  <si>
    <t>Ramp 2 - B85 &amp; 2RB2 Beam BBS (SSL01 to SSL02)</t>
  </si>
  <si>
    <t>S-T08-RP0103</t>
  </si>
  <si>
    <t>Ramp 1 - SSL0 to SSL1 Beam Reinforcement Details (Sheet-1)</t>
  </si>
  <si>
    <t>S-T08-RP0105</t>
  </si>
  <si>
    <t>Ramp 1 - SSL1 to SSL2 Beam Reinforcement Details (Sheet-1)</t>
  </si>
  <si>
    <t>S-T08-RP0107</t>
  </si>
  <si>
    <t>Ramp 1 - SSL2 to SSL3 Beam Reinforcement Details (Sheet-1)</t>
  </si>
  <si>
    <t>S-T08-RP0109</t>
  </si>
  <si>
    <t>Ramp 1 - SSL3 to SSL4 Beam Reinforcement Details (Sheet-1)</t>
  </si>
  <si>
    <t>S-T08-RP0116</t>
  </si>
  <si>
    <t>Ramp 1 - Slab Reinforcement Details from SSL01 to SSL03</t>
  </si>
  <si>
    <t>S-T08-RP0211</t>
  </si>
  <si>
    <t>Ramp 2 - 3RB1 &amp; B87 Beam Reinforcement Details (SSL02 to SSL03)</t>
  </si>
  <si>
    <t>S-T08-RP0212</t>
  </si>
  <si>
    <t>Ramp 2 - 3RB1 &amp; B87 Beam BBS (SSL02 to SSL03)</t>
  </si>
  <si>
    <t>S-T08-RP0213</t>
  </si>
  <si>
    <t>Ramp 2 - B85 &amp; 3RB2 Beam Reinforcement Details (SSL02 to SSL03)</t>
  </si>
  <si>
    <t>S-T08-RP0214</t>
  </si>
  <si>
    <t>Ramp 2 - B85 &amp; 3RB2 Beam BBS (SSL02 to SSL03)</t>
  </si>
  <si>
    <t>S-T08-RP0226</t>
  </si>
  <si>
    <t>Ramp 2 - Slab Reinforcement Details from SSL01 to SSL03</t>
  </si>
  <si>
    <t>S-T08-FP0501</t>
  </si>
  <si>
    <t>FRAMING PLAN AT SSL05</t>
  </si>
  <si>
    <t>S-T08-SL0501</t>
  </si>
  <si>
    <t>SLEEVE DETAILS AT SSL05</t>
  </si>
  <si>
    <t>S-T08-SB0501</t>
  </si>
  <si>
    <t>Plan showing SSL05 (Bottom X ) Reinf Detail</t>
  </si>
  <si>
    <t>S-T08-SB0502</t>
  </si>
  <si>
    <t>BBS of  SSL05 (Bottom X ) Reinf Detail</t>
  </si>
  <si>
    <t>S-T08-SB0503</t>
  </si>
  <si>
    <t>Plan showing SSL05 (Bottom Y ) Reinf Detail</t>
  </si>
  <si>
    <t>S-T08-SB0504</t>
  </si>
  <si>
    <t>BBS of  SSL05 (Bottom Y ) Reinf Detail</t>
  </si>
  <si>
    <t>S-T08-SB0505</t>
  </si>
  <si>
    <t>Plan showing SSL05 (Top X ) Reinf Detail</t>
  </si>
  <si>
    <t>S-T08-SB0506</t>
  </si>
  <si>
    <t>BBS of  SSL05 (Top X ) Reinf Detail (sheet 1)</t>
  </si>
  <si>
    <t>S-T08-SB0507</t>
  </si>
  <si>
    <t>BBS of  SSL05 (Top X ) Reinf Detail (sheet 2)</t>
  </si>
  <si>
    <t>S-T08-SB0508</t>
  </si>
  <si>
    <t>Plan showing SSL05 (Top Y ) Reinf Detail</t>
  </si>
  <si>
    <t>S-T08-SB0509</t>
  </si>
  <si>
    <t>BBS of  SSL05 (Top Y ) Reinf Detail (sheet 1)</t>
  </si>
  <si>
    <t>S-T08-SB0510</t>
  </si>
  <si>
    <t>BBS of  SSL05 (Top Y ) Reinf Detail (sheet 2)</t>
  </si>
  <si>
    <t>Sleeve Layout at SSL05</t>
  </si>
  <si>
    <t>S-T08-SL0502</t>
  </si>
  <si>
    <t>Typical Sleeve Reinf Details</t>
  </si>
  <si>
    <t>S-T08-SL0503</t>
  </si>
  <si>
    <t>Sleeve Reinf Detail (Sheet 1)</t>
  </si>
  <si>
    <t>S-T08-SL0504</t>
  </si>
  <si>
    <t>Sleeve Reinf Detail (Sheet 2)</t>
  </si>
  <si>
    <t>S-T08-SL0505</t>
  </si>
  <si>
    <t>Sleeve Reinf Detail (Sheet 3)</t>
  </si>
  <si>
    <t>S-T08-SL0506</t>
  </si>
  <si>
    <t>Sleeve Reinf Detail (Sheet 4)</t>
  </si>
  <si>
    <t>S-T08-ST0801</t>
  </si>
  <si>
    <t>D35-INTERNAL STAIRCASE DETAILS</t>
  </si>
  <si>
    <t>S-T08-ST0802</t>
  </si>
  <si>
    <t>D35 INTERNAL STAIRCASE REINFORCEMENT DETAILS (SHEET-1)</t>
  </si>
  <si>
    <t>S-T08-ST0803</t>
  </si>
  <si>
    <t>D35 INTERNAL STAIRCASE REINFORCEMENT DETAILS (SHEET-2)</t>
  </si>
  <si>
    <t>S-T08-FP0601</t>
  </si>
  <si>
    <t>FRAMING PLAN AT SSL06, 08, 10, 12…36</t>
  </si>
  <si>
    <t>TYPICAL LEVEL BEAM REINF. DETAILS (SHEET 1)</t>
  </si>
  <si>
    <t>TYPICAL LEVEL BEAM REINF. DETAILS (SHEET 2)</t>
  </si>
  <si>
    <t>TYPICAL LEVEL BEAM REINF. DETAILS (SHEET 3)</t>
  </si>
  <si>
    <t>TYPICAL LEVEL BEAM REINF. DETAILS (SHEET 4)</t>
  </si>
  <si>
    <t>TYPICAL LEVEL BEAM REINF. DETAILS (SHEET 5)</t>
  </si>
  <si>
    <t>TYPICAL LEVEL BEAM REINF. DETAILS (SHEET 6)</t>
  </si>
  <si>
    <t>TYPICAL LEVEL BEAM REINF. DETAILS (SHEET 7)</t>
  </si>
  <si>
    <t>TYPICAL LEVEL BEAM REINF. DETAILS (SHEET 8)</t>
  </si>
  <si>
    <t>TYPICAL LEVEL BEAM REINF. DETAILS (SHEET 9)</t>
  </si>
  <si>
    <t>TYPICAL LEVEL BEAM REINF. DETAILS (SHEET 10)</t>
  </si>
  <si>
    <t>TYPICAL LEVEL BEAM REINF. DETAILS (SHEET 11)</t>
  </si>
  <si>
    <t>TYPICAL LEVEL BEAM REINF. DETAILS (SHEET 12)</t>
  </si>
  <si>
    <t>TYPICAL LEVEL BEAM REINF. DETAILS (SHEET 13)</t>
  </si>
  <si>
    <t>TYPICAL LEVEL BEAM REINF. DETAILS (SHEET 14)</t>
  </si>
  <si>
    <t>TYPICAL LEVEL BEAM REINF. DETAILS (SHEET 15)</t>
  </si>
  <si>
    <t>TYPICAL LEVEL BEAM REINF. DETAILS (SHEET 16)</t>
  </si>
  <si>
    <t>TYPICAL LEVEL BEAM REINF. DETAILS (SHEET 17)</t>
  </si>
  <si>
    <t>TYPICAL LEVEL BEAM REINF. DETAILS (SHEET 18)</t>
  </si>
  <si>
    <t>TYPICAL LEVEL BEAM REINF. DETAILS (SHEET 19)</t>
  </si>
  <si>
    <t>TYPICAL LEVEL BEAM REINF. DETAILS (SHEET 20)</t>
  </si>
  <si>
    <t>TYPICAL LEVEL BEAM REINF. DETAILS (SHEET 21)</t>
  </si>
  <si>
    <t>S-T08-BM0622</t>
  </si>
  <si>
    <t>BEAM B10a &amp;B10b REINF. DETAILS SSL 06,08,10...SSL 22(EVEN LEVELS)</t>
  </si>
  <si>
    <t>S-T08-BM0623</t>
  </si>
  <si>
    <t>BEAM B10a &amp;B10b REINF. DETAILS SSL24, SSL26, SSL 28</t>
  </si>
  <si>
    <t>S-T08-BM0624</t>
  </si>
  <si>
    <t>BEAM B10a &amp;B10b REINF. DETAILS SSL30, SSL32, SSL 34</t>
  </si>
  <si>
    <t>S-T08-BM0625</t>
  </si>
  <si>
    <t>BEAM B11ab REINF. DETAILS SSL06,07,08....&amp; SSL 23</t>
  </si>
  <si>
    <t>S-T08-BM0626</t>
  </si>
  <si>
    <t>BEAM B11ab REINF. DETAILS SSL24,25,26,27,28 &amp; SSL 29</t>
  </si>
  <si>
    <t>S-T08-BM0627</t>
  </si>
  <si>
    <t>BEAM B11ab REINF. DETAILS SSL30,31,32,33,34 &amp; SSL 35</t>
  </si>
  <si>
    <t>S-T08-BM0628</t>
  </si>
  <si>
    <t>BEAM B13ab REINF. DETAILS SSL06,07,08....&amp; SSL 23</t>
  </si>
  <si>
    <t>S-T08-BM0629</t>
  </si>
  <si>
    <t>BEAM B13ab REINF. DETAILS SSL24,25,26,27,28 &amp; SSL 29</t>
  </si>
  <si>
    <t>S-T08-BM0630</t>
  </si>
  <si>
    <t>BEAM B13ab REINF. DETAILS SSL30,31,32,33,34 &amp; SSL 35</t>
  </si>
  <si>
    <t>S-T08-BM0631</t>
  </si>
  <si>
    <t>BEAM B23a/b-1 REINF. DETAILS SSL 06,08,10...&amp; SSL34(EVEN LEVEL)</t>
  </si>
  <si>
    <t>S-T08-BM0632</t>
  </si>
  <si>
    <t>BEAM B28a/b-1, B52a/b-1, B52a/b-2 &amp; B82a/b REINF. DETAILS SSL 06,08,10...&amp; SSL34(EVEN LEVEL)</t>
  </si>
  <si>
    <t>S-T08-BM0633</t>
  </si>
  <si>
    <t>BEAM B59a/b-1, B59a/b-5 &amp; B74a/b-4 REINF. DETAILS SSL 06,08,10...&amp; SSL34(EVEN LEVEL)</t>
  </si>
  <si>
    <t>S-T08-BM0634</t>
  </si>
  <si>
    <t>BEAM B76a-2 &amp; 76b-2 REINF. DETAILS SSL 06 TO SSL 34(EVEN LEVELS)</t>
  </si>
  <si>
    <t>S-T08-BM0635</t>
  </si>
  <si>
    <t>BEAM B28b-2 REINF. DETAILS SSL 06,07,08,....SSL 23</t>
  </si>
  <si>
    <t>S-T08-BM0636</t>
  </si>
  <si>
    <t>BEAM B28b-2 REINF. DETAILS SSL 24,25,26,27,28 &amp; SSL 29</t>
  </si>
  <si>
    <t>S-T08-BM0637</t>
  </si>
  <si>
    <t>BEAM B28b-2 REINF. DETAILS SSL 30,31,32,33,34 &amp; SSL 35</t>
  </si>
  <si>
    <t>S-T08-SB0601</t>
  </si>
  <si>
    <t>PLAN SHOWING SLAB BOTTOM-X DIRECTION REINF. FOR SSL 6 TO SSL 35</t>
  </si>
  <si>
    <t>S-T08-SB0602</t>
  </si>
  <si>
    <t>BBS OF SLAB BOTTOM-X DIRECTION REINF. FOR SSL 6,7,8..34 &amp; 35</t>
  </si>
  <si>
    <t>S-T08-SB0603</t>
  </si>
  <si>
    <t>PART PLANS OF SLAB BOTTOM-X DIRECTION REINF. FOR SSL 6 TO SSL 35</t>
  </si>
  <si>
    <t>S-T08-SB0604</t>
  </si>
  <si>
    <t>BBS OF SLAB BOTTOM-X DIRECTION REINF. FOR SSL 6,8,10..34 &amp; SSL7,9,11..35</t>
  </si>
  <si>
    <t>S-T08-SB0605</t>
  </si>
  <si>
    <t>PLAN SHOWING SLAB BOTTOM-Y DIRECTION REINF. FOR SSL 6 TO SSL 35</t>
  </si>
  <si>
    <t>S-T08-SB0606</t>
  </si>
  <si>
    <t>BBS OF SLAB BOTTOM-Y DIRECTION REINF. FOR SSL 6,7,8..34 &amp; 35</t>
  </si>
  <si>
    <t>TYPICAL SLEEVE REINFORCEMENT DETAILS</t>
  </si>
  <si>
    <t>SLEEVE REINFORCEMENT DETAILS (SHEET 1)</t>
  </si>
  <si>
    <t>SLEEVE REINFORCEMENT DETAILS (SHEET 2)</t>
  </si>
  <si>
    <t>SLEEVE REINFORCEMENT DETAILS (SHEET 3)</t>
  </si>
  <si>
    <t>SLEEVE REINFORCEMENT DETAILS (SHEET 4)</t>
  </si>
  <si>
    <t>S-T08-SL0601</t>
  </si>
  <si>
    <t>SLEEVE DETAILS AT SSL06, 07…38 (TYPICAL LEVELS)</t>
  </si>
  <si>
    <t>S-T08-SB0101</t>
  </si>
  <si>
    <t>PLAN SHOWING SSL01 AND SSL02 (BOTTOM-X) REINFORCEMENT DETAIL</t>
  </si>
  <si>
    <t>S-T08-SB0102</t>
  </si>
  <si>
    <t>BBS OF SSL01 AND SSL02 (BOTTOM-X) REINFORCEMENT DETAIL (SHEET 1 OF 2)</t>
  </si>
  <si>
    <t>S-T08-SB0103</t>
  </si>
  <si>
    <t>BBS OF SSL01 AND SSL02 (BOTTOM-X) REINFORCEMENT DETAIL (SHEET 2 OF 2)</t>
  </si>
  <si>
    <t>S-T08-SB0104</t>
  </si>
  <si>
    <t>PLAN SHOWING SSL01 AND SSL02 (BOTTOM-Y) REINFORCEMENT DETAIL</t>
  </si>
  <si>
    <t>S-T08-SB0105</t>
  </si>
  <si>
    <t>BBS OF SSL01 AND SSL02 (BOTTOM-Y) REINFORCEMENT DETAIL (SHEET 1 OF 2)</t>
  </si>
  <si>
    <t>S-T08-SB0106</t>
  </si>
  <si>
    <t>BBS OF SSL01 AND SSL02 (BOTTOM-Y) REINFORCEMENT DETAIL (SHEET 2 OF 2)</t>
  </si>
  <si>
    <t>S-T08-SB0107</t>
  </si>
  <si>
    <t>PLAN SHOWING SSL01 AND SSL02 (TOP-X) REINFORCEMENT DETAIL</t>
  </si>
  <si>
    <t>S-T08-SB0108</t>
  </si>
  <si>
    <t>BBS OF SSL01 AND SSL02 (TOP-X) REINFORCEMENT DETAIL (SHEET 1 OF 2)</t>
  </si>
  <si>
    <t>S-T08-SB0109</t>
  </si>
  <si>
    <t>BBS OF SSL01 AND SSL02 (TOP-X) REINFORCEMENT DETAIL (SHEET 2 OF 2)</t>
  </si>
  <si>
    <t>S-T08-SB0110</t>
  </si>
  <si>
    <t>PLAN SHOWING SSL01 AND SSL02 (TOP-Y) REINFORCEMENT DETAIL</t>
  </si>
  <si>
    <t>S-T08-SB0111</t>
  </si>
  <si>
    <t>BBS OF SSL01 AND SSL02 (TOP-Y) REINFORCEMENT DETAIL (SHEET 1 OF 2)</t>
  </si>
  <si>
    <t>S-T08-SB0112</t>
  </si>
  <si>
    <t>BBS OF SSL01 AND SSL02 (TOP-Y) REINFORCEMENT DETAIL (SHEET 2 OF 2)</t>
  </si>
  <si>
    <t>S-T08-BM0103</t>
  </si>
  <si>
    <t>SSL01 &amp; SSL02 Beam details (Sheet 2)</t>
  </si>
  <si>
    <t>S-T08-BM0105</t>
  </si>
  <si>
    <t>SSL01 &amp; SSL02 Beam details (Sheet 4)</t>
  </si>
  <si>
    <t>S-T08-BM0107</t>
  </si>
  <si>
    <t>SSL01 &amp; SSL02 Beam details (Sheet 6)</t>
  </si>
  <si>
    <t>S-T08-BM0109</t>
  </si>
  <si>
    <t>SSL01  Beam Details (Sheet 8)</t>
  </si>
  <si>
    <t>S-T08-BM0116</t>
  </si>
  <si>
    <t>BEAM B66a-4 REINFORCEMENT DETAILS (SSL01 &amp; SSL02)</t>
  </si>
  <si>
    <t>S-T08-BM0117</t>
  </si>
  <si>
    <t>BEAM B66b-4 REINFORCEMENT DETAILS (SSL01 &amp; SSL02)</t>
  </si>
  <si>
    <t>S-T08-BM0303</t>
  </si>
  <si>
    <t>SSL03 Beam details(Sheet 02)</t>
  </si>
  <si>
    <t>S-T08-BM0305</t>
  </si>
  <si>
    <t>SSL03 Beam details(Sheet 04)</t>
  </si>
  <si>
    <t>S-T08-BM0307</t>
  </si>
  <si>
    <t>SSL03 Beam details(Sheet 06)</t>
  </si>
  <si>
    <t>S-T08-BM0308</t>
  </si>
  <si>
    <t>SSL03 BEAM DETAILS (SHEET-7)</t>
  </si>
  <si>
    <t>S-T08-BM0309</t>
  </si>
  <si>
    <t>SSL03 Beam details(Sheet 08)</t>
  </si>
  <si>
    <t>S-T08-BM0311</t>
  </si>
  <si>
    <t>SSL03 Beam details(Sheet 10)</t>
  </si>
  <si>
    <t>S-T08-BM0313</t>
  </si>
  <si>
    <t>SSL03 Beam details(Sheet 12)</t>
  </si>
  <si>
    <t>S-T08-BM03010</t>
  </si>
  <si>
    <t>SSL03 BEAM DETAILS (SHEET-9)</t>
  </si>
  <si>
    <t>S-T08-SB0302</t>
  </si>
  <si>
    <t>BBS OF SSL03 (BOTTOM X ) REINF DETAIL(SHEET 1 OF 2)</t>
  </si>
  <si>
    <t>S-T08-SB0303</t>
  </si>
  <si>
    <t>BBS OF SSL03 (BOTTOM X ) REINF DETAIL(SHEET 2 OF 2)</t>
  </si>
  <si>
    <t>S-T08-SB0305</t>
  </si>
  <si>
    <t>BBS OF SSL03 (BOTTOM  Y ) REINF DETAIL(SHEET 1 OF 2)</t>
  </si>
  <si>
    <t>S-T08-SB0306</t>
  </si>
  <si>
    <t>BBS OF SSL03 (BOTTOM  Y ) REINF DETAIL(SHEET 2 OF 2)</t>
  </si>
  <si>
    <t>S-T08-SB0308</t>
  </si>
  <si>
    <t>BBS OF SSL03 (TOP X ) REINF DETAIL(SHEET 1 OF 2)</t>
  </si>
  <si>
    <t>S-T08-SB0309</t>
  </si>
  <si>
    <t>BBS OF SSL03 (TOP X ) REINF DETAIL(SHEET 2 OF 2)</t>
  </si>
  <si>
    <t>S-T08-SB0311</t>
  </si>
  <si>
    <t>BBS OF SSL03 (TOP Y ) REINF DETAIL(SHEET 1 OF 2)</t>
  </si>
  <si>
    <t>S-T08-SB0312</t>
  </si>
  <si>
    <t>BBS OF SSL03 (TOP Y ) REINF DETAIL(SHEET 2 OF 2)</t>
  </si>
  <si>
    <t>BEAM B1a &amp;B10b REINF. DETAILS SSL 06,08,10…SSL22(EVEN LEVELS)</t>
  </si>
  <si>
    <t>BEAM B1a &amp;B10b REINF. DETAILS SSL24, SSL26, SSL28</t>
  </si>
  <si>
    <t>BEAM B1a &amp;B10b REINF. DETAILS SSL30, SSL32, SSL34</t>
  </si>
  <si>
    <t>BEAM B23a/b-1 REINF. DETAILS SSL 06,08,10…SSL34 (EVEN LEVELS)</t>
  </si>
  <si>
    <t>BEAM B28a/b-1, B52a/b-1, B52a/b-2 &amp; B82a/b REINF. DETAILS SSL06,08,10…&amp;SSL34 (EVEN LEVELS)</t>
  </si>
  <si>
    <t>BEAM B58a/b-1, B58a/b-6, B77a/b-7, B59a/b-1,  B59a/b-5 &amp; B74a/b-4 REINF. DETAILS SSL 06,08,10…&amp; SSL34 (EVEN LEVELS)</t>
  </si>
  <si>
    <t>BEAM B76a-2 &amp; 76b-2 REINF. DETAILS SSL 06 TO SSL 34 (EVEN LEVELS)</t>
  </si>
  <si>
    <t>PLAN SHOWING TYPICAL SLEEVES LOCATION AT SSL06,07,08….SL38</t>
  </si>
  <si>
    <t>S-T08-FP0301</t>
  </si>
  <si>
    <t>FRAMING PLAN AT SSL03</t>
  </si>
  <si>
    <t>S-T08-FP0701</t>
  </si>
  <si>
    <t>FRAMING PLAN AT SSL07, 09, 11, 13…37</t>
  </si>
  <si>
    <t>S-T08-BM0102</t>
  </si>
  <si>
    <t>SSL01 &amp; SSL02 Beam details (Sheet 1)</t>
  </si>
  <si>
    <t>S-T08-BM0104</t>
  </si>
  <si>
    <t>SSL01 &amp; SSL02 Beam details (Sheet 3)</t>
  </si>
  <si>
    <t>S-T08-BM0106</t>
  </si>
  <si>
    <t>SSL01 &amp; SSL02 Beam details (Sheet 5)</t>
  </si>
  <si>
    <t>S-T08-BM0108</t>
  </si>
  <si>
    <t>SSL01 &amp; SSL02 Beam details (Sheet 7)</t>
  </si>
  <si>
    <t>S-T08-BM0110</t>
  </si>
  <si>
    <t>SSL02  Beam Details (Sheet 9)</t>
  </si>
  <si>
    <t>S-T08-BM0302</t>
  </si>
  <si>
    <t>SSL03 Beam details(Sheet 01)</t>
  </si>
  <si>
    <t>S-T08-BM0304</t>
  </si>
  <si>
    <t>SSL03 Beam details(Sheet 03)</t>
  </si>
  <si>
    <t>S-T08-BM0306</t>
  </si>
  <si>
    <t>SSL03 Beam details(Sheet 05)</t>
  </si>
  <si>
    <t>SSL03 BEAM DETAILS (SHEET-8)</t>
  </si>
  <si>
    <t>S-T08-BM0310</t>
  </si>
  <si>
    <t>SSL03 Beam details(Sheet 09)</t>
  </si>
  <si>
    <t>S-T08-BM0312</t>
  </si>
  <si>
    <t>SSL03 Beam details(Sheet 11)</t>
  </si>
  <si>
    <t>S-T08-SB0301</t>
  </si>
  <si>
    <t>PLAN SHOWING SSL03 (BOTTOM X ) REINF DETAIL</t>
  </si>
  <si>
    <t>S-T08-SB0304</t>
  </si>
  <si>
    <t>PLAN SHOWING SSL03 (BOTTOM  Y ) REINF DETAIL</t>
  </si>
  <si>
    <t>S-T08-SB0307</t>
  </si>
  <si>
    <t>PLAN SHOWING SSL03 (TOP X ) REINF DETAIL</t>
  </si>
  <si>
    <t>S-T08-SB0310</t>
  </si>
  <si>
    <t>PLAN SHOWING SSL03 (TOP Y ) REINF DETAIL</t>
  </si>
  <si>
    <t>BEAM B11ab REINF. DETAILS SSL 06,07,08…SSL23</t>
  </si>
  <si>
    <t>BEAM B11ab REINF. DETAILS SSL 24,25,26,27,28 &amp; SSL29</t>
  </si>
  <si>
    <t>BEAM B11ab REINF. DETAILS SSL 30,31,32,33,34 &amp; SSL35</t>
  </si>
  <si>
    <t>BEAM B13ab REINF. DETAILS SSL 06,07,08…SSL23</t>
  </si>
  <si>
    <t>BEAM B13ab REINF. DETAILS SSL 24,25,26,27,28 &amp; SSL29</t>
  </si>
  <si>
    <t>BEAM B13ab REINF. DETAILS SSL 30,31,32,33,34 &amp; SSL35</t>
  </si>
  <si>
    <t>BEAM B26b-2 REINF. DETAILS SSL 06,07,08,…SSL 23</t>
  </si>
  <si>
    <t>BEAM B28b-2 REINF. DETAILS SSL24,25,26,27,28 &amp; SSL29</t>
  </si>
  <si>
    <t>BEAM B28b-2 REINF. DETAILS SSL30,31,32,33,34 &amp; SSL35</t>
  </si>
  <si>
    <t>S-T08-BM0701</t>
  </si>
  <si>
    <t>BEAM B52a/b-1 &amp; B52a/b-2 &amp; B82a/b-2, BEAM B58a/b-1 &amp; B58a/b-6 &amp; B79a/b-3 SSL07,09…33&amp;35</t>
  </si>
  <si>
    <t>S-T08-BM0702</t>
  </si>
  <si>
    <t>BEAM B59a/b-1 &amp; B59a/b-5&amp; B74A/B-4 REINF. DETAILS (AT SSL 07,09…33&amp;35)</t>
  </si>
  <si>
    <t>S-T08-BM0703</t>
  </si>
  <si>
    <t>BEAM B66a/b-1 REINF. DETAILS (AT SSL 07, 09…33&amp;35)</t>
  </si>
  <si>
    <t>S-T08-SL0301</t>
  </si>
  <si>
    <t>Part plan &amp; section showing sleeve locations at SSL 03</t>
  </si>
  <si>
    <t>S-T08-SL0302</t>
  </si>
  <si>
    <t>SLEEVE REINFORCEMENT DETAIL AT SSL 03</t>
  </si>
  <si>
    <t>PLAN SHOWING SLAB BOTTOM-X DIRECTION REINF. FOR SSL6 TO SSL35</t>
  </si>
  <si>
    <t>BBS OF SLAB BOTTOM-X DIRECTION REINF. FOR SSL6, 7, 8…34 &amp; 35</t>
  </si>
  <si>
    <t>PART PLANS OF SLAB BOTTOM-X DIRECTION REINF. FOR SSL6 TO SSL35</t>
  </si>
  <si>
    <t>BBS OF SLAB BOTTOM-X DIRECTION REINF. FOR SSL6, 8, 10…34 &amp; SSL7, 9, 11...35</t>
  </si>
  <si>
    <t>PLAN SHOWING SLAB BOTTOM-Y DIRECTION REINF. FOR SSL6 TO SSL35</t>
  </si>
  <si>
    <t>BBS OF SLAB BOTTOM-Y DIRECTION REINF. FOR SSL6, 7, 8…34 &amp; 35</t>
  </si>
  <si>
    <t>S-T08-SB0607</t>
  </si>
  <si>
    <t>PART PLANS OF SLAB BOTTOM-Y DIRECTION REINF. FOR SSL6 TO SSL35</t>
  </si>
  <si>
    <t>S-T08-SB0608</t>
  </si>
  <si>
    <t>BBS OF SLAB BOTTOM-Y DIRECTION REINF. FOR SSL6, 8, 10…34 &amp; SSL7, 9, 11...35</t>
  </si>
  <si>
    <t>S-T08-SB0609</t>
  </si>
  <si>
    <t>PLAN SHOWING SLAB TOP-X DIRECTION REINF. FOR SSL6 TO SSL35</t>
  </si>
  <si>
    <t>S-T08-SB0610</t>
  </si>
  <si>
    <t>BBS OF SLAB TOP-X DIRECTION REINF. FOR SSL6, 7, 8…34 &amp; 35</t>
  </si>
  <si>
    <t>S-T08-SB0611</t>
  </si>
  <si>
    <t>PART PLANS OF SLAB TOP-X DIRECTION REINF. FOR SSL6 TO SSL35</t>
  </si>
  <si>
    <t>S-T08-SB0612</t>
  </si>
  <si>
    <t>BBS OF SLAB TOP-X DIRECTION REINF. FOR SSL6, 8, 10…34 &amp; SSL7, 9, 11...35</t>
  </si>
  <si>
    <t>S-T08-SB0613</t>
  </si>
  <si>
    <t>PLAN SHOWING SLAB TOP-Y DIRECTION REINF. FOR SSL6 TO SSL35</t>
  </si>
  <si>
    <t>S-T08-SB0614</t>
  </si>
  <si>
    <t>BBS OF SLAB TOP-Y DIRECTION REINF. FOR SSL6, 7, 8…34 &amp; 35</t>
  </si>
  <si>
    <t>S-T08-SB0615</t>
  </si>
  <si>
    <t>PART PLANS OF SLAB TOP-Y DIRECTION REINF. FOR SSL6 TO SSL35</t>
  </si>
  <si>
    <t>S-T08-SB0616</t>
  </si>
  <si>
    <t>BBS OF SLAB TOP-Y DIRECTION REINF. FOR SSL6, 8, 10…34 &amp; SSL7, 9, 11...35</t>
  </si>
  <si>
    <t>T08</t>
  </si>
  <si>
    <t>FRAMING PLAN SSL37(penthouse upper level)</t>
  </si>
  <si>
    <t>BEAM DETAILS SSL36</t>
  </si>
  <si>
    <t>SSL36, 37 BEAM REINF. DETAILS (SHEET 1)</t>
  </si>
  <si>
    <t>X</t>
  </si>
  <si>
    <t>SSL36, 37 BEAM REINF. DETAILS (SHEET 2)</t>
  </si>
  <si>
    <t>SSL36, 37 BEAM REINF. DETAILS (SHEET 3)</t>
  </si>
  <si>
    <t>SSL36, 37 BEAM REINF. DETAILS (SHEET 4)</t>
  </si>
  <si>
    <t>SSL36, 37 BEAM REINF. DETAILS (SHEET 5)</t>
  </si>
  <si>
    <t>SSL36, 37 BEAM REINF. DETAILS (SHEET 6)</t>
  </si>
  <si>
    <t>SSL36, 37 BEAM REINF. DETAILS (SHEET 7)</t>
  </si>
  <si>
    <t>SSL36, 37 BEAM REINF. DETAILS (SHEET 8)</t>
  </si>
  <si>
    <t>SSL36, 37 BEAM REINF. DETAILS (SHEET 9)</t>
  </si>
  <si>
    <t>SSL36, 37 BEAM REINF. DETAILS (SHEET 10)</t>
  </si>
  <si>
    <t>BEAM B10a &amp;B10b REINF. DETAILS FOR SSL36</t>
  </si>
  <si>
    <t>BEAM B23a/b-1 REINF. DETAILS FOR SSL 36</t>
  </si>
  <si>
    <t>BEAM B28a/b-1 &amp; B52a/b-2 &amp; B82a/b REINF. DETAILS FOR SSL36</t>
  </si>
  <si>
    <t>BEAM B58a/b-1, B58a/b-6, B77a/b-7 B59a/b-1, B59a/b-5 &amp; B74a/b-4 REINF. DETAILS FOR SSL-36</t>
  </si>
  <si>
    <t>BEAM B76a-2 &amp; 76b-2 REINF. DETAILS FOR SSL 36</t>
  </si>
  <si>
    <t>BEAM B52a/b-1, B52a/b-2 &amp; B82a/b REINF. DETAILS SSL 36</t>
  </si>
  <si>
    <t>BEAM B13ab REINF. DETAILS FOR SSL36 &amp; SSL 37</t>
  </si>
  <si>
    <t>BEAM B28b-2 REINF. DETAILS FOR SSL36 &amp; SSL37</t>
  </si>
  <si>
    <t>BEAM B11ab REINF. DETAILS FOR SSL36 &amp; SSL37</t>
  </si>
  <si>
    <t>BEAM B64 REINF. DETAILS FOR SSL 36 &amp;SSL 37</t>
  </si>
  <si>
    <t>BEAM B58a/b-1, B58a/b-6, B77a/b-7 B59a/b-1, B59a/b-5 &amp; B74a/b-4 REINF. DETAILS SSL 37</t>
  </si>
  <si>
    <t>BEAM B66a/b-1 REINF. DETAILS FOR SSL 37</t>
  </si>
  <si>
    <t>BEAM B52a/b-1, B52a/b-2 &amp; B82a/b REINF. DETAILS SSL 37</t>
  </si>
  <si>
    <t>FRAMING PLAN AT SSL 36</t>
  </si>
  <si>
    <t>FRAMING PLAN AT SSL 37</t>
  </si>
  <si>
    <t>PLAN SHOWING SLAB BOTTOM-X DIRECTION REINF. FOR SSL 36</t>
  </si>
  <si>
    <t>BBS OF SLAB BOTTOM-X DIRECTION REINF. FOR SSL 36</t>
  </si>
  <si>
    <t>PLAN SHOWING SLAB BOTTOM-Y DIRECTION REINF. FOR SSL 36</t>
  </si>
  <si>
    <t>BBS OF SLAB BOTTOM-Y DIRECTION REINF. FOR SSL 36</t>
  </si>
  <si>
    <t>PLAN SHOWING SLAB TOP-X DIRECTION REINF. FOR SSL 36</t>
  </si>
  <si>
    <t>BBS OF SLAB TOP-X DIRECTION REINF. FOR SSL 36</t>
  </si>
  <si>
    <t>PLAN SHOWING SLAB TOP-Y DIRECTION REINF. FOR SSL 36</t>
  </si>
  <si>
    <t>BBS OF SLAB TOP-Y DIRECTION REINF. FOR SSL 36</t>
  </si>
  <si>
    <t>PLAN SHOWING SLAB BOTTOM-X DIRECTION REINF. FOR SSL 37</t>
  </si>
  <si>
    <t>BBS OF SLAB BOTTOM-X DIRECTION REINF. FOR SSL 37</t>
  </si>
  <si>
    <t>PLAN SHOWING SLAB BOTTOM-Y DIRECTION REINF. FOR SSL 37</t>
  </si>
  <si>
    <t>BBS OF SLAB BOTTOM-Y DIRECTION REINF. FOR SSL 37</t>
  </si>
  <si>
    <t>PLAN SHOWING SLAB TOP-X DIRECTION REINF. FOR SSL 37</t>
  </si>
  <si>
    <t>BBS OF SLAB TOP-X DIRECTION REINF. FOR SSL 37</t>
  </si>
  <si>
    <t>PLAN SHOWING SLAB TOP-Y DIRECTION REINF. FOR SSL 37</t>
  </si>
  <si>
    <t>BBS OF SLAB TOP-Y DIRECTION REINF. FOR SSL 37</t>
  </si>
  <si>
    <t>BEAM DETAILS SSL37</t>
  </si>
  <si>
    <t>SLAB DETAILS SSL36</t>
  </si>
  <si>
    <t>SLAB DETAILS SSL37</t>
  </si>
  <si>
    <t>SL</t>
  </si>
  <si>
    <t>SLEEVE  DETAILS - SSL36</t>
  </si>
  <si>
    <t>SLEEVE DETAILS - SSL37</t>
  </si>
  <si>
    <t>SLEEVE  DETAILS - SSL38</t>
  </si>
  <si>
    <t>S-T08-FP3801</t>
  </si>
  <si>
    <t>FRAMING PLAN AT SSL38 (TERRACE)</t>
  </si>
  <si>
    <t>FRAMING PLAN OF OHT AND LMR</t>
  </si>
  <si>
    <t>BEAM DETAILS SSL38(TERRACE)</t>
  </si>
  <si>
    <t>BEAM DETAILS OF OHT AND LMR</t>
  </si>
  <si>
    <t>SLAB DETAILS SSL38(TERRACE)</t>
  </si>
  <si>
    <t>SLAB DETAILS OF OHT AND LMR</t>
  </si>
  <si>
    <t>SI</t>
  </si>
  <si>
    <t>COMPOUND WALL AND BOUNDARY WALLS</t>
  </si>
  <si>
    <t>STORM WATER DRAINAGE</t>
  </si>
  <si>
    <t>CULVERT DETAILS</t>
  </si>
  <si>
    <t>LANDSCAPE DETAILS</t>
  </si>
  <si>
    <t>HVAC TUNNELS</t>
  </si>
  <si>
    <t>TRANSFORMER YARD DETAILS</t>
  </si>
  <si>
    <t>DG YARD DETAILS</t>
  </si>
  <si>
    <t>MEP | DRAWING LIST</t>
  </si>
  <si>
    <t>Basement</t>
  </si>
  <si>
    <t>PHE</t>
  </si>
  <si>
    <t>PHE-STP-0001</t>
  </si>
  <si>
    <t>TOWER 8 STP LAYOUT</t>
  </si>
  <si>
    <t>STP and UGT Sump Plan and Sectional Detail</t>
  </si>
  <si>
    <t>ELE-T08-1001</t>
  </si>
  <si>
    <t>BASEMENT-1 ELECTRICAL LAYOUT</t>
  </si>
  <si>
    <t>ELE-T08-1002</t>
  </si>
  <si>
    <t>BASEMENT-2 ELECTRICAL LAYOUT</t>
  </si>
  <si>
    <t>ELE-T08-1003</t>
  </si>
  <si>
    <t>BASEMENT-3 ELECTRICAL LAYOUT</t>
  </si>
  <si>
    <t>ELE-T08-1005</t>
  </si>
  <si>
    <t>BASEMENT-1,2,3 &amp; 4 DB SCHEMATIC</t>
  </si>
  <si>
    <t>ELE-T08-1009</t>
  </si>
  <si>
    <t>Basement-1 Equipment &amp; cable tray routing layout</t>
  </si>
  <si>
    <t>ELE-T08-1010</t>
  </si>
  <si>
    <t>Basement-1 Equipment &amp; cable tray routing layout -Section</t>
  </si>
  <si>
    <t>ELE-T08-1011</t>
  </si>
  <si>
    <t>Basement-2 cable tray routing layout</t>
  </si>
  <si>
    <t>ELE-T08-1012</t>
  </si>
  <si>
    <t>Basement-3 Cable tray routing layout</t>
  </si>
  <si>
    <t>FPS-T08-1011</t>
  </si>
  <si>
    <t>Basement 1- FIRE FIGHTING LAYOUT</t>
  </si>
  <si>
    <t>FPS-T08-1012</t>
  </si>
  <si>
    <t>Basement 1- FIRE FIGHTING LAYOUT RING MAIN</t>
  </si>
  <si>
    <t>FPS-T08-1013</t>
  </si>
  <si>
    <t>Basement 1- FIRE DETECTION LAYOUT</t>
  </si>
  <si>
    <t>FPS-T08-1021</t>
  </si>
  <si>
    <t>Basement 02 - FIRE FIGHTING LAYOUT</t>
  </si>
  <si>
    <t>FPS-T08-1022</t>
  </si>
  <si>
    <t>Basement 02 - FIRE FIGHTING LAYOUT WATER CURTAIN</t>
  </si>
  <si>
    <t>FPS-T08-1023</t>
  </si>
  <si>
    <t>Basement 2 - FIRE DETECTION LAYOUT</t>
  </si>
  <si>
    <t>FPS-T08-1031</t>
  </si>
  <si>
    <t>Basement 03- FIRE FIGHTING LAYOUT</t>
  </si>
  <si>
    <t>FPS-T08-1032</t>
  </si>
  <si>
    <t>Basement 03- FIRE FIGHTING LAYOUT WATER CURTAIN</t>
  </si>
  <si>
    <t>FPS-T08-1033</t>
  </si>
  <si>
    <t>Basement 3- FIRE DETECTION LAYOUT</t>
  </si>
  <si>
    <t>HVAC-T08-1011</t>
  </si>
  <si>
    <t>BASEMENT-1 MECHANICAL VENTILATION LAYOUT</t>
  </si>
  <si>
    <t>HVAC-T08-1021</t>
  </si>
  <si>
    <t>BASEMENT-2 MECHANICAL VENTILATION LAYOUT</t>
  </si>
  <si>
    <t>HVAC-T08-1031</t>
  </si>
  <si>
    <t>BASEMENT-3 MECHANICAL VENTILATION LAYOUT</t>
  </si>
  <si>
    <t>PHE-T08-1101</t>
  </si>
  <si>
    <t>BASEMENT-02 CEILING LEVEL PHE COORDINATED SERVICES LAYOUT</t>
  </si>
  <si>
    <t>PHE-T08-1102</t>
  </si>
  <si>
    <t>BASEMENT-03 CEILING LEVEL PHE COORDINATED SERVICES LAYOUT</t>
  </si>
  <si>
    <t>IBMS-T08-1011</t>
  </si>
  <si>
    <t>BASEMENT 1 - IBMS LAYOUT</t>
  </si>
  <si>
    <t>IBMS-T08-1021</t>
  </si>
  <si>
    <t>BASEMENT 2 - IBMS LAYOUT</t>
  </si>
  <si>
    <t>IBMS-T08-1031</t>
  </si>
  <si>
    <t>BASEMENT 3 - IBMS LAYOUT</t>
  </si>
  <si>
    <t>IBMS-T08-1041</t>
  </si>
  <si>
    <t>BASEMENT 4 - IBMS LAYOUT</t>
  </si>
  <si>
    <t>FPS-T8-1014</t>
  </si>
  <si>
    <t>BASEMENT-1-FA CONDUIT LAYOUT</t>
  </si>
  <si>
    <t>ELE-T08-1004</t>
  </si>
  <si>
    <t>BASEMENT-4 ELECTRICAL LAYOUT</t>
  </si>
  <si>
    <t>CO-00-0004</t>
  </si>
  <si>
    <t>BASEMENT-01 CEILING LEVEL COORDINATED LAYOUT</t>
  </si>
  <si>
    <t>CO-00-0007</t>
  </si>
  <si>
    <t>BASEMENT-02,03 AND 04 SECTIONAL DETAILS</t>
  </si>
  <si>
    <t>CO-00-0008</t>
  </si>
  <si>
    <t>CO ORDINATED TERRACE GARDEN DRAIN DETAILS PODIUM LEVEL</t>
  </si>
  <si>
    <t>CO-T08-1101</t>
  </si>
  <si>
    <t>BASEMENT 2 CEIING LEVEL COORDINATED LAYOUT</t>
  </si>
  <si>
    <t>CO-T08-1102</t>
  </si>
  <si>
    <t>BASEMENT 3 CEILING LEVEL COORDINATED LAYOUT</t>
  </si>
  <si>
    <t>CO-T08-1103</t>
  </si>
  <si>
    <t>BASEMENT 4 CEILING LEVEL COORDINATED LAYOUT</t>
  </si>
  <si>
    <t>CO-T08-1107</t>
  </si>
  <si>
    <t>BASEMENT-01 CIELING LEVEL COORDINATED SECTIONAL DETAILS</t>
  </si>
  <si>
    <t>ELE-T08-1013</t>
  </si>
  <si>
    <t>Basement-4 Cable tray routing layout</t>
  </si>
  <si>
    <t>FPS-T08-1041</t>
  </si>
  <si>
    <t>Basement 4 - FIRE FIGHTING LAYOUT</t>
  </si>
  <si>
    <t>FPS-T08-1042</t>
  </si>
  <si>
    <t>Basement 4 - FIRE FIGHTING LAYOUT WATER CURTAIN</t>
  </si>
  <si>
    <t>FPS-T08-1043</t>
  </si>
  <si>
    <t>Basement 4 - FIRE DETECTION LAYOUT</t>
  </si>
  <si>
    <t>FF-UGT-4001</t>
  </si>
  <si>
    <t>FIRE PUMP ROOM LAYOUT 1</t>
  </si>
  <si>
    <t>FF-UGT-4002</t>
  </si>
  <si>
    <t>FIRE PUMP ROOM LAYOUT 2</t>
  </si>
  <si>
    <t>HVAC-T08-STP-1001</t>
  </si>
  <si>
    <t>STP VENTILATION LAYOUT</t>
  </si>
  <si>
    <t>HVAC-T08-UGT-1001</t>
  </si>
  <si>
    <t>UGT VENTILATION DETAILS</t>
  </si>
  <si>
    <t>HVAC-T08-1041</t>
  </si>
  <si>
    <t>BASEMENT-4 MECHANICAL VENTILATION LAYOUT</t>
  </si>
  <si>
    <t>PHE-T08-1103</t>
  </si>
  <si>
    <t>BASEMENT-04 CEILING LEVEL PHE COORDINATED SERVICES LAYOUT</t>
  </si>
  <si>
    <t>ELE</t>
  </si>
  <si>
    <t>Staricase lighting layout</t>
  </si>
  <si>
    <t>ELE-T08-1020</t>
  </si>
  <si>
    <t>LOBBY LIGHTING LAYOUT DB SCHEME- WING 1&amp;2</t>
  </si>
  <si>
    <t>ELE-T08-1021</t>
  </si>
  <si>
    <t>STILT LEVEL ELECTRICAL LAYOUT</t>
  </si>
  <si>
    <t>ELE-T08-1022</t>
  </si>
  <si>
    <t>STILT LEVEL DB SCHEMATIC</t>
  </si>
  <si>
    <t>ELE-W1-1011</t>
  </si>
  <si>
    <t>LEVEL-1 ELECTRICAL LAYOUT-WING 1</t>
  </si>
  <si>
    <t>ELE-W1-1012</t>
  </si>
  <si>
    <t>LEVEL-1 ELECTRICAL LAYOUT-DB SCHEME-WING 1</t>
  </si>
  <si>
    <t>ELE-W1-1013</t>
  </si>
  <si>
    <t>LEVEL-1 TV-TELEPHONE LAYOUT-WING 1</t>
  </si>
  <si>
    <t>ELE-W1-1014</t>
  </si>
  <si>
    <t>TV-TELEPHONE SCHEMATIC DIAGRAM-WING 1</t>
  </si>
  <si>
    <t>ELE-W1-1015</t>
  </si>
  <si>
    <t>TYPICAL HABITABLE LEVELS ELECTRICAL LAYOUT-WING 1</t>
  </si>
  <si>
    <t>ELE-W1-1016</t>
  </si>
  <si>
    <t>TYPICAL HABITABLE LEVELS ELECTRICAL LAYOUT-DB SCHEME-WING 1</t>
  </si>
  <si>
    <t>ELE-W1-1017</t>
  </si>
  <si>
    <t>TYPICAL HABITABLE LEVELS TV-TELEPHONE LAYOUT-WING 1</t>
  </si>
  <si>
    <t>ELE-W1-1018</t>
  </si>
  <si>
    <t>REFUGE LEVEL-19 &amp; 29 ELECTRICAL LAYOUT-WING 1</t>
  </si>
  <si>
    <t>ELE-W1-1019</t>
  </si>
  <si>
    <t>REFUGE LEVEL-19 &amp; 29 ELECTRICAL LAYOUT-DB SCHEME-WING 1</t>
  </si>
  <si>
    <t>ELE-W1-1020</t>
  </si>
  <si>
    <t>REFUGE LEVEL-19 &amp; 29 TV-TELEPHONE LAYOUT-WING 1</t>
  </si>
  <si>
    <t>ELE-W2-1021</t>
  </si>
  <si>
    <t>LEVEL-1 ELECTRICAL LAYOUT-WING 2</t>
  </si>
  <si>
    <t>ELE-W2-1022</t>
  </si>
  <si>
    <t>LEVEL-1 ELECTRICAL LAYOUT-DB SCHEME-WING 2</t>
  </si>
  <si>
    <t>ELE-W2-1023</t>
  </si>
  <si>
    <t>LEVEL-1 TV-TELEPHONE LAYOUT-WING 2</t>
  </si>
  <si>
    <t>ELE-W2-1024</t>
  </si>
  <si>
    <t>LEVEL-1 TV-TELEPHONE SCHEMATIC DIAGRAM-WING 2</t>
  </si>
  <si>
    <t>ELE-W2-1025</t>
  </si>
  <si>
    <t>TYPICAL EVEN LEVEL ELECTRICAL LAYOUT-WING 2</t>
  </si>
  <si>
    <t>ELE-W2-1026</t>
  </si>
  <si>
    <t>TYPICAL EVEN LEVEL ELECTRICAL LAYOUT-DB SCHEME-WING 2</t>
  </si>
  <si>
    <t>ELE-W2-1027</t>
  </si>
  <si>
    <t>TYPICAL EVEN LEVEL TV-TELEPHONE-WING 2</t>
  </si>
  <si>
    <t>ELE-W2-1028</t>
  </si>
  <si>
    <t>TYPICAL ODD LEVEL ELECTRICAL LAYOUT-WING 2</t>
  </si>
  <si>
    <t>ELE-W2-1029</t>
  </si>
  <si>
    <t>TYPICAL ODD LEVEL ELECTRICAL LAYOUT-DB SCHEME-WING 2</t>
  </si>
  <si>
    <t>ELE-W2-1030</t>
  </si>
  <si>
    <t>TYPICAL ODD LEVEL TV-TELEPHONE LAYOUT-WING 2</t>
  </si>
  <si>
    <t>ELE-T08-1023</t>
  </si>
  <si>
    <t>TYPICAL ELECTRICAL &amp; COMMUNICATION SHAFT DETAILS</t>
  </si>
  <si>
    <t>CO-T08-4001</t>
  </si>
  <si>
    <t>TYPICAL ODD LEVEL COORDINATED LAYOUT</t>
  </si>
  <si>
    <t>CO-T08-4002</t>
  </si>
  <si>
    <t>TYPICAL EVEN LEVEL COORDINATED LAYOUT</t>
  </si>
  <si>
    <t>CO-T08-4003</t>
  </si>
  <si>
    <t>LEVEL 19 AND 29 TYPICAL DETAIL COORDINATED LAYOUT</t>
  </si>
  <si>
    <t>CO-T08-4004</t>
  </si>
  <si>
    <t>TYPICAL LEVEL ENLARGED COORDINATED SHAFT DETAIL-02</t>
  </si>
  <si>
    <t>CO-T08-4005</t>
  </si>
  <si>
    <t>TYPICAL LEVEL ENLARGED COORDINATED SHAFT DETAIL-03</t>
  </si>
  <si>
    <t>CO-T08-1108</t>
  </si>
  <si>
    <t>STILT LEVEL COORDINATED LAYOUT</t>
  </si>
  <si>
    <t>CO-T08-1109</t>
  </si>
  <si>
    <t>STILT LEVEL COORDINATED SECTION DETAILS</t>
  </si>
  <si>
    <t>CO-T08-1110</t>
  </si>
  <si>
    <t>STILT LEVEL COORDINATED ENLARGED SHAFT DETAILS</t>
  </si>
  <si>
    <t>CO-T08-1111</t>
  </si>
  <si>
    <t>TOWER-08 COORDINATED STILT LEVEL BATHROOM LAYOUT</t>
  </si>
  <si>
    <t>CO-T08-1112</t>
  </si>
  <si>
    <t>TOWER-08 STILT LEVEL BATHROOM COORDINATED SECTIONAL DETAILS</t>
  </si>
  <si>
    <t>CO-UGT-0001</t>
  </si>
  <si>
    <t>T-08 UGT LAYOUT DETAILS COORDINATED</t>
  </si>
  <si>
    <t>CO-UGT-0002</t>
  </si>
  <si>
    <t>T-08 UGT SECTIONAL DETAILS COORDINATED</t>
  </si>
  <si>
    <t>PHE-T08-1109</t>
  </si>
  <si>
    <t>STILT LEVEL PLUMBING LAYOUT</t>
  </si>
  <si>
    <t>HVAC-T08-1001</t>
  </si>
  <si>
    <t>TYPICAL LEVEL VENTILATION LAYOUT</t>
  </si>
  <si>
    <t>HVAC-T08-1051</t>
  </si>
  <si>
    <t>STILT LEVEL VENTILATION LAYOUT</t>
  </si>
  <si>
    <t>FF-00-2000</t>
  </si>
  <si>
    <t>FIRE PROTECTION SCHEMATIC</t>
  </si>
  <si>
    <t>FF-00-2001</t>
  </si>
  <si>
    <t>FIRE DETECTION SCHEMATIC</t>
  </si>
  <si>
    <t>FF-T08-0001</t>
  </si>
  <si>
    <t>STILT LEVEL FIRE PROTECTION LAYOUT</t>
  </si>
  <si>
    <t>FF-T08-0002</t>
  </si>
  <si>
    <t>STILT LEVEL FIRE DETECTION LAYOUT</t>
  </si>
  <si>
    <t>FF-T08-0003</t>
  </si>
  <si>
    <t>TYPICAL ODD LEVEL FIRE PROTECTION LAYOUT</t>
  </si>
  <si>
    <t>FF-T08-0004</t>
  </si>
  <si>
    <t>TYPICAL ODD LEVEL FIRE DETECTION LAYOUT</t>
  </si>
  <si>
    <t>FF-T08-0005</t>
  </si>
  <si>
    <t>TYPICAL EVEN LEVEL FIRE PROTECTION LAYOUT</t>
  </si>
  <si>
    <t>FF-T08-0006</t>
  </si>
  <si>
    <t>TYPICAL EVEN LEVEL FIRE DETECTION LAYOUT</t>
  </si>
  <si>
    <t>FF-T08-0007</t>
  </si>
  <si>
    <t>REFUGE(19&amp;29) FIRE PROTECTION LAYOUT</t>
  </si>
  <si>
    <t>FF-T08-0008</t>
  </si>
  <si>
    <t>REFUGE (19&amp;29) FIRE DETECTION LAYOUT</t>
  </si>
  <si>
    <t>IBMS-T08-1013</t>
  </si>
  <si>
    <t>Tower</t>
  </si>
  <si>
    <t>Level - 31 (SSL 35) - PHE Layout (Drainage and Water Supply)</t>
  </si>
  <si>
    <t>Level - 32 (SSL 36) - PHE Layout (Drainage and Water Supply)</t>
  </si>
  <si>
    <t>FPS</t>
  </si>
  <si>
    <t>Level - 31 (SSL 35) - Fire Protection System Layout</t>
  </si>
  <si>
    <t>Level - 32 (SSL 36) - Fire Protection System Layout</t>
  </si>
  <si>
    <t>T08W1</t>
  </si>
  <si>
    <t>Level 31 Electrical layout-Wing1</t>
  </si>
  <si>
    <t>Level 31 Electrical layout-DB scheme-Wing1</t>
  </si>
  <si>
    <t>T08W2</t>
  </si>
  <si>
    <t>Level 31 Electrical layout-Wing2</t>
  </si>
  <si>
    <t>Level 31 Electrical layout-DB scheme-Wing2</t>
  </si>
  <si>
    <t>Level - 33 (SSL 37) - PHE Layout (Drainage and Water Supply)</t>
  </si>
  <si>
    <t>Level - 33 (SSL 37) - Fire Protection System Layout</t>
  </si>
  <si>
    <t>Level 32 Electrical layout-Wing1</t>
  </si>
  <si>
    <t>Level 32 Electrical layout-DB scheme-Wing1</t>
  </si>
  <si>
    <t>Level 32 Electrical layout-Wing2</t>
  </si>
  <si>
    <t>Level - 34 (SSL 38) - PHE Layout -Drainage System Layout</t>
  </si>
  <si>
    <t>Level - 34 (SSL 38) - PHE Layout -Water Supply Layout</t>
  </si>
  <si>
    <t>OHT Plan and Sectinal Detail</t>
  </si>
  <si>
    <t>Level - 34 (SSL 38) - Fire Protection System Layout</t>
  </si>
  <si>
    <t>Level 33 Electrical layout-Wing1</t>
  </si>
  <si>
    <t>Level 33 Electrical layout-DB scheme-Wing1</t>
  </si>
  <si>
    <t>Level 33 Electrical layout-DB scheme-Wing2</t>
  </si>
  <si>
    <t>Terrace lightning arrester layout</t>
  </si>
  <si>
    <t>Site plan- LA earth pit location layout</t>
  </si>
  <si>
    <t>LA-Down conductor routing -1</t>
  </si>
  <si>
    <t>LA-Down conductor routing -2</t>
  </si>
  <si>
    <t>HVAC</t>
  </si>
  <si>
    <t>T08w1</t>
  </si>
  <si>
    <t>Terrace level HVAC equipment layout-Wing1</t>
  </si>
  <si>
    <t>T08w2</t>
  </si>
  <si>
    <t>Terrace level HVAC equipment layout-Wing2</t>
  </si>
  <si>
    <t>Individual Homes</t>
  </si>
  <si>
    <t>PLUMBING</t>
  </si>
  <si>
    <t>TOILET DETAILS &amp; WALL ELEVATIONS</t>
  </si>
  <si>
    <t>PHE-R25-1001</t>
  </si>
  <si>
    <t>PHE PLUMBING LAYOUT</t>
  </si>
  <si>
    <t>PHE-R25-1002</t>
  </si>
  <si>
    <t>PHE WATER SUPPLY LAYOUT</t>
  </si>
  <si>
    <t>PHE-R25-1003</t>
  </si>
  <si>
    <t>HOT WATER SUPPLY LOOP LAYOUT</t>
  </si>
  <si>
    <t>PHE-R25-1004</t>
  </si>
  <si>
    <t>PHE DRAINAGE LAYOUT</t>
  </si>
  <si>
    <t>PHE-R25-1005</t>
  </si>
  <si>
    <t>PHE GAS PIPE LAYOUT</t>
  </si>
  <si>
    <t>PHE-R25-4101</t>
  </si>
  <si>
    <t>BTR- 01 SERVICES PHE LAYOUT</t>
  </si>
  <si>
    <t>PHE-R25-4102</t>
  </si>
  <si>
    <t>BTR - 01 SERVICES PHE SECTIONAL ELEVATION</t>
  </si>
  <si>
    <t>PHE-R25-4121</t>
  </si>
  <si>
    <t>BTR - 02 SERVICES PHE LAYOUT</t>
  </si>
  <si>
    <t>PHE-R25-4122</t>
  </si>
  <si>
    <t>BTR-02 SERVICES PHE SECTIONAL ELEVATION</t>
  </si>
  <si>
    <t>PHE-R25-4131</t>
  </si>
  <si>
    <t>BTR-03 SERVICES PHE LAYOUT</t>
  </si>
  <si>
    <t>PHE-R25-4132</t>
  </si>
  <si>
    <t>BTR - 03 SERVICES SECTIONAL ELEVATION</t>
  </si>
  <si>
    <t>PHE-R25-4141</t>
  </si>
  <si>
    <t>MAID BTR SERVICES PHE LAYOUT</t>
  </si>
  <si>
    <t>PHE-R25-4142</t>
  </si>
  <si>
    <t>MAID BTR SERVICES PHE SECTIONAL ELEVATIONS</t>
  </si>
  <si>
    <t>PHE-R25-4151</t>
  </si>
  <si>
    <t>KITCHEN SERVICES PHE LAYOUT</t>
  </si>
  <si>
    <t>PHE-R25-4152</t>
  </si>
  <si>
    <t>KITCHEN SERVICES PHE SECTIONAL ELEVATIONS</t>
  </si>
  <si>
    <t>PHE-R25-4161</t>
  </si>
  <si>
    <t>UTILITY AND SERVICE PLATFORM SERVICES PHE LAYOUT</t>
  </si>
  <si>
    <t>FF-T8-R25-1001</t>
  </si>
  <si>
    <t>Fire Protection Layout</t>
  </si>
  <si>
    <t>PHE-R25-4162</t>
  </si>
  <si>
    <t>UTILITY AND SERVICE PLATFORM SERVICES PHE SECTIONAL ELEVATIONS</t>
  </si>
  <si>
    <t>IRR-R25-0001</t>
  </si>
  <si>
    <t>R25 GROUND LEVEL (SSL-05) IRRIGATION WATER SUPPLY LAYOUT</t>
  </si>
  <si>
    <t>IRR-R25-0002</t>
  </si>
  <si>
    <t>R25 EVEN LEVEL (SSL-06) IRRIGATION WATER SUPPLY LAYOUT</t>
  </si>
  <si>
    <t>IRR-R25-0003</t>
  </si>
  <si>
    <t>R25 ODD LEVEL (SSL-07) IRRIGATION WATER SUPPLY LAYOUT</t>
  </si>
  <si>
    <t>WATER SUPPLY SCHEMATIC LAYOUT</t>
  </si>
  <si>
    <t>ELECTRICAL</t>
  </si>
  <si>
    <t>Will be released in the floor level drawing</t>
  </si>
  <si>
    <t>COORDINATED DRAWINGS</t>
  </si>
  <si>
    <t>CO</t>
  </si>
  <si>
    <t>CO-R25-1001</t>
  </si>
  <si>
    <t>CO-ORDINATED ENLARGED SHAFT LAYOUT</t>
  </si>
  <si>
    <t>CO-R25-1002</t>
  </si>
  <si>
    <t>CO-ORDINATED SERVICES LAYOUT (SPLIT AC+ PHE+FIRE)</t>
  </si>
  <si>
    <t>CO-R25-1003</t>
  </si>
  <si>
    <t>CO-ORDINATED SERVICES LAYOUT (VRV+ PHE+FIRE)</t>
  </si>
  <si>
    <t>C0-R25-1004</t>
  </si>
  <si>
    <t>CO-ORDINATED MIVAN CUTOUT LAYOUT</t>
  </si>
  <si>
    <t>CO-R25-4101</t>
  </si>
  <si>
    <t>BTR-01 CO ORDINATED LAYOUT</t>
  </si>
  <si>
    <t>CO-R25-4102</t>
  </si>
  <si>
    <t>BTR-01 CO SECTIONAL ELEVATION</t>
  </si>
  <si>
    <t>CO-R25-4121</t>
  </si>
  <si>
    <t>BTR-02 CO ORDINATED LAYOUT</t>
  </si>
  <si>
    <t>CO-R25-4122</t>
  </si>
  <si>
    <t>BTR-02 SECTIONAL ELEVATIONS</t>
  </si>
  <si>
    <t>CO-R25-4131</t>
  </si>
  <si>
    <t>BTR-03 CO ORDINATED LAYOUT</t>
  </si>
  <si>
    <t>CO-R25-4132</t>
  </si>
  <si>
    <t>BTR-03 SECTIONAL ELEVATIONS</t>
  </si>
  <si>
    <t>CO-R25-4141</t>
  </si>
  <si>
    <t>MAID BTR CO ORDINATED LAYOUT</t>
  </si>
  <si>
    <t>CO-R25-4142</t>
  </si>
  <si>
    <t>MAID BTR SECTIONAL ELEVATIONS</t>
  </si>
  <si>
    <t>CO-R25-4151</t>
  </si>
  <si>
    <t>KITCHEN CO ORDINATED LAYOUT</t>
  </si>
  <si>
    <t>CO-R25-4152</t>
  </si>
  <si>
    <t>KITCHEN SECTIONAL ELEVATION</t>
  </si>
  <si>
    <t>CO-R25-4161</t>
  </si>
  <si>
    <t>UTILITY AND SERVICE PLATFORM CO ORDINATED LAYOUT</t>
  </si>
  <si>
    <t>CO-R25-4162</t>
  </si>
  <si>
    <t>UTILITY AND SERVICE P LATFORM SECTIONAL ELEVATION</t>
  </si>
  <si>
    <t>HOME AUTOMATION</t>
  </si>
  <si>
    <t xml:space="preserve">HA </t>
  </si>
  <si>
    <t>R25 Home Automation Layout</t>
  </si>
  <si>
    <t>R25 Client Specification Sheet</t>
  </si>
  <si>
    <t>CO-L20-0001</t>
  </si>
  <si>
    <t>CO-ORDINATED CEILING LAYOUT (VRV OPTION) Heat Pump is Floor Mounted</t>
  </si>
  <si>
    <t>CO-L20-0002</t>
  </si>
  <si>
    <t>CO-ORDINATED CEILING LAYOUT (VRV OPTION) Heat Pump is Wall Mounted</t>
  </si>
  <si>
    <t>CO-L20-0003</t>
  </si>
  <si>
    <t>CO-ORDINATED CEILING LAYOUT (SPLIT OPTION) Heat Pump is Wall Mounted</t>
  </si>
  <si>
    <t>CO-L20-0004</t>
  </si>
  <si>
    <t>CO-ORDINATED CEILING LAYOUT (SPLIT OPTION) Heat Pump is Floor Mounted</t>
  </si>
  <si>
    <t>CO-L20-0005</t>
  </si>
  <si>
    <t>CO-ORDINATED ENLARGED SHAFT DETAIL</t>
  </si>
  <si>
    <t>CO-L20-0006</t>
  </si>
  <si>
    <t>L20 CO-ORDINATED SLEEVES LAYOUT</t>
  </si>
  <si>
    <t>CO-L20-0007</t>
  </si>
  <si>
    <t>RC WALL SHAFT OPENING DETAILS</t>
  </si>
  <si>
    <t>CO-L20-4011</t>
  </si>
  <si>
    <t>BTR-01 CO-ORDINATED SERVICES LAYOUT</t>
  </si>
  <si>
    <t>CO-L20-4012</t>
  </si>
  <si>
    <t>BTR-01 CO-ORDINATED SECTION LAYOUT</t>
  </si>
  <si>
    <t>CO-L20-4021</t>
  </si>
  <si>
    <t>BTR-02 &amp; MDBT CO-ORDINATED SERVICES LAYOUT</t>
  </si>
  <si>
    <t>CO-L20-4022</t>
  </si>
  <si>
    <t>BTR-02 &amp; MDBT CO-ORDINATED SECTION LAYOUT</t>
  </si>
  <si>
    <t>CO-L20-4031</t>
  </si>
  <si>
    <t>BTR-03 CO-ORDINATED SERVICES LAYOUT</t>
  </si>
  <si>
    <t>CO-L20-4032</t>
  </si>
  <si>
    <t>BTR-03 CO-ORDINATED SECTION LAYOUT</t>
  </si>
  <si>
    <t>CO-L20-4041</t>
  </si>
  <si>
    <t>CO-ORDINATED UTILITY &amp; KITCHEN SERVICES LAYOUT</t>
  </si>
  <si>
    <t>CO-L20-4042</t>
  </si>
  <si>
    <t>CO-ORDINATED UTILITY &amp; KITCHEN SECTION LAYOUT</t>
  </si>
  <si>
    <t>CO-L20-4051</t>
  </si>
  <si>
    <t>CO-ORDINATED SERVICE PLATFORM LAYOUT (VRV+PHE) Heat Pump is Wall Mounted</t>
  </si>
  <si>
    <t>CO-L20-4052</t>
  </si>
  <si>
    <t>CO-ORDINATED SERVICE PLATFORM LAYOUT (SPLIT+PHE) Heat Pump is Wall Mounted</t>
  </si>
  <si>
    <t>CO-L20-4061</t>
  </si>
  <si>
    <t>CO-ORDINATED SERVICE PLATFORM LAYOUT (VRV+PHE) Heat Pump is Floor Mounted</t>
  </si>
  <si>
    <t>CO-L20-4062</t>
  </si>
  <si>
    <t>CO-ORDINATED SERVICE PLATFORM LAYOUT (SPLIT+PHE) Heat Pump is Floor Mounted</t>
  </si>
  <si>
    <t>PHE-L20-4011</t>
  </si>
  <si>
    <t>BTR-01 PLUMBING LAYOUT</t>
  </si>
  <si>
    <t>PHE-L20-4012</t>
  </si>
  <si>
    <t>BTR-01- PLUMBING SECTIONAL DETAILS</t>
  </si>
  <si>
    <t>PHE-L20-4021</t>
  </si>
  <si>
    <t>BTR-02 AND MDBTR PLUMBING SERVICES LAYOUT</t>
  </si>
  <si>
    <t>PHE-L20-4022</t>
  </si>
  <si>
    <t>BTR-02-PLUMBING SECTIONAL DETAILS</t>
  </si>
  <si>
    <t>PHE-L20-4031</t>
  </si>
  <si>
    <t>BTR-03 PLUMBING SERVICES LAYOUT</t>
  </si>
  <si>
    <t>PHE-L20-4032</t>
  </si>
  <si>
    <t>BTR-03-PLUMBING SECTIONAL DETAILS</t>
  </si>
  <si>
    <t>PHE-L20-4041</t>
  </si>
  <si>
    <t>DRAWING PIPE SIZES SUB PROJECT: T-08 (L20 DEFAULT) SHEET TITLE: UTILITY AND KITCHEN PLUMBING SERVICESL</t>
  </si>
  <si>
    <t>PHE-L20-4042</t>
  </si>
  <si>
    <t>COCK SUB PROJECT: T-08 (L20 DEFAULT) SHEET TITLE: UTILITY AND KITCHEN-PLUMBING SECTIONAL</t>
  </si>
  <si>
    <t>PHE-L20-4051</t>
  </si>
  <si>
    <t>DRAWING PIPE SIZES SUB PROJECT: T-08 (L20 DEFAULT) SHEET TITLE: SERVICE PLATFORM HEAT PUMP WALL MOUNTED</t>
  </si>
  <si>
    <t>PHE-L20-4061</t>
  </si>
  <si>
    <t>DRAWING PIPE SIZES SUB PROJECT: T-08 (L20 DEFAULT) SHEET TITLE: SERVICE PLATFORM HEAT PUMP FLOOR</t>
  </si>
  <si>
    <t>PHE-L20B-0001</t>
  </si>
  <si>
    <t>DRAWING SUB PROJECT: T-08 (L20 DEFAULT) SHEET TITLE: WATER SUPPLY LAYOUT (Floor Mounted Heat</t>
  </si>
  <si>
    <t>PHE-L20B-0002</t>
  </si>
  <si>
    <t>DRAINAGE LAYOUT (Wall Mounted Heat pump)</t>
  </si>
  <si>
    <t>PHE-L20B-0003</t>
  </si>
  <si>
    <t>DRAWING PIPE SIZES SUB PROJECT: T-08 (L20 DEFAULT) SHEET TITLE: WATER SUPPLY LAYOUT (Wall Mounted Heat</t>
  </si>
  <si>
    <t>PHE-L20B-0004</t>
  </si>
  <si>
    <t>DRAINAGE LAYOUT (Floor Mounted Heat pump)</t>
  </si>
  <si>
    <t>PHE-L20B-0005</t>
  </si>
  <si>
    <t>HOT WATER SUPPLY LAYOUT (Floor Mounted Heat pump)</t>
  </si>
  <si>
    <t>PHE-L20B-0006</t>
  </si>
  <si>
    <t>RAPSODY SHEET TITLE: HOT WATER SUPPLY LAYOUT (Wall Mounted</t>
  </si>
  <si>
    <t>PHE-L20B-0007</t>
  </si>
  <si>
    <t>GAS PIPE ROUTING</t>
  </si>
  <si>
    <t>FPS-L20B-0001</t>
  </si>
  <si>
    <t>FIRE FIGHTING LAYOUT</t>
  </si>
  <si>
    <t>FPS-L20B-0002</t>
  </si>
  <si>
    <t>FIRE DETECTION LAYOUT</t>
  </si>
  <si>
    <t xml:space="preserve">HVAC-L20-1001 </t>
  </si>
  <si>
    <t>L20 HVAC VRV Layout</t>
  </si>
  <si>
    <t xml:space="preserve">HVAC-L20-1003 </t>
  </si>
  <si>
    <t>L20 HVAC Split AC Layout</t>
  </si>
  <si>
    <t>L20 Home Automation Layout</t>
  </si>
  <si>
    <t>L20 Client Specification Sheet</t>
  </si>
  <si>
    <t>PHE-D35-0001</t>
  </si>
  <si>
    <t>PHE LOWER LEVEL (DRAINAGE LEVEL) LAYOUT</t>
  </si>
  <si>
    <t>PHE-D35-0002</t>
  </si>
  <si>
    <t>PHE-D35-0003</t>
  </si>
  <si>
    <t>PHE UPPER LEVEL(DRAINAGE LEVEL) LAYOUT</t>
  </si>
  <si>
    <t>PHE-D35-0004</t>
  </si>
  <si>
    <t>PHE UPPER LEVEL(CEILING LEVEL) LAYOUT</t>
  </si>
  <si>
    <t>PHE-D35-0005</t>
  </si>
  <si>
    <t>HOT WATER SUPPLY LAYOUT</t>
  </si>
  <si>
    <t>PHE-D35-4011</t>
  </si>
  <si>
    <t>BTR-01(BLUE&amp;PURPLE) ENLARGED TOILET DETAIL AND WALL ELEVATIONS</t>
  </si>
  <si>
    <t>PHE-D35-4011(G)</t>
  </si>
  <si>
    <t>BTR-01(GREEN) ENLARGED TOILET DETAIL AND WALL ELEVATIONS</t>
  </si>
  <si>
    <t>PHE-D35-4012</t>
  </si>
  <si>
    <t>BTR-1(BLUE&amp;PURPLE) ENLARGED TOILET DETAIL AND WALL ELEVATIONS</t>
  </si>
  <si>
    <t>PHE-D35-4012(G)</t>
  </si>
  <si>
    <t>BTR-1 (GREEN) ENLARGED TOILET DETAIL AND WALL ELEVATIONS</t>
  </si>
  <si>
    <t>PHE-D35-4021</t>
  </si>
  <si>
    <t>BTR-2 ENLARGED TOILET DETAIL AND WALL ELEVATION</t>
  </si>
  <si>
    <t>PHE-D35-4031</t>
  </si>
  <si>
    <t>BTR-3 ENLARGED TOILET DETAIL AND WALL ELEVATIONS</t>
  </si>
  <si>
    <t>PHE-D35-4041</t>
  </si>
  <si>
    <t>MAID'S BATHROOM ENLARGED TOILET DETAIL AND WALL ELEVATIONS</t>
  </si>
  <si>
    <t>PHE-D35-4051</t>
  </si>
  <si>
    <t>POWDER ROOM ENLARGED TOILET DETAIL</t>
  </si>
  <si>
    <t>PHE-D35-4061</t>
  </si>
  <si>
    <t>KITCHEN , UTILITY PLAN AND SERVICE PLATFORM ENLARGED DETAIL</t>
  </si>
  <si>
    <t>PHE-D35-4062</t>
  </si>
  <si>
    <t>KITCHEN &amp; UTILITY ENLARGED WALL ELEVA R TI 1 ONS</t>
  </si>
  <si>
    <t>FF-D35-0001</t>
  </si>
  <si>
    <t>LOWER LVL. FIRE PROTECTION LAYOUT FOR BLUE &amp; PURPLE SPEC</t>
  </si>
  <si>
    <t>FF-D35-0002</t>
  </si>
  <si>
    <t>LOWER LVL. FIRE PROTECTION LAYOUT FOR GREEN SPEC</t>
  </si>
  <si>
    <t>FF-D35-0003</t>
  </si>
  <si>
    <t>LOWER LVL. DETECTION LAYOUT</t>
  </si>
  <si>
    <t>FF-D35-0004</t>
  </si>
  <si>
    <t>UPPER LVL. FIRE PROTECTION LAYOUT FOR BLUE &amp; PURPLE SPEC</t>
  </si>
  <si>
    <t>FF-D35-0005</t>
  </si>
  <si>
    <t>UPPER LVL. FIRE PROTECTION LAYOUT FOR GREEN SPEC</t>
  </si>
  <si>
    <t>FF-D35-0006</t>
  </si>
  <si>
    <t>UPPER LVL. DETECTION LAYOUT</t>
  </si>
  <si>
    <t>COORDINATED DRAWING</t>
  </si>
  <si>
    <t>CO-D35-0001</t>
  </si>
  <si>
    <t>CO-ORDINATED LOWER LEVEL CEILING LEVEL SERVICES LAYOUT (VRV + PHE + FIRE)</t>
  </si>
  <si>
    <t>CO-D35-0002</t>
  </si>
  <si>
    <t>CO-ORDINATED UPPER LEVEL(CEILING LEVEL) SERVICES LAYOUT (VRV + PHE + FIRE)</t>
  </si>
  <si>
    <t>CO-D35-0003</t>
  </si>
  <si>
    <t>COORDINATED LOWER LEVEL CEILING LEVEL SERVICE  LAYOUT (SPLIT+PHE+FIRE)</t>
  </si>
  <si>
    <t>CO-D35-0004</t>
  </si>
  <si>
    <t>COORDINATED UPPER LEVEL CEILING LEVEL (SPLIT+ PHE+FIRE)</t>
  </si>
  <si>
    <t>CO-D35-0005</t>
  </si>
  <si>
    <t>COORDINATED ENLARGED D35 SHAFT DETAILS</t>
  </si>
  <si>
    <t>CO-D35-0006</t>
  </si>
  <si>
    <t>MIVAN CUTOUT DETAILS</t>
  </si>
  <si>
    <t>CO-D35-4021</t>
  </si>
  <si>
    <t>BTR-2 COORDINATED ENLARGED TOILET DETAIL AND WALL ELEVATION</t>
  </si>
  <si>
    <t>CO-D35-4031</t>
  </si>
  <si>
    <t>BTR-3 COORDINATED ENLARGED TOILET DETAIL AND WALL ELEVATIONS</t>
  </si>
  <si>
    <t>CO-D35-4041</t>
  </si>
  <si>
    <t>MAID'S BATHROOM COORDINATED ENLARGED TOILET DETAIL AND WALL ELEVATIONS</t>
  </si>
  <si>
    <t>CO-D35-4061</t>
  </si>
  <si>
    <t>KITCHEN , UTILITY PLAN AND SERVICE PLATFORM COORDINATED ENLARGED DETAIL</t>
  </si>
  <si>
    <t>CO-D35-4062</t>
  </si>
  <si>
    <t>KITCHEN &amp; UTILITY AND SERVICE PLATFORM COORDIANTED ENLARGED WALL ELEVATIONS</t>
  </si>
  <si>
    <t>CO-D35-5021</t>
  </si>
  <si>
    <t>ORDINATED LOWER LEVEL SLEEVES LAYOUT-SSL-08</t>
  </si>
  <si>
    <t>CO-D35-5031</t>
  </si>
  <si>
    <t>COORDINATED UPPER LEVEL SLEEVES LAYOUT- SSL 09</t>
  </si>
  <si>
    <t>HA-D35-1001</t>
  </si>
  <si>
    <t>Home Automation Layout - Lower Level</t>
  </si>
  <si>
    <t>HA-D35-1002</t>
  </si>
  <si>
    <t>Home Automation Layout - Upper Level</t>
  </si>
  <si>
    <t>HA-D35-1003</t>
  </si>
  <si>
    <t>Mood Lighting Layout - Lower Level</t>
  </si>
  <si>
    <t>HA-D35-1004</t>
  </si>
  <si>
    <t>Mood Lighting Layout - Upper Level</t>
  </si>
  <si>
    <t>Enlarged toilet details and Wall Elevation L19 BTR 1 ofT8</t>
  </si>
  <si>
    <t>Enlarged toilet details and Wall Elevation L19 BTR 2 ofT8</t>
  </si>
  <si>
    <t>Enlarged toilet details and Wall Elevation L19 BTR 3 ofT8</t>
  </si>
  <si>
    <t>Enlarged toilet details and Wall Elevation L19 BTR 4 ofT8</t>
  </si>
  <si>
    <t>Enlarged L19 Maids Toilet Plumbing details and Wall Elevation ofT8</t>
  </si>
  <si>
    <t>Enlarged L19 Dry Kitchen Plumbing details and Wall Elevation ofT8</t>
  </si>
  <si>
    <t>Enlarged L19 Wet Kitchen Plumbing details and Wall Elevation ofT8</t>
  </si>
  <si>
    <t>Enlarged L19 Utility Plumbing details and Wall Elevation ofT8</t>
  </si>
  <si>
    <t>Enlarged L19 Powder Toilet Plumbing details and Wall Elevation of T8</t>
  </si>
  <si>
    <t>Heat Pump Layout</t>
  </si>
  <si>
    <t>HVAC-L22-1001</t>
  </si>
  <si>
    <t>L22 Typical HVAC Layout VRV System</t>
  </si>
  <si>
    <t>HVAC-L22-1002</t>
  </si>
  <si>
    <t>L22 Typical HVAC Layout Split AC System</t>
  </si>
  <si>
    <t>T02V</t>
  </si>
  <si>
    <t>Co-ordinated Enlarged toilet details and Wall Elevation L19 BTR 1 ofT8</t>
  </si>
  <si>
    <t>Co-ordinated Enlarged toilet details and Wall Elevation L19 BTR 2 ofT8</t>
  </si>
  <si>
    <t>Co-ordinated Enlarged toilet details and Wall Elevation L19 BTR 3 ofT8</t>
  </si>
  <si>
    <t>Co-ordinated Enlarged toilet details and Wall Elevation L19 BTR 4 ofT8</t>
  </si>
  <si>
    <t>Co-ordinated Enlarged L19 Maids Toilet Plumbing details and Wall Elevation ofT8</t>
  </si>
  <si>
    <t>Co-ordinated Enlarged L19 Dry Kitchen Plumbing details and Wall Elevation ofT8</t>
  </si>
  <si>
    <t>Co-ordinated Enlarged L19 Wet Kitchen Plumbing details and Wall Elevation ofT8</t>
  </si>
  <si>
    <t>Co-ordinated Enlarged L19 Utility Plumbing details and Wall Elevation ofT8</t>
  </si>
  <si>
    <t>Co-ordinated Enlarged L19 Pantry Plumbing details and Wall Elevation ofT8</t>
  </si>
  <si>
    <t>Co-ordinated Typical  L19 Sleeves Layout  VRV Option- Tower 8</t>
  </si>
  <si>
    <t>Co-ordinated Typical  L19 Sleeves Layout  Split Option- Tower 8</t>
  </si>
  <si>
    <t>L22 Home Automation Layout</t>
  </si>
  <si>
    <t>L22 Client Specification Sheet</t>
  </si>
  <si>
    <t>Enlarged toilet details and Wall Elevation Master Bath</t>
  </si>
  <si>
    <t>Enlarged toilet details and Wall Elevation Guest Bath</t>
  </si>
  <si>
    <t>Enlarged toilet details and Wall Elevation Children's Bath</t>
  </si>
  <si>
    <t>Enlarged Kitchen &amp; Utility Plumbing details and Wall Elevation</t>
  </si>
  <si>
    <t xml:space="preserve">Enlarged Kitchen &amp; Utility Plumbing details and Wall Elevation </t>
  </si>
  <si>
    <t>Enlarged R25P Powder Toilet Plumbing details and Wall Elevation of T8</t>
  </si>
  <si>
    <t>1AA1</t>
  </si>
  <si>
    <t xml:space="preserve">Typical Unit R25P HVAC layout </t>
  </si>
  <si>
    <t xml:space="preserve">Co-ordinated Enlarged toilet details and Wall Elevation BTR 1 </t>
  </si>
  <si>
    <t xml:space="preserve">Co-ordinated Enlarged toilet details and Wall Elevation BTR 2 </t>
  </si>
  <si>
    <t xml:space="preserve">Co-ordinated Enlarged toilet details and Wall Elevation BTR 3 </t>
  </si>
  <si>
    <t xml:space="preserve">Co-ordinated Enlarged Kitchen &amp; Utility Plumbing details and Wall Elevation </t>
  </si>
  <si>
    <t>R25P Home Automation Layout</t>
  </si>
  <si>
    <t>R25P Client Specification Sheet</t>
  </si>
  <si>
    <t>Enlarged toilet details and Wall Elevation L20P BTR 1 of T8</t>
  </si>
  <si>
    <t>Enlarged toilet details and Wall Elevation L20P BTR 2 of T8</t>
  </si>
  <si>
    <t>Enlarged toilet details and Wall Elevation L20P BTR 3 of T8</t>
  </si>
  <si>
    <t>Enlarged toilet details and Wall Elevation L20P BTR 4 of T8</t>
  </si>
  <si>
    <t>Enlarged L20P Maids Toilet Plumbing details and Wall Elevation of T8</t>
  </si>
  <si>
    <t>Enlarged L20P Dry Kitchen Plumbing details and Wall Elevation of T8</t>
  </si>
  <si>
    <t>Enlarged L20P Wet Kitchen Plumbing details and Wall Elevation of T8</t>
  </si>
  <si>
    <t>Enlarged L20P Utility Plumbing details and Wall Elevation of T8</t>
  </si>
  <si>
    <t>Enlarged L20P Powder Toilet Plumbing details and Wall Elevation of T8</t>
  </si>
  <si>
    <t>Typical  L20P HVAC layout  VRV Option- Tower 8</t>
  </si>
  <si>
    <t>1AA5</t>
  </si>
  <si>
    <t>Typical  L20P HVAC layout  Split Option- Tower 8</t>
  </si>
  <si>
    <t>Co-ordinated Enlarged toilet details and Wall Elevation L20P BTR 1 of T8</t>
  </si>
  <si>
    <t>Co-ordinated Enlarged toilet details and Wall Elevation L20P BTR 2 of T8</t>
  </si>
  <si>
    <t>Co-ordinated Enlarged toilet details and Wall Elevation L20P BTR 3 of T8</t>
  </si>
  <si>
    <t>Co-ordinated Enlarged toilet details and Wall Elevation L20P BTR 4 of T8</t>
  </si>
  <si>
    <t>Co-ordinated Enlarged L20P Maids Toilet Plumbing details and Wall Elevation of T8</t>
  </si>
  <si>
    <t>Co-ordinated Enlarged L20P Dry Kitchen Plumbing details and Wall Elevation of T8</t>
  </si>
  <si>
    <t>Co-ordinated Enlarged L20P Wet Kitchen Plumbing details and Wall Elevation of T8</t>
  </si>
  <si>
    <t>Co-ordinated Enlarged L20P Utility Plumbing details and Wall Elevation of T8</t>
  </si>
  <si>
    <t>Co-ordinated Enlarged L20P Pantry Plumbing details and Wall Elevation of T8</t>
  </si>
  <si>
    <t>Co-ordinated Typical  L20P Sleeves Layout  VRV Option- Tower 8</t>
  </si>
  <si>
    <t>Co-ordinated Typical  L20P Sleeves Layout  Split Option- Tower 8</t>
  </si>
  <si>
    <t>L20P Home Automation Layout</t>
  </si>
  <si>
    <t>L20P Client Specification Sheet</t>
  </si>
  <si>
    <t>Enlarged toilet details and Wall Elevation D35P BTR 1 of T8</t>
  </si>
  <si>
    <t>Enlarged toilet details and Wall Elevation D35P BTR 2 of T8</t>
  </si>
  <si>
    <t>Enlarged toilet details and Wall Elevation D35P BTR 3 of T8</t>
  </si>
  <si>
    <t>Enlarged toilet details and Wall Elevation D35P BTR 4 of T8</t>
  </si>
  <si>
    <t>Enlarged D35P Maids Toilet Plumbing details and Wall Elevation of T8</t>
  </si>
  <si>
    <t>Enlarged D35P Dry Kitchen Plumbing details and Wall Elevation of T8</t>
  </si>
  <si>
    <t>Enlarged D35P Wet Kitchen Plumbing details and Wall Elevation of T8</t>
  </si>
  <si>
    <t>Enlarged D35P Utility Plumbing details and Wall Elevation of T8</t>
  </si>
  <si>
    <t>Enlarged D35P Powder Toilet Plumbing details and Wall Elevation of T8</t>
  </si>
  <si>
    <t>Typical  D35P HVAC layout  VRV Option- Tower 8</t>
  </si>
  <si>
    <t>Typical  D35P HVAC layout  Split Option- Tower 8</t>
  </si>
  <si>
    <t>Co-ordinated Enlarged toilet details and Wall Elevation D35P BTR 1 of T8</t>
  </si>
  <si>
    <t>Co-ordinated Enlarged toilet details and Wall Elevation D35P BTR 2 of T8</t>
  </si>
  <si>
    <t>Co-ordinated Enlarged toilet details and Wall Elevation D35P BTR 3 of T8</t>
  </si>
  <si>
    <t>Co-ordinated Enlarged toilet details and Wall Elevation D35P BTR 4 of T8</t>
  </si>
  <si>
    <t>Co-ordinated Enlarged D35P Maids Toilet Plumbing details and Wall Elevation of T8</t>
  </si>
  <si>
    <t>Co-ordinated Enlarged D35P Dry Kitchen Plumbing details and Wall Elevation of T8</t>
  </si>
  <si>
    <t>Co-ordinated Enlarged D35P Wet Kitchen Plumbing details and Wall Elevation of T8</t>
  </si>
  <si>
    <t>Co-ordinated Enlarged D35P Utility Plumbing details and Wall Elevation of T8</t>
  </si>
  <si>
    <t>Co-ordinated Enlarged D35P Pantry Plumbing details and Wall Elevation of T8</t>
  </si>
  <si>
    <t>Co-ordinated Typical  D35P Sleeves Layout  VRV Option- Tower 8</t>
  </si>
  <si>
    <t>Co-ordinated Typical  D35P Sleeves Layout  Split Option- Tower 8</t>
  </si>
  <si>
    <t>D35P Home Automation Layout</t>
  </si>
  <si>
    <t>D35P Client Specification Sheet</t>
  </si>
  <si>
    <t>Enlarged toilet details and Wall Elevation L22P BTR 1 ofT8</t>
  </si>
  <si>
    <t>Enlarged toilet details and Wall Elevation L22P BTR 2 ofT8</t>
  </si>
  <si>
    <t>Enlarged toilet details and Wall Elevation L22P BTR 3 ofT8</t>
  </si>
  <si>
    <t>Enlarged toilet details and Wall Elevation L22P BTR 4 ofT8</t>
  </si>
  <si>
    <t>Enlarged L22P Maids Toilet Plumbing details and Wall Elevation ofT8</t>
  </si>
  <si>
    <t>Enlarged L22P Dry Kitchen Plumbing details and Wall Elevation ofT8</t>
  </si>
  <si>
    <t>Enlarged L22P Wet Kitchen Plumbing details and Wall Elevation ofT8</t>
  </si>
  <si>
    <t>Enlarged L22P Utility Plumbing details and Wall Elevation ofT8</t>
  </si>
  <si>
    <t>Enlarged L22P Powder Toilet Plumbing details and Wall Elevation of T8</t>
  </si>
  <si>
    <t>Typical  L19 HVAC layout  VRV Option- Tower 8</t>
  </si>
  <si>
    <t>Typical  L19 HVAC layout  Split Option- Tower 8</t>
  </si>
  <si>
    <t>L22P Home Automation Layout</t>
  </si>
  <si>
    <t>L22P Client Specification Sheet</t>
  </si>
  <si>
    <t>Podium level Mechanical ventilation layout</t>
  </si>
  <si>
    <t>Site Plan -PHE -Spatial Requirements</t>
  </si>
  <si>
    <t>Site Plan -FIRE -Spatial Requirements</t>
  </si>
  <si>
    <t>GN01</t>
  </si>
  <si>
    <t>Electrical Standard Notes</t>
  </si>
  <si>
    <t>ELE-T08-0001</t>
  </si>
  <si>
    <t>Site plan - Transformer &amp; DG yard layout</t>
  </si>
  <si>
    <t>0003</t>
  </si>
  <si>
    <t>Site plan- External cable routing layout</t>
  </si>
  <si>
    <t>0004</t>
  </si>
  <si>
    <t>Site plan- External cable routing layout -Section</t>
  </si>
  <si>
    <t>ELE-T08-0005</t>
  </si>
  <si>
    <t>Site plan- Earthing layout</t>
  </si>
  <si>
    <t>ELE-T08-0006</t>
  </si>
  <si>
    <t>Site plan- Earthing Scheme 1</t>
  </si>
  <si>
    <t>ELE-T08-0007</t>
  </si>
  <si>
    <t>Site plan- Earthing Scheme 2</t>
  </si>
  <si>
    <t>0008</t>
  </si>
  <si>
    <t>Main single line diagram-Sheet-1</t>
  </si>
  <si>
    <t xml:space="preserve">Site Plan -PHE CO-ordinated services   [water supply, sewerage and rain water disposal] </t>
  </si>
  <si>
    <t xml:space="preserve">Site Plan -FIRE CO-ordinated services  </t>
  </si>
  <si>
    <t xml:space="preserve">Site Plan  -MEP CO-ordinated services   </t>
  </si>
  <si>
    <t>0009</t>
  </si>
  <si>
    <t>Main single line diagram-Sheet-2</t>
  </si>
  <si>
    <t>0001</t>
  </si>
  <si>
    <t>Site plan- Transformer &amp;DG yard  layout</t>
  </si>
  <si>
    <t>0002</t>
  </si>
  <si>
    <t>Site plan- Transformer &amp;DG yard  layout -Section</t>
  </si>
  <si>
    <t>0010</t>
  </si>
  <si>
    <t>Main single line diagram-Sheet-3</t>
  </si>
  <si>
    <t>STP Sump Plan and Sectional Detail</t>
  </si>
  <si>
    <t>STP Cable tray routing layout</t>
  </si>
  <si>
    <t>UGT Cable tray routing layout</t>
  </si>
  <si>
    <t>STP Mechanical Ventilation</t>
  </si>
  <si>
    <t>UGT Mechanical Ventilation</t>
  </si>
  <si>
    <t>ELE-T08-1016</t>
  </si>
  <si>
    <t>UGT - Lighting Layout</t>
  </si>
  <si>
    <t>ELE-T08-1024</t>
  </si>
  <si>
    <t>STP - Lighting Layout</t>
  </si>
  <si>
    <t>CH</t>
  </si>
  <si>
    <t>Enlarged toilet details and Wall Elevation Pool Male</t>
  </si>
  <si>
    <t>Enlarged toilet details and Wall Elevation Pool Female</t>
  </si>
  <si>
    <t>Enlarged toilet details and Wall Elevation Pool Handicap</t>
  </si>
  <si>
    <t>Enlarged toilet details and Wall Elevation Male Washroom</t>
  </si>
  <si>
    <t>Enlarged toilet details and Wall Elevation Female Washroom</t>
  </si>
  <si>
    <t>Enlarged toilet details and Wall Elevation Handicap Washroom</t>
  </si>
  <si>
    <t>Enlarged toilet details and Wall Elevation Green Room</t>
  </si>
  <si>
    <t>HVAC-T08-1052</t>
  </si>
  <si>
    <t>STILT LEVEL CLUBHOUSE HVAC LAYOUT</t>
  </si>
  <si>
    <t>Issued till Dec 24</t>
  </si>
  <si>
    <t>Plan in FY 25</t>
  </si>
  <si>
    <t>Issued in FY 25</t>
  </si>
  <si>
    <t>LS | DRAWING LIST</t>
  </si>
  <si>
    <t>LS</t>
  </si>
  <si>
    <t>0059-LS-GFC-R25-GR-204</t>
  </si>
  <si>
    <t>R-25 EXPERIENCE HOME TERRACE GARDEN SURFACE AND SUB SURFACE DRAINAGE PLAN</t>
  </si>
  <si>
    <t>0059-LS-GFC-R25-IR-704</t>
  </si>
  <si>
    <t>R25 EXPERIENCE HOME TERRACE GARDEN Irrigation Plan</t>
  </si>
  <si>
    <t>0059-LS-GFC-R25-LP-404</t>
  </si>
  <si>
    <t>R-25 EXPERIENCE HOME TERRACE GARDEN LIGHTING PLAN</t>
  </si>
  <si>
    <t>0059-LS-GFC-R25-SP-104</t>
  </si>
  <si>
    <t>R-25 EXPERIENCE HOME TERRACE GARDEN SETTING OUT PLAN</t>
  </si>
  <si>
    <t>0059-LS-GFC-R25-SS-804</t>
  </si>
  <si>
    <t>R-25 EXPERIENCE HOME TERRACE GARDEN SECTIONS</t>
  </si>
  <si>
    <t>0059-LS-GFC-R25-TR-504</t>
  </si>
  <si>
    <t>R-25 EXPERIENCE HOME TERRACE GARDEN PLANTING &amp; MATERIAL PLAN</t>
  </si>
  <si>
    <t>PLANTING &amp; MATERIAL PLAN</t>
  </si>
  <si>
    <t>SETTING OUT PLAN</t>
  </si>
  <si>
    <t>LEVELS &amp; DRAINAGE PLAN</t>
  </si>
  <si>
    <t xml:space="preserve">SUB SURFACE DRAINAGE PLAN </t>
  </si>
  <si>
    <t>LIGHTING PLAN</t>
  </si>
  <si>
    <t>IRRIGATION PLAN</t>
  </si>
  <si>
    <t xml:space="preserve">SECTIONS </t>
  </si>
  <si>
    <t>DETAILS</t>
  </si>
  <si>
    <t xml:space="preserve">GRAB BAR DETAILS </t>
  </si>
  <si>
    <t>ELECTRO MECHANICAL LAYOUT</t>
  </si>
  <si>
    <t>SITE</t>
  </si>
  <si>
    <t>General arrangement Plan</t>
  </si>
  <si>
    <t>Setting out plan </t>
  </si>
  <si>
    <t>Drainage plan</t>
  </si>
  <si>
    <t>Lighting plan</t>
  </si>
  <si>
    <t>Material plan </t>
  </si>
  <si>
    <t>Shrubs planting plan </t>
  </si>
  <si>
    <t>Irrigation plan </t>
  </si>
  <si>
    <t>sections</t>
  </si>
  <si>
    <t>Details</t>
  </si>
  <si>
    <t>Tree Planting plan</t>
  </si>
  <si>
    <t>Planting &amp; material plan</t>
  </si>
  <si>
    <t xml:space="preserve">Subsurface drainage plan </t>
  </si>
  <si>
    <t xml:space="preserve">Irrigation plan </t>
  </si>
  <si>
    <t xml:space="preserve">Sections &amp; Details </t>
  </si>
  <si>
    <t>Levels &amp; drainage plan</t>
  </si>
  <si>
    <t xml:space="preserve">Swimming pool electromechanical drawings </t>
  </si>
  <si>
    <t>Planting Plan</t>
  </si>
  <si>
    <t>Setting Out Plan</t>
  </si>
  <si>
    <t>Hardscape Layout</t>
  </si>
  <si>
    <t>Levels &amp; Drainage Plan</t>
  </si>
  <si>
    <t>Irrigation Plan</t>
  </si>
  <si>
    <t xml:space="preserve">Electro Mechanical Layout </t>
  </si>
  <si>
    <t xml:space="preserve">Sections </t>
  </si>
  <si>
    <t>Initial</t>
  </si>
  <si>
    <t>Current</t>
  </si>
  <si>
    <t>Ar</t>
  </si>
  <si>
    <t>St</t>
  </si>
  <si>
    <t>foundation and columns upto roof</t>
  </si>
  <si>
    <t>update framing plans and loads as per intent</t>
  </si>
  <si>
    <t>Loading &amp;framing signoff by March 31st</t>
  </si>
  <si>
    <t>ssl1,2,3</t>
  </si>
  <si>
    <t>subgrade</t>
  </si>
  <si>
    <t>share framing plans for signoff by first week of April</t>
  </si>
  <si>
    <t>confirmation on framing plans - approval latest by April end</t>
  </si>
  <si>
    <t>ssl4</t>
  </si>
  <si>
    <t>stilit - common area</t>
  </si>
  <si>
    <t>ssl5</t>
  </si>
  <si>
    <t>habitable level 1</t>
  </si>
  <si>
    <t>24 Q1</t>
  </si>
  <si>
    <t>ssl6,8,10..</t>
  </si>
  <si>
    <t>even</t>
  </si>
  <si>
    <t>ssl7,9,11..</t>
  </si>
  <si>
    <t>odd</t>
  </si>
  <si>
    <t>24 Q2</t>
  </si>
  <si>
    <t>ssl37</t>
  </si>
  <si>
    <t>consider typical level framing but customization loads for penthouse lower and upper levels</t>
  </si>
  <si>
    <t>ssl38,OHT</t>
  </si>
  <si>
    <t>consider OHT, lift services - areas shown_framing typical</t>
  </si>
  <si>
    <r>
      <t xml:space="preserve">GFC | Independent Subgrade Structure—Block </t>
    </r>
    <r>
      <rPr>
        <b/>
        <sz val="10"/>
        <color theme="1"/>
        <rFont val="Meta-Normal"/>
        <family val="3"/>
      </rPr>
      <t>01</t>
    </r>
  </si>
  <si>
    <t>GFC | Site Development</t>
  </si>
  <si>
    <t>Master Plan and Below Grade Structures</t>
  </si>
  <si>
    <t>Roads and Pavements</t>
  </si>
  <si>
    <t>Utility Structure—Reticulated Gas</t>
  </si>
  <si>
    <t>Landscaping, Site Lighting and Signage</t>
  </si>
  <si>
    <t>24 Q3</t>
  </si>
  <si>
    <t>SR</t>
  </si>
  <si>
    <t>GFC | Parking(8)</t>
  </si>
  <si>
    <t>T8 Built up area</t>
  </si>
  <si>
    <t>sqft</t>
  </si>
  <si>
    <t>GFC | Tower1</t>
  </si>
  <si>
    <t>GFC | Tower2</t>
  </si>
  <si>
    <t>GFC | Tower3</t>
  </si>
  <si>
    <t>GFC | Tower4</t>
  </si>
  <si>
    <t>GFC | Tower5</t>
  </si>
  <si>
    <t>GFC | Tower6</t>
  </si>
  <si>
    <t>GFC | Tower7</t>
  </si>
  <si>
    <t>GFC | Tower8</t>
  </si>
  <si>
    <t>T8 Site Area</t>
  </si>
  <si>
    <t>GFC | Villas</t>
  </si>
  <si>
    <t>Site Dev rate</t>
  </si>
  <si>
    <t>GFC | Site Development and Site Services</t>
  </si>
  <si>
    <t>Service rate</t>
  </si>
  <si>
    <t>Aminities Rate</t>
  </si>
  <si>
    <t>Check</t>
  </si>
  <si>
    <t>From Residential sheet Percentage wise</t>
  </si>
  <si>
    <t>SD &amp; SS</t>
  </si>
  <si>
    <t>A&amp;F</t>
  </si>
  <si>
    <t>Ind Homes</t>
  </si>
  <si>
    <t>Issue Status</t>
  </si>
  <si>
    <t>Plan in 
FY: 21-22</t>
  </si>
  <si>
    <t>Issued in 
FY: 21-22</t>
  </si>
  <si>
    <t>Till Mar'21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</si>
  <si>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</si>
  <si>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</si>
  <si>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</si>
  <si>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</si>
  <si>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</si>
  <si>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</si>
  <si>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</si>
  <si>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</si>
  <si>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</si>
  <si>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</si>
  <si>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</si>
  <si>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 - 21</t>
  </si>
  <si>
    <t>Tower—01</t>
  </si>
  <si>
    <t>T1</t>
  </si>
  <si>
    <t>IRRIGATION WATER SUPPLY  SCHEMATIC - T1</t>
  </si>
  <si>
    <t>T01</t>
  </si>
  <si>
    <t>Tower—2V</t>
  </si>
  <si>
    <t>T2V</t>
  </si>
  <si>
    <t>IRRIGATION WATER SUPPLY  SCHEMATIC - T2</t>
  </si>
  <si>
    <t>Tower—2S</t>
  </si>
  <si>
    <t>T2S</t>
  </si>
  <si>
    <t>IRRIGATION WATER SUPPLY  SCHEMATIC - T2S</t>
  </si>
  <si>
    <t>PLANTING PLAN</t>
  </si>
  <si>
    <t>SECTIONS 01</t>
  </si>
  <si>
    <t>SECTIONS 02</t>
  </si>
  <si>
    <t>Tower—3V-5V</t>
  </si>
  <si>
    <t>T3V</t>
  </si>
  <si>
    <t>IRRIGATION WATER SUPPLY  SCHEMATIC - T3V-5V</t>
  </si>
  <si>
    <t>TXV</t>
  </si>
  <si>
    <t>Tower—3S-5S</t>
  </si>
  <si>
    <t>T3S</t>
  </si>
  <si>
    <t>IRRIGATION WATER SUPPLY  SCHEMATIC - T3S-5S</t>
  </si>
  <si>
    <t>TXS</t>
  </si>
  <si>
    <t>Tower—6V</t>
  </si>
  <si>
    <t>T6V</t>
  </si>
  <si>
    <t>IRRIGATION WATER SUPPLY  SCHEMATIC - T6</t>
  </si>
  <si>
    <t>Tower—6S</t>
  </si>
  <si>
    <t>T6S</t>
  </si>
  <si>
    <t>IRRIGATION WATER SUPPLY  SCHEMATIC - T6S</t>
  </si>
  <si>
    <t>Tower—07</t>
  </si>
  <si>
    <t>T7</t>
  </si>
  <si>
    <t>IRRIGATION WATER SUPPLY  SCHEMATIC - T7</t>
  </si>
  <si>
    <t>T07</t>
  </si>
  <si>
    <t>T8</t>
  </si>
  <si>
    <t>Tower—09 [Commercial]</t>
  </si>
  <si>
    <t>T9</t>
  </si>
  <si>
    <t>IRRIGATION WATER SUPPLY  SCHEMATIC - T9</t>
  </si>
  <si>
    <t>T09</t>
  </si>
  <si>
    <t>Villa Block - Cluster 1 &amp; 2</t>
  </si>
  <si>
    <t>VO1</t>
  </si>
  <si>
    <t>V01</t>
  </si>
  <si>
    <t>Villa Block - Cluster 3</t>
  </si>
  <si>
    <t>V03</t>
  </si>
  <si>
    <t>Individual Home V50</t>
  </si>
  <si>
    <t>V50</t>
  </si>
  <si>
    <t>Individual Home L30</t>
  </si>
  <si>
    <t>L30</t>
  </si>
  <si>
    <t>Individual Home V40</t>
  </si>
  <si>
    <t>V40</t>
  </si>
  <si>
    <t>Individual Home C20</t>
  </si>
  <si>
    <t>C20</t>
  </si>
  <si>
    <t>Individual Home L45</t>
  </si>
  <si>
    <t>L45</t>
  </si>
  <si>
    <t>LANDSCAPE DEVELOPMENT PLAN</t>
  </si>
  <si>
    <t>SDV</t>
  </si>
  <si>
    <t>HARDSCAPE LAYOUT – IF REQUIRED</t>
  </si>
  <si>
    <t>SECTIONS 03</t>
  </si>
  <si>
    <t>PROJECT ENTRANCE</t>
  </si>
  <si>
    <t>TEMPORARY ENTRANCE</t>
  </si>
  <si>
    <t>CLUB HOUSE LANDSCAPE LAYOUT—ALL LEVELS</t>
  </si>
  <si>
    <t>AMN</t>
  </si>
  <si>
    <t>CLUB HOUSE LANDSCAPE LAYOUT—ROOF LEVEL</t>
  </si>
  <si>
    <t>CLUB HOUSE LANDSCAPE LAYOUT—COMMON AREA</t>
  </si>
  <si>
    <t>CENTRAL GREEN AREA LAYOUT</t>
  </si>
  <si>
    <t>CHILDREN'S PLAY AREA LAYOUT</t>
  </si>
  <si>
    <t>DOG PARK</t>
  </si>
  <si>
    <t>BOARD WALK</t>
  </si>
  <si>
    <t>Architecture</t>
  </si>
  <si>
    <t>Indpendent 1 to 7</t>
  </si>
  <si>
    <t>Remaining drawings (All batches)</t>
  </si>
  <si>
    <t>June and July</t>
  </si>
  <si>
    <t>Indpendent 9</t>
  </si>
  <si>
    <t xml:space="preserve">Batch 5 details are remaining </t>
  </si>
  <si>
    <t>Sept</t>
  </si>
  <si>
    <t>Tower 1</t>
  </si>
  <si>
    <t>Batch 8,9 &amp; 10</t>
  </si>
  <si>
    <t>June</t>
  </si>
  <si>
    <t>Tower 2V</t>
  </si>
  <si>
    <t>Batch 7(Some drawings)</t>
  </si>
  <si>
    <t>July</t>
  </si>
  <si>
    <t>Batch 8</t>
  </si>
  <si>
    <t>Batch 9 &amp; 10</t>
  </si>
  <si>
    <t>Tower 2s</t>
  </si>
  <si>
    <t>Batch 5 &amp; 6</t>
  </si>
  <si>
    <t>August</t>
  </si>
  <si>
    <t>Batch 7</t>
  </si>
  <si>
    <t>batch 8</t>
  </si>
  <si>
    <t>Oct</t>
  </si>
  <si>
    <t>batch 9 &amp; 10</t>
  </si>
  <si>
    <t>Nov</t>
  </si>
  <si>
    <t>Villa Cluster 3</t>
  </si>
  <si>
    <t>Batch 1</t>
  </si>
  <si>
    <t>Sep</t>
  </si>
  <si>
    <t>Batch 2 &amp; 3</t>
  </si>
  <si>
    <t>Commercial</t>
  </si>
  <si>
    <t>Aug &amp; Sep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</si>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</sst>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(* #,##0.00_);_(* \(#,##0.00\);_(* &quot;-&quot;??_);_(@_)"/>
    <numFmt numFmtId="165" formatCode="0.0%"/>
    <numFmt numFmtId="166" formatCode="0.0"/>
    <numFmt numFmtId="167" formatCode="mmmm&quot; &quot;d&quot;, &quot;yyyy;@"/>
    <numFmt numFmtId="168" formatCode="0%;\-0%;\-;@"/>
    <numFmt numFmtId="169" formatCode="0.0%;\-0.0%;\-;@"/>
    <numFmt numFmtId="170" formatCode="[$-409]mmmm\ d\,\ yyyy;@"/>
    <numFmt numFmtId="171" formatCode="_(* #,##0_);_(* \(#,##0\);_(* &quot;-&quot;??_);_(@_)"/>
    <numFmt numFmtId="172" formatCode="_(* #,##0.00_);_(* \(#,##0.00\);_(* \-??_);_(@_)"/>
    <numFmt numFmtId="173" formatCode="0.00_);\(0.00\)"/>
    <numFmt numFmtId="174" formatCode="#,##0.00\ ;&quot; -&quot;#,##0.00\ ;&quot; -&quot;#\ ;@\ "/>
    <numFmt numFmtId="175" formatCode="#,##0.00\ ;&quot; (&quot;#,##0.00\);&quot; -&quot;#\ ;@\ "/>
    <numFmt numFmtId="176" formatCode="0.0000"/>
    <numFmt numFmtId="177" formatCode="_ * #,##0_ ;_ * \-#,##0_ ;_ * &quot;-&quot;??_ ;_ @_ "/>
  </numFmts>
  <fonts count="126">
    <font>
      <sz val="10"/>
      <color theme="1"/>
      <name val="Meta-Norm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eo Sans Pro Light"/>
      <family val="2"/>
    </font>
    <font>
      <sz val="10"/>
      <color theme="1"/>
      <name val="Neo Sans Pro Medium"/>
      <family val="2"/>
    </font>
    <font>
      <sz val="10"/>
      <color theme="1"/>
      <name val="Neo Sans Pro"/>
      <family val="2"/>
    </font>
    <font>
      <sz val="10"/>
      <color theme="1"/>
      <name val="Meta-Normal"/>
      <family val="2"/>
    </font>
    <font>
      <b/>
      <sz val="10"/>
      <color theme="1"/>
      <name val="Meta-Normal"/>
      <family val="3"/>
    </font>
    <font>
      <sz val="10"/>
      <name val="Arial"/>
      <family val="2"/>
    </font>
    <font>
      <sz val="10"/>
      <color rgb="FF000000"/>
      <name val="Neo Sans Pro Light"/>
      <family val="2"/>
    </font>
    <font>
      <sz val="11"/>
      <color rgb="FF000000"/>
      <name val="Arial"/>
      <family val="2"/>
    </font>
    <font>
      <sz val="10"/>
      <color rgb="FF000000"/>
      <name val="Meta-Normal"/>
      <family val="2"/>
      <charset val="1"/>
    </font>
    <font>
      <sz val="10"/>
      <name val="Neo Sans Pro Medium"/>
      <family val="2"/>
    </font>
    <font>
      <sz val="10"/>
      <color theme="1"/>
      <name val="Meta-Normal"/>
      <family val="3"/>
    </font>
    <font>
      <sz val="14"/>
      <color theme="0"/>
      <name val="Impact"/>
      <family val="2"/>
    </font>
    <font>
      <sz val="9"/>
      <name val="Times New Roman"/>
      <family val="1"/>
      <charset val="1"/>
    </font>
    <font>
      <sz val="10"/>
      <name val="Century Gothic"/>
      <family val="2"/>
      <charset val="1"/>
    </font>
    <font>
      <sz val="9"/>
      <color indexed="8"/>
      <name val="Neo Sans Pro Light"/>
      <family val="2"/>
    </font>
    <font>
      <sz val="10"/>
      <name val="Neo Sans Pro Light"/>
      <family val="2"/>
    </font>
    <font>
      <sz val="9"/>
      <color rgb="FF000000"/>
      <name val="Times New Roman"/>
      <family val="1"/>
    </font>
    <font>
      <sz val="10"/>
      <name val="Meta-Normal"/>
      <family val="3"/>
    </font>
    <font>
      <sz val="8"/>
      <name val="Neo Sans Pro Light"/>
      <family val="2"/>
    </font>
    <font>
      <b/>
      <sz val="10"/>
      <name val="Neo Sans Pro Light"/>
      <family val="2"/>
    </font>
    <font>
      <b/>
      <sz val="10"/>
      <name val="Meta-Normal"/>
      <family val="3"/>
    </font>
    <font>
      <sz val="10"/>
      <name val="Meta-Normal"/>
      <family val="2"/>
    </font>
    <font>
      <b/>
      <sz val="10"/>
      <color theme="1"/>
      <name val="Meta-Normal"/>
      <family val="2"/>
    </font>
    <font>
      <b/>
      <sz val="10"/>
      <color theme="1"/>
      <name val="Neo Sans Pro Light"/>
      <family val="2"/>
    </font>
    <font>
      <sz val="10"/>
      <color theme="1"/>
      <name val="Meta-Normal"/>
      <family val="1"/>
    </font>
    <font>
      <sz val="12"/>
      <color theme="1"/>
      <name val="Calibri"/>
      <family val="2"/>
      <scheme val="minor"/>
    </font>
    <font>
      <sz val="10"/>
      <color rgb="FFFF0000"/>
      <name val="Neo Sans Pro Light"/>
      <family val="2"/>
    </font>
    <font>
      <sz val="10"/>
      <color rgb="FFFF0000"/>
      <name val="Neo Sans Pro Medium"/>
      <family val="2"/>
    </font>
    <font>
      <sz val="10"/>
      <name val="Neo Sans Pro"/>
      <family val="2"/>
    </font>
    <font>
      <b/>
      <sz val="12"/>
      <color theme="1"/>
      <name val="Meta-Normal"/>
      <family val="3"/>
    </font>
    <font>
      <sz val="9"/>
      <color theme="1"/>
      <name val="Meta-Normal"/>
      <family val="2"/>
    </font>
    <font>
      <sz val="9"/>
      <color theme="1"/>
      <name val="Neo Sans Pro Light"/>
      <family val="2"/>
    </font>
    <font>
      <sz val="9"/>
      <color rgb="FF000000"/>
      <name val="Neo Sans Pro Light"/>
      <family val="2"/>
    </font>
    <font>
      <sz val="11"/>
      <color indexed="8"/>
      <name val="Calibri"/>
      <family val="2"/>
    </font>
    <font>
      <sz val="10"/>
      <color theme="0"/>
      <name val="Neo Sans Pro Light"/>
      <family val="2"/>
    </font>
    <font>
      <sz val="10"/>
      <color theme="0"/>
      <name val="Meta-Normal"/>
      <family val="3"/>
    </font>
    <font>
      <sz val="12"/>
      <color theme="1"/>
      <name val="Neo Sans Pro Medium"/>
      <family val="2"/>
    </font>
    <font>
      <sz val="14"/>
      <color theme="0"/>
      <name val="Meta-Normal"/>
      <family val="3"/>
    </font>
    <font>
      <sz val="8"/>
      <name val="Meta-Normal"/>
      <family val="2"/>
    </font>
    <font>
      <sz val="12"/>
      <name val="Times New Roman"/>
      <family val="1"/>
    </font>
    <font>
      <sz val="10"/>
      <color theme="1"/>
      <name val="NeoSansPro-Light"/>
      <family val="2"/>
    </font>
    <font>
      <sz val="8"/>
      <color indexed="8"/>
      <name val="Neo Sans Pro Light"/>
      <family val="2"/>
    </font>
    <font>
      <sz val="8"/>
      <color indexed="8"/>
      <name val="Calibri"/>
      <family val="2"/>
    </font>
    <font>
      <sz val="8"/>
      <color theme="1"/>
      <name val="Calibri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  <charset val="1"/>
    </font>
    <font>
      <sz val="11"/>
      <color indexed="8"/>
      <name val="Meta-Normal"/>
      <family val="2"/>
      <charset val="1"/>
    </font>
    <font>
      <sz val="8"/>
      <name val="Neo Sans Pro Light"/>
      <family val="2"/>
      <charset val="134"/>
    </font>
    <font>
      <sz val="12"/>
      <name val="Times New Roman"/>
      <family val="1"/>
      <charset val="134"/>
    </font>
    <font>
      <sz val="8"/>
      <color indexed="8"/>
      <name val="Calibri"/>
      <family val="2"/>
      <charset val="134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angal"/>
      <family val="1"/>
    </font>
    <font>
      <sz val="10"/>
      <name val="Verdan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4"/>
      <name val="Calibri"/>
      <family val="2"/>
    </font>
    <font>
      <b/>
      <sz val="13"/>
      <color indexed="54"/>
      <name val="Calibri"/>
      <family val="2"/>
    </font>
    <font>
      <b/>
      <sz val="11"/>
      <color indexed="54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1"/>
    </font>
    <font>
      <sz val="12"/>
      <color indexed="8"/>
      <name val="Calibri"/>
      <family val="2"/>
    </font>
    <font>
      <b/>
      <sz val="11"/>
      <color indexed="63"/>
      <name val="Calibri"/>
      <family val="2"/>
    </font>
    <font>
      <sz val="18"/>
      <color indexed="54"/>
      <name val="Calibri Light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theme="1"/>
      <name val="Meta-Normal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Meta-Normal"/>
    </font>
    <font>
      <sz val="14"/>
      <color theme="0"/>
      <name val="Impact"/>
      <family val="3"/>
    </font>
    <font>
      <sz val="11"/>
      <color theme="1"/>
      <name val="Neo Sans Pro Medium"/>
      <family val="2"/>
    </font>
    <font>
      <b/>
      <sz val="12"/>
      <color theme="1"/>
      <name val="Meta-Normal"/>
    </font>
    <font>
      <b/>
      <sz val="10"/>
      <color theme="1"/>
      <name val="Meta-Normal"/>
    </font>
    <font>
      <b/>
      <sz val="10"/>
      <color theme="1"/>
      <name val="Neo Sans Pro"/>
      <family val="2"/>
    </font>
    <font>
      <b/>
      <sz val="11"/>
      <color theme="1"/>
      <name val="Meta-Normal"/>
    </font>
    <font>
      <sz val="10"/>
      <name val="Meta-Normal"/>
    </font>
    <font>
      <sz val="10"/>
      <color rgb="FFFF0000"/>
      <name val="Meta-Normal"/>
      <family val="3"/>
    </font>
    <font>
      <sz val="10"/>
      <color rgb="FFFF0000"/>
      <name val="Meta-Normal"/>
      <family val="2"/>
    </font>
    <font>
      <sz val="9"/>
      <name val="Neo Sans Pro Light"/>
      <family val="2"/>
    </font>
    <font>
      <sz val="10"/>
      <color theme="0"/>
      <name val="Meta-Normal"/>
      <family val="2"/>
    </font>
    <font>
      <b/>
      <sz val="10"/>
      <color theme="0"/>
      <name val="Helvetica"/>
      <family val="2"/>
    </font>
    <font>
      <b/>
      <sz val="14"/>
      <color theme="0"/>
      <name val="Helvetica"/>
      <family val="2"/>
    </font>
    <font>
      <b/>
      <sz val="10"/>
      <color theme="1"/>
      <name val="Helvetica"/>
      <family val="2"/>
    </font>
    <font>
      <sz val="12"/>
      <color theme="1"/>
      <name val="Meta-Normal"/>
      <family val="2"/>
    </font>
    <font>
      <sz val="12"/>
      <color theme="0"/>
      <name val="Impact"/>
      <family val="2"/>
    </font>
    <font>
      <b/>
      <sz val="12"/>
      <color theme="1"/>
      <name val="Meta-Normal"/>
      <family val="2"/>
    </font>
    <font>
      <b/>
      <sz val="8"/>
      <color theme="1"/>
      <name val="Meta-Normal"/>
      <family val="2"/>
    </font>
    <font>
      <sz val="8"/>
      <color theme="1"/>
      <name val="Neo Sans Pro Light"/>
      <family val="2"/>
    </font>
    <font>
      <sz val="8"/>
      <color theme="1"/>
      <name val="Meta-Normal"/>
      <family val="2"/>
    </font>
    <font>
      <sz val="9"/>
      <color theme="0"/>
      <name val="Impact"/>
      <family val="2"/>
    </font>
    <font>
      <b/>
      <sz val="12"/>
      <color theme="0"/>
      <name val="Impact"/>
      <family val="2"/>
    </font>
    <font>
      <b/>
      <sz val="9"/>
      <color theme="1"/>
      <name val="Neo Sans Pro Light"/>
      <family val="2"/>
    </font>
    <font>
      <sz val="12"/>
      <color theme="0"/>
      <name val="Meta-Bold"/>
    </font>
    <font>
      <sz val="12"/>
      <color theme="1"/>
      <name val="Meta-Bold"/>
    </font>
    <font>
      <b/>
      <sz val="12"/>
      <color theme="1"/>
      <name val="Meta-Bold"/>
    </font>
    <font>
      <sz val="13"/>
      <color theme="1"/>
      <name val="Meta-Bold"/>
    </font>
    <font>
      <b/>
      <sz val="13"/>
      <color theme="1"/>
      <name val="Meta-Bold"/>
    </font>
    <font>
      <sz val="18"/>
      <color theme="0"/>
      <name val="Impact"/>
      <family val="3"/>
    </font>
    <font>
      <sz val="18"/>
      <color theme="0"/>
      <name val="Meta-Normal"/>
      <family val="3"/>
    </font>
    <font>
      <sz val="18"/>
      <color theme="0"/>
      <name val="Impact"/>
      <family val="2"/>
    </font>
    <font>
      <sz val="14"/>
      <color theme="0"/>
      <name val="Neo Sans Pro Medium"/>
      <family val="2"/>
    </font>
    <font>
      <b/>
      <sz val="11"/>
      <color theme="1"/>
      <name val="Helvetica"/>
      <family val="2"/>
    </font>
    <font>
      <b/>
      <sz val="11"/>
      <name val="Helvetica"/>
      <family val="2"/>
    </font>
    <font>
      <sz val="12"/>
      <color theme="0"/>
      <name val="Neo Sans Pro Medium"/>
      <family val="2"/>
    </font>
    <font>
      <sz val="10"/>
      <color theme="1"/>
      <name val="Meta-Bold"/>
    </font>
    <font>
      <sz val="9"/>
      <color theme="1"/>
      <name val="Meta-Bold"/>
    </font>
    <font>
      <b/>
      <sz val="10"/>
      <color theme="1"/>
      <name val="Meta-Bold"/>
    </font>
    <font>
      <sz val="10"/>
      <color theme="0"/>
      <name val="Meta-Normal"/>
    </font>
    <font>
      <b/>
      <sz val="10"/>
      <name val="Meta-Normal"/>
    </font>
    <font>
      <sz val="10"/>
      <color rgb="FF000000"/>
      <name val="Arial"/>
      <family val="2"/>
    </font>
    <font>
      <b/>
      <sz val="10"/>
      <color rgb="FFFF0000"/>
      <name val="Helvetica"/>
      <family val="2"/>
    </font>
    <font>
      <sz val="10"/>
      <color rgb="FFFF0000"/>
      <name val="Century Gothic"/>
      <family val="2"/>
      <charset val="1"/>
    </font>
    <font>
      <sz val="10"/>
      <name val="Century Gothic"/>
      <family val="2"/>
    </font>
    <font>
      <sz val="9"/>
      <color theme="1"/>
      <name val="Meta-Normal"/>
    </font>
  </fonts>
  <fills count="3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245A7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52"/>
      </bottom>
      <diagonal/>
    </border>
    <border>
      <left style="thin">
        <color indexed="44"/>
      </left>
      <right style="thin">
        <color indexed="44"/>
      </right>
      <top style="thin">
        <color indexed="44"/>
      </top>
      <bottom style="thin">
        <color indexed="4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2253">
    <xf numFmtId="0" fontId="0" fillId="0" borderId="0"/>
    <xf numFmtId="9" fontId="9" fillId="0" borderId="0" applyFont="0" applyFill="0" applyBorder="0" applyAlignment="0" applyProtection="0"/>
    <xf numFmtId="0" fontId="11" fillId="0" borderId="0"/>
    <xf numFmtId="0" fontId="13" fillId="0" borderId="0"/>
    <xf numFmtId="0" fontId="14" fillId="0" borderId="0"/>
    <xf numFmtId="0" fontId="18" fillId="0" borderId="0"/>
    <xf numFmtId="49" fontId="15" fillId="0" borderId="0">
      <alignment horizontal="left" vertical="center"/>
    </xf>
    <xf numFmtId="49" fontId="20" fillId="0" borderId="0"/>
    <xf numFmtId="167" fontId="22" fillId="0" borderId="0"/>
    <xf numFmtId="0" fontId="24" fillId="0" borderId="0"/>
    <xf numFmtId="0" fontId="5" fillId="0" borderId="0"/>
    <xf numFmtId="0" fontId="9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5" fillId="0" borderId="0"/>
    <xf numFmtId="9" fontId="9" fillId="0" borderId="0" applyFont="0" applyFill="0" applyBorder="0" applyAlignment="0" applyProtection="0"/>
    <xf numFmtId="0" fontId="11" fillId="0" borderId="0"/>
    <xf numFmtId="43" fontId="2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/>
    <xf numFmtId="0" fontId="3" fillId="0" borderId="0"/>
    <xf numFmtId="0" fontId="3" fillId="0" borderId="0"/>
    <xf numFmtId="0" fontId="3" fillId="0" borderId="0"/>
    <xf numFmtId="0" fontId="22" fillId="0" borderId="0" applyNumberFormat="0" applyBorder="0" applyProtection="0"/>
    <xf numFmtId="170" fontId="39" fillId="0" borderId="0"/>
    <xf numFmtId="0" fontId="13" fillId="0" borderId="0"/>
    <xf numFmtId="43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45" fillId="0" borderId="0"/>
    <xf numFmtId="43" fontId="11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  <xf numFmtId="0" fontId="11" fillId="0" borderId="0"/>
    <xf numFmtId="43" fontId="6" fillId="0" borderId="0" applyFont="0" applyFill="0" applyBorder="0" applyAlignment="0" applyProtection="0"/>
    <xf numFmtId="43" fontId="46" fillId="0" borderId="0" applyFont="0" applyFill="0" applyBorder="0" applyAlignment="0" applyProtection="0"/>
    <xf numFmtId="0" fontId="24" fillId="0" borderId="0"/>
    <xf numFmtId="43" fontId="11" fillId="0" borderId="0" applyFont="0" applyFill="0" applyBorder="0" applyAlignment="0" applyProtection="0"/>
    <xf numFmtId="0" fontId="47" fillId="0" borderId="0" applyBorder="0" applyProtection="0"/>
    <xf numFmtId="43" fontId="24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8" fillId="0" borderId="0"/>
    <xf numFmtId="0" fontId="45" fillId="0" borderId="0">
      <alignment vertical="center"/>
    </xf>
    <xf numFmtId="43" fontId="24" fillId="0" borderId="0" applyFont="0" applyFill="0" applyBorder="0" applyAlignment="0" applyProtection="0"/>
    <xf numFmtId="9" fontId="46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4" fillId="0" borderId="0"/>
    <xf numFmtId="0" fontId="49" fillId="0" borderId="0"/>
    <xf numFmtId="0" fontId="46" fillId="0" borderId="0"/>
    <xf numFmtId="43" fontId="48" fillId="0" borderId="0" applyFont="0" applyFill="0" applyBorder="0" applyAlignment="0" applyProtection="0"/>
    <xf numFmtId="0" fontId="48" fillId="0" borderId="0"/>
    <xf numFmtId="0" fontId="24" fillId="0" borderId="0"/>
    <xf numFmtId="0" fontId="48" fillId="0" borderId="0"/>
    <xf numFmtId="0" fontId="2" fillId="0" borderId="0"/>
    <xf numFmtId="43" fontId="48" fillId="0" borderId="0" applyProtection="0"/>
    <xf numFmtId="0" fontId="50" fillId="0" borderId="0" applyProtection="0"/>
    <xf numFmtId="0" fontId="48" fillId="0" borderId="0"/>
    <xf numFmtId="43" fontId="2" fillId="0" borderId="0" applyFont="0" applyFill="0" applyBorder="0" applyAlignment="0" applyProtection="0"/>
    <xf numFmtId="0" fontId="11" fillId="0" borderId="0">
      <alignment vertical="center"/>
    </xf>
    <xf numFmtId="0" fontId="48" fillId="0" borderId="0" applyProtection="0"/>
    <xf numFmtId="0" fontId="48" fillId="0" borderId="0" applyProtection="0"/>
    <xf numFmtId="0" fontId="51" fillId="0" borderId="0"/>
    <xf numFmtId="0" fontId="48" fillId="0" borderId="0" applyNumberFormat="0" applyFont="0" applyFill="0" applyBorder="0" applyProtection="0"/>
    <xf numFmtId="0" fontId="39" fillId="0" borderId="0" applyProtection="0"/>
    <xf numFmtId="0" fontId="48" fillId="0" borderId="0" applyProtection="0"/>
    <xf numFmtId="172" fontId="39" fillId="0" borderId="0" applyFill="0" applyBorder="0" applyAlignment="0" applyProtection="0"/>
    <xf numFmtId="0" fontId="11" fillId="0" borderId="0">
      <alignment vertical="center"/>
    </xf>
    <xf numFmtId="0" fontId="39" fillId="0" borderId="0" applyProtection="0"/>
    <xf numFmtId="43" fontId="24" fillId="0" borderId="0" applyFont="0" applyFill="0" applyBorder="0" applyAlignment="0" applyProtection="0"/>
    <xf numFmtId="0" fontId="48" fillId="0" borderId="0"/>
    <xf numFmtId="0" fontId="11" fillId="0" borderId="0" applyProtection="0"/>
    <xf numFmtId="0" fontId="11" fillId="0" borderId="0"/>
    <xf numFmtId="0" fontId="48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" fillId="0" borderId="0"/>
    <xf numFmtId="0" fontId="52" fillId="0" borderId="0"/>
    <xf numFmtId="43" fontId="2" fillId="0" borderId="0" applyFont="0" applyFill="0" applyBorder="0" applyAlignment="0" applyProtection="0"/>
    <xf numFmtId="0" fontId="49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46" fillId="0" borderId="0"/>
    <xf numFmtId="0" fontId="5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4" fillId="0" borderId="0"/>
    <xf numFmtId="0" fontId="2" fillId="0" borderId="0"/>
    <xf numFmtId="43" fontId="2" fillId="0" borderId="0" applyFont="0" applyFill="0" applyBorder="0" applyAlignment="0" applyProtection="0"/>
    <xf numFmtId="0" fontId="54" fillId="0" borderId="0">
      <alignment vertical="center"/>
    </xf>
    <xf numFmtId="0" fontId="55" fillId="0" borderId="0">
      <alignment vertical="center"/>
    </xf>
    <xf numFmtId="43" fontId="2" fillId="0" borderId="0" applyFont="0" applyFill="0" applyBorder="0" applyAlignment="0" applyProtection="0"/>
    <xf numFmtId="173" fontId="56" fillId="0" borderId="0" applyFont="0" applyFill="0" applyBorder="0" applyAlignment="0" applyProtection="0"/>
    <xf numFmtId="0" fontId="11" fillId="0" borderId="0"/>
    <xf numFmtId="0" fontId="45" fillId="0" borderId="0"/>
    <xf numFmtId="0" fontId="24" fillId="0" borderId="0"/>
    <xf numFmtId="43" fontId="11" fillId="0" borderId="0" applyFill="0" applyBorder="0" applyAlignment="0" applyProtection="0"/>
    <xf numFmtId="0" fontId="46" fillId="0" borderId="0"/>
    <xf numFmtId="43" fontId="46" fillId="0" borderId="0" applyFont="0" applyFill="0" applyBorder="0" applyAlignment="0" applyProtection="0"/>
    <xf numFmtId="0" fontId="48" fillId="0" borderId="0">
      <alignment vertical="center"/>
    </xf>
    <xf numFmtId="43" fontId="48" fillId="0" borderId="0" applyFont="0" applyFill="0" applyBorder="0" applyAlignment="0" applyProtection="0"/>
    <xf numFmtId="0" fontId="48" fillId="0" borderId="0">
      <alignment vertical="center"/>
    </xf>
    <xf numFmtId="0" fontId="48" fillId="0" borderId="0">
      <alignment vertical="center"/>
    </xf>
    <xf numFmtId="0" fontId="11" fillId="0" borderId="0">
      <alignment vertical="center"/>
    </xf>
    <xf numFmtId="0" fontId="48" fillId="0" borderId="0">
      <alignment vertical="center"/>
    </xf>
    <xf numFmtId="0" fontId="39" fillId="11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7" fillId="10" borderId="0" applyNumberFormat="0" applyBorder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7" fillId="11" borderId="0" applyNumberFormat="0" applyBorder="0" applyAlignment="0" applyProtection="0">
      <alignment vertical="center"/>
    </xf>
    <xf numFmtId="0" fontId="57" fillId="6" borderId="0" applyNumberFormat="0" applyBorder="0" applyAlignment="0" applyProtection="0">
      <alignment vertical="center"/>
    </xf>
    <xf numFmtId="0" fontId="57" fillId="15" borderId="0" applyNumberFormat="0" applyBorder="0" applyAlignment="0" applyProtection="0">
      <alignment vertical="center"/>
    </xf>
    <xf numFmtId="0" fontId="57" fillId="8" borderId="0" applyNumberFormat="0" applyBorder="0" applyAlignment="0" applyProtection="0">
      <alignment vertical="center"/>
    </xf>
    <xf numFmtId="0" fontId="57" fillId="9" borderId="0" applyNumberFormat="0" applyBorder="0" applyAlignment="0" applyProtection="0">
      <alignment vertical="center"/>
    </xf>
    <xf numFmtId="0" fontId="57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7" fillId="15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9" fillId="12" borderId="6" applyNumberFormat="0" applyAlignment="0" applyProtection="0">
      <alignment vertical="center"/>
    </xf>
    <xf numFmtId="0" fontId="60" fillId="9" borderId="7" applyNumberFormat="0" applyAlignment="0" applyProtection="0">
      <alignment vertical="center"/>
    </xf>
    <xf numFmtId="174" fontId="61" fillId="0" borderId="0" applyFill="0" applyBorder="0" applyAlignment="0" applyProtection="0">
      <alignment vertical="center"/>
    </xf>
    <xf numFmtId="174" fontId="61" fillId="0" borderId="0" applyFill="0" applyBorder="0" applyAlignment="0" applyProtection="0">
      <alignment vertical="center"/>
    </xf>
    <xf numFmtId="43" fontId="48" fillId="0" borderId="0" applyFont="0" applyFill="0" applyBorder="0" applyAlignment="0" applyProtection="0">
      <alignment vertical="center"/>
    </xf>
    <xf numFmtId="43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175" fontId="61" fillId="0" borderId="0" applyFill="0" applyBorder="0" applyAlignment="0" applyProtection="0"/>
    <xf numFmtId="174" fontId="61" fillId="0" borderId="0" applyFill="0" applyBorder="0" applyAlignment="0" applyProtection="0">
      <alignment vertical="center"/>
    </xf>
    <xf numFmtId="43" fontId="48" fillId="0" borderId="0" applyFont="0" applyFill="0" applyBorder="0" applyAlignment="0" applyProtection="0"/>
    <xf numFmtId="174" fontId="61" fillId="0" borderId="0" applyFill="0" applyBorder="0" applyAlignment="0" applyProtection="0">
      <alignment vertical="center"/>
    </xf>
    <xf numFmtId="175" fontId="61" fillId="0" borderId="0" applyFill="0" applyBorder="0" applyAlignment="0" applyProtection="0"/>
    <xf numFmtId="0" fontId="48" fillId="0" borderId="0">
      <alignment vertical="center"/>
    </xf>
    <xf numFmtId="0" fontId="62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65" fillId="0" borderId="8" applyNumberFormat="0" applyFill="0" applyAlignment="0" applyProtection="0">
      <alignment vertical="center"/>
    </xf>
    <xf numFmtId="0" fontId="66" fillId="0" borderId="9" applyNumberFormat="0" applyFill="0" applyAlignment="0" applyProtection="0">
      <alignment vertical="center"/>
    </xf>
    <xf numFmtId="0" fontId="67" fillId="0" borderId="10" applyNumberFormat="0" applyFill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8" fillId="13" borderId="6" applyNumberFormat="0" applyAlignment="0" applyProtection="0">
      <alignment vertical="center"/>
    </xf>
    <xf numFmtId="0" fontId="69" fillId="0" borderId="11" applyNumberFormat="0" applyFill="0" applyAlignment="0" applyProtection="0">
      <alignment vertical="center"/>
    </xf>
    <xf numFmtId="0" fontId="70" fillId="6" borderId="0" applyNumberFormat="0" applyBorder="0" applyAlignment="0" applyProtection="0">
      <alignment vertical="center"/>
    </xf>
    <xf numFmtId="0" fontId="4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8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71" fillId="0" borderId="0" applyNumberFormat="0" applyBorder="0" applyProtection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8" fillId="0" borderId="0"/>
    <xf numFmtId="0" fontId="50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/>
    <xf numFmtId="0" fontId="11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50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50" fillId="0" borderId="0"/>
    <xf numFmtId="0" fontId="50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50" fillId="0" borderId="0"/>
    <xf numFmtId="0" fontId="50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48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/>
    <xf numFmtId="0" fontId="11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48" fillId="0" borderId="0">
      <alignment vertical="center"/>
    </xf>
    <xf numFmtId="0" fontId="48" fillId="0" borderId="0"/>
    <xf numFmtId="0" fontId="48" fillId="0" borderId="0"/>
    <xf numFmtId="0" fontId="48" fillId="0" borderId="0"/>
    <xf numFmtId="0" fontId="11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11" fillId="0" borderId="0">
      <alignment vertical="center"/>
    </xf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72" fillId="0" borderId="0">
      <alignment vertical="center"/>
    </xf>
    <xf numFmtId="0" fontId="24" fillId="0" borderId="0">
      <alignment vertical="center"/>
    </xf>
    <xf numFmtId="0" fontId="72" fillId="0" borderId="0"/>
    <xf numFmtId="0" fontId="72" fillId="0" borderId="0"/>
    <xf numFmtId="0" fontId="72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 applyProtection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 applyProtection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 applyProtection="0">
      <alignment vertical="center"/>
    </xf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8" fillId="6" borderId="12" applyNumberFormat="0" applyFont="0" applyAlignment="0" applyProtection="0">
      <alignment vertical="center"/>
    </xf>
    <xf numFmtId="0" fontId="73" fillId="12" borderId="13" applyNumberFormat="0" applyAlignment="0" applyProtection="0">
      <alignment vertical="center"/>
    </xf>
    <xf numFmtId="0" fontId="61" fillId="0" borderId="5" applyFill="0" applyProtection="0">
      <alignment vertical="center"/>
    </xf>
    <xf numFmtId="0" fontId="61" fillId="0" borderId="5" applyFill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0" borderId="14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2" fillId="0" borderId="0"/>
    <xf numFmtId="43" fontId="2" fillId="0" borderId="0" applyFont="0" applyFill="0" applyBorder="0" applyAlignment="0" applyProtection="0"/>
    <xf numFmtId="0" fontId="4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43" fontId="48" fillId="0" borderId="0" applyFont="0" applyFill="0" applyBorder="0" applyAlignment="0" applyProtection="0"/>
    <xf numFmtId="0" fontId="48" fillId="0" borderId="0">
      <alignment vertical="center"/>
    </xf>
    <xf numFmtId="0" fontId="48" fillId="0" borderId="0">
      <alignment vertical="center"/>
    </xf>
    <xf numFmtId="0" fontId="2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43">
    <xf numFmtId="0" fontId="0" fillId="0" borderId="0" xfId="0"/>
    <xf numFmtId="0" fontId="2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49" fontId="16" fillId="0" borderId="1" xfId="5" applyNumberFormat="1" applyFont="1" applyBorder="1" applyAlignment="1">
      <alignment horizontal="center"/>
    </xf>
    <xf numFmtId="0" fontId="6" fillId="0" borderId="1" xfId="5" applyFont="1" applyBorder="1" applyAlignment="1">
      <alignment horizontal="center" vertical="center"/>
    </xf>
    <xf numFmtId="0" fontId="15" fillId="0" borderId="1" xfId="24" applyFont="1" applyBorder="1" applyAlignment="1">
      <alignment horizontal="center" vertical="center"/>
    </xf>
    <xf numFmtId="0" fontId="7" fillId="0" borderId="1" xfId="24" applyFont="1" applyBorder="1" applyAlignment="1">
      <alignment horizontal="left" vertical="center"/>
    </xf>
    <xf numFmtId="0" fontId="6" fillId="0" borderId="1" xfId="24" applyFont="1" applyBorder="1" applyAlignment="1">
      <alignment horizontal="center" vertical="center"/>
    </xf>
    <xf numFmtId="0" fontId="7" fillId="0" borderId="1" xfId="24" applyFont="1" applyBorder="1" applyAlignment="1">
      <alignment horizontal="center" vertical="center"/>
    </xf>
    <xf numFmtId="0" fontId="6" fillId="0" borderId="1" xfId="23" applyFont="1" applyBorder="1" applyAlignment="1">
      <alignment horizontal="left"/>
    </xf>
    <xf numFmtId="0" fontId="6" fillId="0" borderId="1" xfId="23" applyFont="1" applyBorder="1" applyAlignment="1">
      <alignment horizontal="center"/>
    </xf>
    <xf numFmtId="0" fontId="16" fillId="0" borderId="1" xfId="23" applyFont="1" applyBorder="1"/>
    <xf numFmtId="0" fontId="16" fillId="0" borderId="1" xfId="23" applyFont="1" applyBorder="1" applyAlignment="1">
      <alignment horizontal="center"/>
    </xf>
    <xf numFmtId="0" fontId="7" fillId="0" borderId="1" xfId="23" applyFont="1" applyBorder="1" applyAlignment="1">
      <alignment horizontal="left"/>
    </xf>
    <xf numFmtId="0" fontId="7" fillId="0" borderId="1" xfId="23" applyFont="1" applyBorder="1"/>
    <xf numFmtId="0" fontId="6" fillId="0" borderId="1" xfId="24" applyFont="1" applyBorder="1" applyAlignment="1">
      <alignment horizontal="left" vertical="center"/>
    </xf>
    <xf numFmtId="0" fontId="6" fillId="0" borderId="0" xfId="23" applyFont="1"/>
    <xf numFmtId="0" fontId="6" fillId="0" borderId="0" xfId="23" applyFont="1" applyAlignment="1">
      <alignment horizontal="center"/>
    </xf>
    <xf numFmtId="0" fontId="7" fillId="0" borderId="0" xfId="23" applyFont="1"/>
    <xf numFmtId="0" fontId="16" fillId="0" borderId="0" xfId="23" applyFont="1" applyAlignment="1">
      <alignment horizontal="center"/>
    </xf>
    <xf numFmtId="0" fontId="30" fillId="0" borderId="0" xfId="23" applyFont="1" applyAlignment="1">
      <alignment horizontal="left"/>
    </xf>
    <xf numFmtId="0" fontId="15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9" fontId="21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0" fontId="21" fillId="0" borderId="1" xfId="0" applyFont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1" fontId="27" fillId="0" borderId="1" xfId="0" applyNumberFormat="1" applyFont="1" applyBorder="1" applyAlignment="1">
      <alignment vertical="center"/>
    </xf>
    <xf numFmtId="1" fontId="27" fillId="0" borderId="1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21" fillId="3" borderId="1" xfId="0" applyFont="1" applyFill="1" applyBorder="1" applyAlignment="1">
      <alignment vertical="center"/>
    </xf>
    <xf numFmtId="0" fontId="21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16" fillId="0" borderId="1" xfId="23" applyFont="1" applyBorder="1" applyAlignment="1">
      <alignment vertical="center"/>
    </xf>
    <xf numFmtId="0" fontId="34" fillId="0" borderId="1" xfId="23" applyFont="1" applyBorder="1" applyAlignment="1">
      <alignment horizontal="left" indent="1"/>
    </xf>
    <xf numFmtId="0" fontId="16" fillId="0" borderId="1" xfId="23" quotePrefix="1" applyFont="1" applyBorder="1" applyAlignment="1">
      <alignment horizontal="center" vertical="center"/>
    </xf>
    <xf numFmtId="0" fontId="8" fillId="0" borderId="1" xfId="23" applyFont="1" applyBorder="1" applyAlignment="1">
      <alignment horizontal="left"/>
    </xf>
    <xf numFmtId="0" fontId="34" fillId="0" borderId="1" xfId="23" applyFont="1" applyBorder="1" applyAlignment="1">
      <alignment horizontal="left"/>
    </xf>
    <xf numFmtId="0" fontId="16" fillId="0" borderId="0" xfId="23" applyFont="1" applyAlignment="1">
      <alignment vertical="center"/>
    </xf>
    <xf numFmtId="0" fontId="40" fillId="0" borderId="0" xfId="5" applyFont="1" applyAlignment="1">
      <alignment horizontal="center" vertical="center"/>
    </xf>
    <xf numFmtId="166" fontId="41" fillId="0" borderId="0" xfId="5" applyNumberFormat="1" applyFont="1" applyAlignment="1">
      <alignment horizontal="center" vertical="center"/>
    </xf>
    <xf numFmtId="2" fontId="28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horizontal="right" vertical="center"/>
    </xf>
    <xf numFmtId="1" fontId="16" fillId="0" borderId="1" xfId="0" applyNumberFormat="1" applyFont="1" applyBorder="1" applyAlignment="1">
      <alignment horizontal="right" vertical="center"/>
    </xf>
    <xf numFmtId="0" fontId="7" fillId="4" borderId="1" xfId="0" applyFont="1" applyFill="1" applyBorder="1" applyAlignment="1">
      <alignment vertical="center" wrapText="1"/>
    </xf>
    <xf numFmtId="0" fontId="28" fillId="4" borderId="1" xfId="0" applyFont="1" applyFill="1" applyBorder="1" applyAlignment="1">
      <alignment horizontal="center" vertical="center"/>
    </xf>
    <xf numFmtId="49" fontId="15" fillId="0" borderId="1" xfId="10" applyNumberFormat="1" applyFont="1" applyBorder="1" applyAlignment="1">
      <alignment horizontal="center" vertical="center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10" fillId="0" borderId="0" xfId="0" applyFont="1"/>
    <xf numFmtId="1" fontId="15" fillId="0" borderId="1" xfId="10" applyNumberFormat="1" applyFont="1" applyBorder="1" applyAlignment="1">
      <alignment horizontal="center" vertical="center" wrapText="1"/>
    </xf>
    <xf numFmtId="1" fontId="15" fillId="0" borderId="1" xfId="5" applyNumberFormat="1" applyFont="1" applyBorder="1" applyAlignment="1">
      <alignment horizontal="center" vertical="center"/>
    </xf>
    <xf numFmtId="0" fontId="78" fillId="0" borderId="0" xfId="0" applyFont="1"/>
    <xf numFmtId="0" fontId="78" fillId="0" borderId="0" xfId="0" applyFont="1" applyAlignment="1">
      <alignment horizontal="center"/>
    </xf>
    <xf numFmtId="0" fontId="78" fillId="0" borderId="0" xfId="0" applyFont="1" applyAlignment="1">
      <alignment wrapText="1"/>
    </xf>
    <xf numFmtId="166" fontId="28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left" vertical="center" wrapText="1"/>
    </xf>
    <xf numFmtId="176" fontId="78" fillId="0" borderId="0" xfId="0" applyNumberFormat="1" applyFont="1"/>
    <xf numFmtId="2" fontId="78" fillId="0" borderId="0" xfId="0" applyNumberFormat="1" applyFont="1"/>
    <xf numFmtId="0" fontId="32" fillId="0" borderId="1" xfId="0" applyFont="1" applyBorder="1" applyAlignment="1">
      <alignment vertical="center" wrapText="1"/>
    </xf>
    <xf numFmtId="176" fontId="79" fillId="19" borderId="15" xfId="0" applyNumberFormat="1" applyFont="1" applyFill="1" applyBorder="1" applyAlignment="1">
      <alignment horizontal="right" vertical="center"/>
    </xf>
    <xf numFmtId="176" fontId="79" fillId="0" borderId="15" xfId="0" applyNumberFormat="1" applyFont="1" applyBorder="1" applyAlignment="1">
      <alignment horizontal="right" vertical="center"/>
    </xf>
    <xf numFmtId="176" fontId="79" fillId="19" borderId="15" xfId="29" applyNumberFormat="1" applyFont="1" applyFill="1" applyBorder="1" applyAlignment="1">
      <alignment horizontal="right" vertical="center"/>
    </xf>
    <xf numFmtId="0" fontId="21" fillId="0" borderId="1" xfId="0" applyFont="1" applyBorder="1" applyAlignment="1">
      <alignment vertical="center" wrapText="1"/>
    </xf>
    <xf numFmtId="1" fontId="88" fillId="0" borderId="1" xfId="0" applyNumberFormat="1" applyFont="1" applyBorder="1" applyAlignment="1">
      <alignment horizontal="right" vertical="center"/>
    </xf>
    <xf numFmtId="0" fontId="89" fillId="0" borderId="0" xfId="0" applyFont="1"/>
    <xf numFmtId="0" fontId="27" fillId="0" borderId="0" xfId="0" applyFont="1"/>
    <xf numFmtId="0" fontId="0" fillId="20" borderId="0" xfId="0" applyFill="1" applyAlignment="1">
      <alignment horizontal="center"/>
    </xf>
    <xf numFmtId="0" fontId="0" fillId="20" borderId="0" xfId="0" applyFill="1"/>
    <xf numFmtId="0" fontId="89" fillId="20" borderId="0" xfId="0" applyFont="1" applyFill="1"/>
    <xf numFmtId="0" fontId="27" fillId="20" borderId="0" xfId="0" applyFont="1" applyFill="1"/>
    <xf numFmtId="0" fontId="0" fillId="0" borderId="16" xfId="0" applyBorder="1" applyAlignment="1">
      <alignment vertical="center"/>
    </xf>
    <xf numFmtId="0" fontId="28" fillId="0" borderId="16" xfId="0" applyFont="1" applyBorder="1" applyAlignment="1">
      <alignment horizontal="right" vertical="center"/>
    </xf>
    <xf numFmtId="0" fontId="6" fillId="0" borderId="16" xfId="0" applyFont="1" applyBorder="1" applyAlignment="1">
      <alignment vertical="center" wrapText="1"/>
    </xf>
    <xf numFmtId="0" fontId="6" fillId="0" borderId="16" xfId="0" applyFont="1" applyBorder="1" applyAlignment="1">
      <alignment vertical="center"/>
    </xf>
    <xf numFmtId="168" fontId="0" fillId="0" borderId="16" xfId="0" applyNumberFormat="1" applyBorder="1" applyAlignment="1">
      <alignment horizontal="center" vertical="center"/>
    </xf>
    <xf numFmtId="168" fontId="6" fillId="0" borderId="16" xfId="0" applyNumberFormat="1" applyFont="1" applyBorder="1" applyAlignment="1">
      <alignment vertical="center"/>
    </xf>
    <xf numFmtId="0" fontId="0" fillId="27" borderId="16" xfId="11" applyFont="1" applyFill="1" applyBorder="1" applyAlignment="1">
      <alignment vertical="center"/>
    </xf>
    <xf numFmtId="0" fontId="8" fillId="27" borderId="16" xfId="11" applyFont="1" applyFill="1" applyBorder="1" applyAlignment="1">
      <alignment vertical="center"/>
    </xf>
    <xf numFmtId="1" fontId="0" fillId="0" borderId="16" xfId="11" applyNumberFormat="1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6" xfId="11" applyFont="1" applyBorder="1" applyAlignment="1">
      <alignment horizontal="center" vertical="center" wrapText="1"/>
    </xf>
    <xf numFmtId="0" fontId="17" fillId="3" borderId="16" xfId="0" applyFont="1" applyFill="1" applyBorder="1" applyAlignment="1">
      <alignment horizontal="left" vertical="center" wrapText="1"/>
    </xf>
    <xf numFmtId="0" fontId="17" fillId="0" borderId="16" xfId="0" applyFont="1" applyBorder="1" applyAlignment="1">
      <alignment horizontal="center" vertical="center"/>
    </xf>
    <xf numFmtId="168" fontId="17" fillId="0" borderId="16" xfId="0" applyNumberFormat="1" applyFont="1" applyBorder="1" applyAlignment="1">
      <alignment horizontal="center" vertical="center"/>
    </xf>
    <xf numFmtId="9" fontId="7" fillId="23" borderId="16" xfId="11" applyNumberFormat="1" applyFont="1" applyFill="1" applyBorder="1" applyAlignment="1">
      <alignment horizontal="center" vertical="center" wrapText="1"/>
    </xf>
    <xf numFmtId="1" fontId="7" fillId="0" borderId="16" xfId="11" applyNumberFormat="1" applyFont="1" applyBorder="1" applyAlignment="1">
      <alignment horizontal="center" vertical="center" wrapText="1"/>
    </xf>
    <xf numFmtId="164" fontId="28" fillId="30" borderId="16" xfId="29" applyNumberFormat="1" applyFont="1" applyFill="1" applyBorder="1" applyAlignment="1">
      <alignment horizontal="center" vertical="center"/>
    </xf>
    <xf numFmtId="164" fontId="77" fillId="30" borderId="16" xfId="29" applyNumberFormat="1" applyFont="1" applyFill="1" applyBorder="1" applyAlignment="1">
      <alignment horizontal="center" vertical="center"/>
    </xf>
    <xf numFmtId="164" fontId="86" fillId="30" borderId="16" xfId="29" applyNumberFormat="1" applyFont="1" applyFill="1" applyBorder="1" applyAlignment="1">
      <alignment horizontal="center" vertical="center"/>
    </xf>
    <xf numFmtId="1" fontId="0" fillId="0" borderId="16" xfId="12" applyNumberFormat="1" applyFont="1" applyFill="1" applyBorder="1" applyAlignment="1">
      <alignment vertical="center"/>
    </xf>
    <xf numFmtId="0" fontId="17" fillId="0" borderId="16" xfId="0" applyFont="1" applyBorder="1" applyAlignment="1">
      <alignment vertical="center" wrapText="1"/>
    </xf>
    <xf numFmtId="0" fontId="17" fillId="0" borderId="16" xfId="0" applyFont="1" applyBorder="1" applyAlignment="1">
      <alignment vertical="center"/>
    </xf>
    <xf numFmtId="168" fontId="17" fillId="0" borderId="16" xfId="0" applyNumberFormat="1" applyFont="1" applyBorder="1" applyAlignment="1">
      <alignment vertical="center"/>
    </xf>
    <xf numFmtId="171" fontId="0" fillId="0" borderId="16" xfId="11" applyNumberFormat="1" applyFont="1" applyBorder="1" applyAlignment="1">
      <alignment horizontal="center" vertical="center"/>
    </xf>
    <xf numFmtId="171" fontId="84" fillId="0" borderId="16" xfId="11" applyNumberFormat="1" applyFont="1" applyBorder="1" applyAlignment="1">
      <alignment horizontal="center" vertical="center"/>
    </xf>
    <xf numFmtId="171" fontId="85" fillId="0" borderId="16" xfId="11" applyNumberFormat="1" applyFont="1" applyBorder="1" applyAlignment="1">
      <alignment horizontal="center" vertical="center"/>
    </xf>
    <xf numFmtId="1" fontId="7" fillId="0" borderId="16" xfId="11" applyNumberFormat="1" applyFont="1" applyBorder="1" applyAlignment="1">
      <alignment vertical="center" wrapText="1"/>
    </xf>
    <xf numFmtId="0" fontId="28" fillId="3" borderId="16" xfId="0" applyFont="1" applyFill="1" applyBorder="1" applyAlignment="1">
      <alignment horizontal="right" vertical="center"/>
    </xf>
    <xf numFmtId="0" fontId="17" fillId="3" borderId="16" xfId="0" applyFont="1" applyFill="1" applyBorder="1" applyAlignment="1">
      <alignment vertical="center" wrapText="1"/>
    </xf>
    <xf numFmtId="0" fontId="17" fillId="3" borderId="16" xfId="0" applyFont="1" applyFill="1" applyBorder="1" applyAlignment="1">
      <alignment vertical="center"/>
    </xf>
    <xf numFmtId="168" fontId="91" fillId="3" borderId="16" xfId="0" applyNumberFormat="1" applyFont="1" applyFill="1" applyBorder="1" applyAlignment="1">
      <alignment horizontal="center" vertical="center"/>
    </xf>
    <xf numFmtId="168" fontId="0" fillId="3" borderId="16" xfId="0" applyNumberFormat="1" applyFill="1" applyBorder="1" applyAlignment="1">
      <alignment horizontal="center" vertical="center"/>
    </xf>
    <xf numFmtId="171" fontId="0" fillId="3" borderId="16" xfId="0" applyNumberFormat="1" applyFill="1" applyBorder="1" applyAlignment="1">
      <alignment horizontal="center" vertical="center"/>
    </xf>
    <xf numFmtId="171" fontId="80" fillId="3" borderId="16" xfId="0" applyNumberFormat="1" applyFont="1" applyFill="1" applyBorder="1" applyAlignment="1">
      <alignment horizontal="center" vertical="center"/>
    </xf>
    <xf numFmtId="171" fontId="8" fillId="3" borderId="16" xfId="0" applyNumberFormat="1" applyFont="1" applyFill="1" applyBorder="1" applyAlignment="1">
      <alignment horizontal="center" vertical="center"/>
    </xf>
    <xf numFmtId="171" fontId="10" fillId="0" borderId="16" xfId="12" applyNumberFormat="1" applyFont="1" applyFill="1" applyBorder="1" applyAlignment="1">
      <alignment vertical="center"/>
    </xf>
    <xf numFmtId="171" fontId="84" fillId="0" borderId="16" xfId="12" applyNumberFormat="1" applyFont="1" applyFill="1" applyBorder="1" applyAlignment="1">
      <alignment vertical="center"/>
    </xf>
    <xf numFmtId="171" fontId="85" fillId="0" borderId="16" xfId="12" applyNumberFormat="1" applyFont="1" applyFill="1" applyBorder="1" applyAlignment="1">
      <alignment vertical="center"/>
    </xf>
    <xf numFmtId="164" fontId="10" fillId="0" borderId="16" xfId="12" applyNumberFormat="1" applyFont="1" applyFill="1" applyBorder="1" applyAlignment="1">
      <alignment horizontal="center" vertical="center"/>
    </xf>
    <xf numFmtId="0" fontId="28" fillId="4" borderId="16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vertical="center" wrapText="1"/>
    </xf>
    <xf numFmtId="0" fontId="7" fillId="4" borderId="16" xfId="0" applyFont="1" applyFill="1" applyBorder="1" applyAlignment="1">
      <alignment vertical="center"/>
    </xf>
    <xf numFmtId="168" fontId="28" fillId="4" borderId="16" xfId="0" applyNumberFormat="1" applyFont="1" applyFill="1" applyBorder="1" applyAlignment="1">
      <alignment horizontal="center" vertical="center"/>
    </xf>
    <xf numFmtId="164" fontId="28" fillId="4" borderId="16" xfId="12" applyNumberFormat="1" applyFont="1" applyFill="1" applyBorder="1" applyAlignment="1">
      <alignment horizontal="center" vertical="center"/>
    </xf>
    <xf numFmtId="164" fontId="84" fillId="4" borderId="16" xfId="12" applyNumberFormat="1" applyFont="1" applyFill="1" applyBorder="1" applyAlignment="1">
      <alignment horizontal="center" vertical="center"/>
    </xf>
    <xf numFmtId="1" fontId="0" fillId="4" borderId="16" xfId="12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right" vertical="center"/>
    </xf>
    <xf numFmtId="169" fontId="36" fillId="0" borderId="16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vertical="center" wrapText="1"/>
    </xf>
    <xf numFmtId="164" fontId="0" fillId="0" borderId="16" xfId="12" applyNumberFormat="1" applyFont="1" applyBorder="1" applyAlignment="1">
      <alignment horizontal="center" vertical="center"/>
    </xf>
    <xf numFmtId="164" fontId="80" fillId="0" borderId="16" xfId="12" applyNumberFormat="1" applyFont="1" applyBorder="1" applyAlignment="1">
      <alignment horizontal="center" vertical="center"/>
    </xf>
    <xf numFmtId="171" fontId="0" fillId="0" borderId="16" xfId="12" applyNumberFormat="1" applyFont="1" applyBorder="1" applyAlignment="1">
      <alignment horizontal="center" vertical="center"/>
    </xf>
    <xf numFmtId="1" fontId="0" fillId="0" borderId="16" xfId="12" applyNumberFormat="1" applyFont="1" applyFill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 wrapText="1"/>
    </xf>
    <xf numFmtId="168" fontId="36" fillId="0" borderId="16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vertical="center" wrapText="1"/>
    </xf>
    <xf numFmtId="168" fontId="36" fillId="0" borderId="16" xfId="1" applyNumberFormat="1" applyFont="1" applyBorder="1" applyAlignment="1">
      <alignment horizontal="center" vertical="center"/>
    </xf>
    <xf numFmtId="168" fontId="38" fillId="0" borderId="16" xfId="0" applyNumberFormat="1" applyFont="1" applyBorder="1" applyAlignment="1">
      <alignment vertical="center" wrapText="1"/>
    </xf>
    <xf numFmtId="168" fontId="38" fillId="0" borderId="16" xfId="0" applyNumberFormat="1" applyFont="1" applyBorder="1" applyAlignment="1">
      <alignment horizontal="center" vertical="center" wrapText="1"/>
    </xf>
    <xf numFmtId="0" fontId="29" fillId="0" borderId="16" xfId="0" applyFont="1" applyBorder="1" applyAlignment="1">
      <alignment horizontal="right" vertical="center"/>
    </xf>
    <xf numFmtId="164" fontId="0" fillId="0" borderId="16" xfId="12" applyNumberFormat="1" applyFont="1" applyFill="1" applyBorder="1" applyAlignment="1">
      <alignment horizontal="center" vertical="center"/>
    </xf>
    <xf numFmtId="1" fontId="0" fillId="0" borderId="16" xfId="13" applyNumberFormat="1" applyFont="1" applyFill="1" applyBorder="1" applyAlignment="1">
      <alignment horizontal="center" vertical="center"/>
    </xf>
    <xf numFmtId="164" fontId="80" fillId="4" borderId="16" xfId="12" applyNumberFormat="1" applyFont="1" applyFill="1" applyBorder="1" applyAlignment="1">
      <alignment horizontal="center" vertical="center"/>
    </xf>
    <xf numFmtId="171" fontId="10" fillId="0" borderId="16" xfId="12" applyNumberFormat="1" applyFont="1" applyFill="1" applyBorder="1" applyAlignment="1">
      <alignment horizontal="center" vertical="center"/>
    </xf>
    <xf numFmtId="177" fontId="28" fillId="4" borderId="16" xfId="0" applyNumberFormat="1" applyFont="1" applyFill="1" applyBorder="1" applyAlignment="1">
      <alignment horizontal="center" vertical="center"/>
    </xf>
    <xf numFmtId="1" fontId="16" fillId="0" borderId="16" xfId="0" applyNumberFormat="1" applyFont="1" applyBorder="1" applyAlignment="1">
      <alignment horizontal="right" vertical="center"/>
    </xf>
    <xf numFmtId="43" fontId="80" fillId="0" borderId="16" xfId="29" applyFont="1" applyBorder="1" applyAlignment="1">
      <alignment horizontal="center" vertical="center"/>
    </xf>
    <xf numFmtId="0" fontId="21" fillId="0" borderId="16" xfId="0" applyFont="1" applyBorder="1" applyAlignment="1">
      <alignment vertical="center" wrapText="1"/>
    </xf>
    <xf numFmtId="1" fontId="0" fillId="0" borderId="16" xfId="11" applyNumberFormat="1" applyFont="1" applyBorder="1" applyAlignment="1">
      <alignment horizontal="center" vertical="center"/>
    </xf>
    <xf numFmtId="2" fontId="28" fillId="0" borderId="16" xfId="0" applyNumberFormat="1" applyFont="1" applyBorder="1" applyAlignment="1">
      <alignment horizontal="right" vertical="center"/>
    </xf>
    <xf numFmtId="43" fontId="0" fillId="0" borderId="16" xfId="29" applyFont="1" applyBorder="1" applyAlignment="1">
      <alignment horizontal="center" vertical="center"/>
    </xf>
    <xf numFmtId="168" fontId="10" fillId="4" borderId="16" xfId="0" applyNumberFormat="1" applyFont="1" applyFill="1" applyBorder="1" applyAlignment="1">
      <alignment horizontal="center" vertical="center"/>
    </xf>
    <xf numFmtId="166" fontId="28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vertical="center"/>
    </xf>
    <xf numFmtId="9" fontId="0" fillId="0" borderId="16" xfId="1" applyFont="1" applyBorder="1" applyAlignment="1">
      <alignment vertical="center"/>
    </xf>
    <xf numFmtId="0" fontId="0" fillId="0" borderId="16" xfId="11" applyFont="1" applyBorder="1" applyAlignment="1">
      <alignment vertical="center"/>
    </xf>
    <xf numFmtId="0" fontId="8" fillId="0" borderId="16" xfId="11" applyFont="1" applyBorder="1" applyAlignment="1">
      <alignment vertical="center"/>
    </xf>
    <xf numFmtId="171" fontId="82" fillId="31" borderId="16" xfId="29" applyNumberFormat="1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/>
    </xf>
    <xf numFmtId="0" fontId="28" fillId="0" borderId="17" xfId="0" applyFont="1" applyBorder="1" applyAlignment="1">
      <alignment horizontal="right" vertical="center"/>
    </xf>
    <xf numFmtId="0" fontId="6" fillId="0" borderId="17" xfId="0" applyFont="1" applyBorder="1" applyAlignment="1">
      <alignment vertical="center" wrapText="1"/>
    </xf>
    <xf numFmtId="168" fontId="0" fillId="0" borderId="17" xfId="0" applyNumberFormat="1" applyBorder="1" applyAlignment="1">
      <alignment horizontal="center" vertical="center"/>
    </xf>
    <xf numFmtId="168" fontId="6" fillId="0" borderId="17" xfId="0" applyNumberFormat="1" applyFont="1" applyBorder="1" applyAlignment="1">
      <alignment vertical="center"/>
    </xf>
    <xf numFmtId="43" fontId="94" fillId="30" borderId="17" xfId="29" applyFont="1" applyFill="1" applyBorder="1" applyAlignment="1">
      <alignment horizontal="left"/>
    </xf>
    <xf numFmtId="43" fontId="94" fillId="0" borderId="17" xfId="29" applyFont="1" applyFill="1" applyBorder="1" applyAlignment="1">
      <alignment horizontal="left"/>
    </xf>
    <xf numFmtId="43" fontId="94" fillId="21" borderId="17" xfId="29" applyFont="1" applyFill="1" applyBorder="1" applyAlignment="1">
      <alignment horizontal="left"/>
    </xf>
    <xf numFmtId="9" fontId="0" fillId="0" borderId="17" xfId="11" applyNumberFormat="1" applyFon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1" fontId="8" fillId="0" borderId="17" xfId="11" applyNumberFormat="1" applyFont="1" applyBorder="1" applyAlignment="1">
      <alignment vertical="center"/>
    </xf>
    <xf numFmtId="1" fontId="0" fillId="0" borderId="17" xfId="11" applyNumberFormat="1" applyFont="1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42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177" fontId="7" fillId="0" borderId="17" xfId="29" applyNumberFormat="1" applyFont="1" applyFill="1" applyBorder="1" applyAlignment="1">
      <alignment horizontal="center" vertical="center" wrapText="1"/>
    </xf>
    <xf numFmtId="171" fontId="77" fillId="0" borderId="17" xfId="29" applyNumberFormat="1" applyFont="1" applyFill="1" applyBorder="1" applyAlignment="1">
      <alignment vertical="center"/>
    </xf>
    <xf numFmtId="0" fontId="7" fillId="26" borderId="17" xfId="11" applyFont="1" applyFill="1" applyBorder="1" applyAlignment="1">
      <alignment horizontal="center" vertical="center" wrapText="1"/>
    </xf>
    <xf numFmtId="0" fontId="0" fillId="26" borderId="17" xfId="0" applyFill="1" applyBorder="1" applyAlignment="1">
      <alignment horizontal="center" vertical="center"/>
    </xf>
    <xf numFmtId="0" fontId="7" fillId="0" borderId="17" xfId="11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17" fillId="3" borderId="17" xfId="0" applyFont="1" applyFill="1" applyBorder="1" applyAlignment="1">
      <alignment horizontal="left" vertical="center" wrapText="1"/>
    </xf>
    <xf numFmtId="168" fontId="17" fillId="0" borderId="17" xfId="0" applyNumberFormat="1" applyFont="1" applyBorder="1" applyAlignment="1">
      <alignment horizontal="center" vertical="center"/>
    </xf>
    <xf numFmtId="171" fontId="7" fillId="25" borderId="17" xfId="29" applyNumberFormat="1" applyFont="1" applyFill="1" applyBorder="1" applyAlignment="1">
      <alignment horizontal="center" vertical="center" wrapText="1"/>
    </xf>
    <xf numFmtId="9" fontId="7" fillId="21" borderId="17" xfId="11" applyNumberFormat="1" applyFont="1" applyFill="1" applyBorder="1" applyAlignment="1">
      <alignment horizontal="center" vertical="center" wrapText="1"/>
    </xf>
    <xf numFmtId="171" fontId="82" fillId="22" borderId="17" xfId="29" applyNumberFormat="1" applyFont="1" applyFill="1" applyBorder="1" applyAlignment="1">
      <alignment horizontal="center" vertical="center" wrapText="1"/>
    </xf>
    <xf numFmtId="9" fontId="7" fillId="23" borderId="17" xfId="11" applyNumberFormat="1" applyFont="1" applyFill="1" applyBorder="1" applyAlignment="1">
      <alignment horizontal="center" vertical="center" wrapText="1"/>
    </xf>
    <xf numFmtId="9" fontId="7" fillId="0" borderId="17" xfId="11" applyNumberFormat="1" applyFont="1" applyBorder="1" applyAlignment="1">
      <alignment horizontal="center" vertical="center" wrapText="1"/>
    </xf>
    <xf numFmtId="9" fontId="7" fillId="22" borderId="17" xfId="11" applyNumberFormat="1" applyFont="1" applyFill="1" applyBorder="1" applyAlignment="1">
      <alignment horizontal="center" vertical="center" wrapText="1"/>
    </xf>
    <xf numFmtId="43" fontId="0" fillId="0" borderId="17" xfId="12" applyFont="1" applyFill="1" applyBorder="1" applyAlignment="1">
      <alignment horizontal="center" vertical="center"/>
    </xf>
    <xf numFmtId="171" fontId="77" fillId="0" borderId="17" xfId="29" applyNumberFormat="1" applyFont="1" applyBorder="1" applyAlignment="1">
      <alignment vertical="center"/>
    </xf>
    <xf numFmtId="1" fontId="7" fillId="0" borderId="17" xfId="11" applyNumberFormat="1" applyFont="1" applyBorder="1" applyAlignment="1">
      <alignment horizontal="center" vertical="center" wrapText="1"/>
    </xf>
    <xf numFmtId="164" fontId="35" fillId="0" borderId="17" xfId="29" applyNumberFormat="1" applyFont="1" applyFill="1" applyBorder="1" applyAlignment="1">
      <alignment horizontal="center" vertical="center"/>
    </xf>
    <xf numFmtId="171" fontId="35" fillId="0" borderId="17" xfId="29" applyNumberFormat="1" applyFont="1" applyFill="1" applyBorder="1" applyAlignment="1">
      <alignment horizontal="center" vertical="center"/>
    </xf>
    <xf numFmtId="171" fontId="83" fillId="2" borderId="17" xfId="29" applyNumberFormat="1" applyFont="1" applyFill="1" applyBorder="1" applyAlignment="1">
      <alignment horizontal="center" vertical="center"/>
    </xf>
    <xf numFmtId="0" fontId="17" fillId="0" borderId="17" xfId="0" applyFont="1" applyBorder="1" applyAlignment="1">
      <alignment vertical="center" wrapText="1"/>
    </xf>
    <xf numFmtId="168" fontId="17" fillId="0" borderId="17" xfId="0" applyNumberFormat="1" applyFont="1" applyBorder="1" applyAlignment="1">
      <alignment vertical="center"/>
    </xf>
    <xf numFmtId="171" fontId="0" fillId="0" borderId="17" xfId="29" applyNumberFormat="1" applyFont="1" applyFill="1" applyBorder="1" applyAlignment="1">
      <alignment horizontal="center" vertical="center"/>
    </xf>
    <xf numFmtId="43" fontId="0" fillId="0" borderId="17" xfId="12" applyFont="1" applyFill="1" applyBorder="1" applyAlignment="1">
      <alignment vertical="center"/>
    </xf>
    <xf numFmtId="0" fontId="28" fillId="3" borderId="17" xfId="0" applyFont="1" applyFill="1" applyBorder="1" applyAlignment="1">
      <alignment horizontal="right" vertical="center"/>
    </xf>
    <xf numFmtId="0" fontId="17" fillId="3" borderId="17" xfId="0" applyFont="1" applyFill="1" applyBorder="1" applyAlignment="1">
      <alignment vertical="center" wrapText="1"/>
    </xf>
    <xf numFmtId="168" fontId="91" fillId="3" borderId="17" xfId="0" applyNumberFormat="1" applyFont="1" applyFill="1" applyBorder="1" applyAlignment="1">
      <alignment horizontal="center" vertical="center"/>
    </xf>
    <xf numFmtId="171" fontId="10" fillId="0" borderId="17" xfId="29" applyNumberFormat="1" applyFont="1" applyFill="1" applyBorder="1" applyAlignment="1">
      <alignment horizontal="center" vertical="center"/>
    </xf>
    <xf numFmtId="171" fontId="10" fillId="0" borderId="17" xfId="12" applyNumberFormat="1" applyFont="1" applyFill="1" applyBorder="1" applyAlignment="1">
      <alignment vertical="center"/>
    </xf>
    <xf numFmtId="171" fontId="84" fillId="0" borderId="17" xfId="12" applyNumberFormat="1" applyFont="1" applyFill="1" applyBorder="1" applyAlignment="1">
      <alignment vertical="center"/>
    </xf>
    <xf numFmtId="1" fontId="0" fillId="0" borderId="17" xfId="12" applyNumberFormat="1" applyFont="1" applyFill="1" applyBorder="1" applyAlignment="1">
      <alignment vertical="center"/>
    </xf>
    <xf numFmtId="168" fontId="95" fillId="0" borderId="17" xfId="0" applyNumberFormat="1" applyFont="1" applyBorder="1" applyAlignment="1">
      <alignment horizontal="center" vertical="center"/>
    </xf>
    <xf numFmtId="168" fontId="96" fillId="0" borderId="17" xfId="0" applyNumberFormat="1" applyFont="1" applyBorder="1" applyAlignment="1">
      <alignment vertical="center"/>
    </xf>
    <xf numFmtId="164" fontId="77" fillId="0" borderId="17" xfId="29" applyNumberFormat="1" applyFont="1" applyFill="1" applyBorder="1" applyAlignment="1">
      <alignment horizontal="center" vertical="center"/>
    </xf>
    <xf numFmtId="171" fontId="77" fillId="0" borderId="17" xfId="29" applyNumberFormat="1" applyFont="1" applyBorder="1" applyAlignment="1">
      <alignment horizontal="center" vertical="center"/>
    </xf>
    <xf numFmtId="171" fontId="77" fillId="0" borderId="17" xfId="29" applyNumberFormat="1" applyFont="1" applyFill="1" applyBorder="1" applyAlignment="1">
      <alignment horizontal="center" vertical="center"/>
    </xf>
    <xf numFmtId="1" fontId="83" fillId="0" borderId="17" xfId="12" applyNumberFormat="1" applyFont="1" applyFill="1" applyBorder="1" applyAlignment="1">
      <alignment vertical="center"/>
    </xf>
    <xf numFmtId="171" fontId="83" fillId="0" borderId="17" xfId="29" applyNumberFormat="1" applyFont="1" applyBorder="1" applyAlignment="1">
      <alignment horizontal="center" vertical="center"/>
    </xf>
    <xf numFmtId="1" fontId="95" fillId="0" borderId="17" xfId="12" applyNumberFormat="1" applyFont="1" applyFill="1" applyBorder="1" applyAlignment="1">
      <alignment vertical="center"/>
    </xf>
    <xf numFmtId="1" fontId="80" fillId="0" borderId="17" xfId="12" applyNumberFormat="1" applyFont="1" applyFill="1" applyBorder="1" applyAlignment="1">
      <alignment vertical="center"/>
    </xf>
    <xf numFmtId="0" fontId="28" fillId="4" borderId="17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vertical="center" wrapText="1"/>
    </xf>
    <xf numFmtId="168" fontId="28" fillId="4" borderId="17" xfId="0" applyNumberFormat="1" applyFont="1" applyFill="1" applyBorder="1" applyAlignment="1">
      <alignment horizontal="center" vertical="center"/>
    </xf>
    <xf numFmtId="164" fontId="28" fillId="4" borderId="17" xfId="2245" applyNumberFormat="1" applyFont="1" applyFill="1" applyBorder="1" applyAlignment="1">
      <alignment horizontal="center" vertical="center"/>
    </xf>
    <xf numFmtId="164" fontId="28" fillId="4" borderId="17" xfId="12" applyNumberFormat="1" applyFont="1" applyFill="1" applyBorder="1" applyAlignment="1">
      <alignment vertical="center"/>
    </xf>
    <xf numFmtId="164" fontId="28" fillId="0" borderId="17" xfId="12" applyNumberFormat="1" applyFont="1" applyFill="1" applyBorder="1" applyAlignment="1">
      <alignment vertical="center"/>
    </xf>
    <xf numFmtId="164" fontId="84" fillId="4" borderId="17" xfId="12" applyNumberFormat="1" applyFont="1" applyFill="1" applyBorder="1" applyAlignment="1">
      <alignment vertical="center"/>
    </xf>
    <xf numFmtId="171" fontId="28" fillId="4" borderId="17" xfId="12" applyNumberFormat="1" applyFont="1" applyFill="1" applyBorder="1" applyAlignment="1">
      <alignment vertical="center"/>
    </xf>
    <xf numFmtId="171" fontId="28" fillId="0" borderId="17" xfId="12" applyNumberFormat="1" applyFont="1" applyFill="1" applyBorder="1" applyAlignment="1">
      <alignment vertical="center"/>
    </xf>
    <xf numFmtId="1" fontId="84" fillId="4" borderId="17" xfId="12" applyNumberFormat="1" applyFont="1" applyFill="1" applyBorder="1" applyAlignment="1">
      <alignment vertical="center"/>
    </xf>
    <xf numFmtId="171" fontId="84" fillId="4" borderId="17" xfId="12" applyNumberFormat="1" applyFont="1" applyFill="1" applyBorder="1" applyAlignment="1">
      <alignment vertical="center"/>
    </xf>
    <xf numFmtId="1" fontId="0" fillId="4" borderId="17" xfId="12" applyNumberFormat="1" applyFont="1" applyFill="1" applyBorder="1" applyAlignment="1">
      <alignment vertical="center"/>
    </xf>
    <xf numFmtId="0" fontId="0" fillId="0" borderId="17" xfId="0" applyBorder="1" applyAlignment="1">
      <alignment horizontal="right" vertical="center"/>
    </xf>
    <xf numFmtId="169" fontId="36" fillId="0" borderId="17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vertical="center" wrapText="1"/>
    </xf>
    <xf numFmtId="164" fontId="0" fillId="0" borderId="17" xfId="29" applyNumberFormat="1" applyFont="1" applyFill="1" applyBorder="1" applyAlignment="1">
      <alignment horizontal="center" vertical="center"/>
    </xf>
    <xf numFmtId="164" fontId="0" fillId="0" borderId="17" xfId="12" applyNumberFormat="1" applyFont="1" applyBorder="1" applyAlignment="1">
      <alignment vertical="center"/>
    </xf>
    <xf numFmtId="164" fontId="0" fillId="0" borderId="17" xfId="12" applyNumberFormat="1" applyFont="1" applyFill="1" applyBorder="1" applyAlignment="1">
      <alignment vertical="center"/>
    </xf>
    <xf numFmtId="164" fontId="80" fillId="0" borderId="17" xfId="12" applyNumberFormat="1" applyFont="1" applyBorder="1" applyAlignment="1">
      <alignment vertical="center"/>
    </xf>
    <xf numFmtId="9" fontId="0" fillId="0" borderId="17" xfId="14" applyFont="1" applyBorder="1" applyAlignment="1">
      <alignment vertical="center"/>
    </xf>
    <xf numFmtId="165" fontId="0" fillId="0" borderId="17" xfId="0" applyNumberFormat="1" applyBorder="1" applyAlignment="1">
      <alignment horizontal="center" vertical="center"/>
    </xf>
    <xf numFmtId="171" fontId="0" fillId="0" borderId="17" xfId="12" applyNumberFormat="1" applyFont="1" applyBorder="1" applyAlignment="1">
      <alignment vertical="center"/>
    </xf>
    <xf numFmtId="171" fontId="0" fillId="0" borderId="17" xfId="12" applyNumberFormat="1" applyFont="1" applyFill="1" applyBorder="1" applyAlignment="1">
      <alignment vertical="center"/>
    </xf>
    <xf numFmtId="171" fontId="80" fillId="0" borderId="17" xfId="12" applyNumberFormat="1" applyFont="1" applyBorder="1" applyAlignment="1">
      <alignment vertical="center"/>
    </xf>
    <xf numFmtId="168" fontId="36" fillId="0" borderId="17" xfId="0" applyNumberFormat="1" applyFont="1" applyBorder="1" applyAlignment="1">
      <alignment horizontal="center" vertical="center"/>
    </xf>
    <xf numFmtId="164" fontId="10" fillId="0" borderId="17" xfId="29" applyNumberFormat="1" applyFont="1" applyFill="1" applyBorder="1" applyAlignment="1">
      <alignment horizontal="center" vertical="center"/>
    </xf>
    <xf numFmtId="164" fontId="10" fillId="0" borderId="17" xfId="12" applyNumberFormat="1" applyFont="1" applyFill="1" applyBorder="1" applyAlignment="1">
      <alignment vertical="center"/>
    </xf>
    <xf numFmtId="164" fontId="84" fillId="0" borderId="17" xfId="12" applyNumberFormat="1" applyFont="1" applyFill="1" applyBorder="1" applyAlignment="1">
      <alignment vertical="center"/>
    </xf>
    <xf numFmtId="0" fontId="0" fillId="0" borderId="17" xfId="11" applyFont="1" applyBorder="1" applyAlignment="1">
      <alignment vertical="center"/>
    </xf>
    <xf numFmtId="9" fontId="10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vertical="center" wrapText="1"/>
    </xf>
    <xf numFmtId="168" fontId="36" fillId="0" borderId="17" xfId="1" applyNumberFormat="1" applyFont="1" applyBorder="1" applyAlignment="1">
      <alignment horizontal="center" vertical="center"/>
    </xf>
    <xf numFmtId="168" fontId="38" fillId="0" borderId="17" xfId="0" applyNumberFormat="1" applyFont="1" applyBorder="1" applyAlignment="1">
      <alignment vertical="center" wrapText="1"/>
    </xf>
    <xf numFmtId="0" fontId="29" fillId="0" borderId="17" xfId="0" applyFont="1" applyBorder="1" applyAlignment="1">
      <alignment horizontal="right" vertical="center"/>
    </xf>
    <xf numFmtId="164" fontId="80" fillId="0" borderId="17" xfId="12" applyNumberFormat="1" applyFont="1" applyFill="1" applyBorder="1" applyAlignment="1">
      <alignment vertical="center"/>
    </xf>
    <xf numFmtId="9" fontId="0" fillId="0" borderId="17" xfId="14" applyFont="1" applyFill="1" applyBorder="1" applyAlignment="1">
      <alignment vertical="center"/>
    </xf>
    <xf numFmtId="1" fontId="0" fillId="0" borderId="17" xfId="13" applyNumberFormat="1" applyFont="1" applyFill="1" applyBorder="1" applyAlignment="1">
      <alignment vertical="center"/>
    </xf>
    <xf numFmtId="164" fontId="80" fillId="4" borderId="17" xfId="12" applyNumberFormat="1" applyFont="1" applyFill="1" applyBorder="1" applyAlignment="1">
      <alignment vertical="center"/>
    </xf>
    <xf numFmtId="1" fontId="80" fillId="4" borderId="17" xfId="12" applyNumberFormat="1" applyFont="1" applyFill="1" applyBorder="1" applyAlignment="1">
      <alignment vertical="center"/>
    </xf>
    <xf numFmtId="164" fontId="83" fillId="0" borderId="17" xfId="29" applyNumberFormat="1" applyFont="1" applyFill="1" applyBorder="1" applyAlignment="1">
      <alignment horizontal="center" vertical="center"/>
    </xf>
    <xf numFmtId="171" fontId="83" fillId="0" borderId="17" xfId="29" applyNumberFormat="1" applyFont="1" applyFill="1" applyBorder="1" applyAlignment="1">
      <alignment vertical="center"/>
    </xf>
    <xf numFmtId="171" fontId="83" fillId="0" borderId="17" xfId="29" applyNumberFormat="1" applyFont="1" applyFill="1" applyBorder="1" applyAlignment="1">
      <alignment horizontal="center" vertical="center"/>
    </xf>
    <xf numFmtId="171" fontId="83" fillId="0" borderId="17" xfId="29" applyNumberFormat="1" applyFont="1" applyBorder="1" applyAlignment="1">
      <alignment vertical="center"/>
    </xf>
    <xf numFmtId="43" fontId="28" fillId="4" borderId="17" xfId="29" applyFont="1" applyFill="1" applyBorder="1" applyAlignment="1">
      <alignment horizontal="center" vertical="center"/>
    </xf>
    <xf numFmtId="43" fontId="28" fillId="0" borderId="17" xfId="29" applyFont="1" applyFill="1" applyBorder="1" applyAlignment="1">
      <alignment vertical="center"/>
    </xf>
    <xf numFmtId="43" fontId="0" fillId="0" borderId="17" xfId="29" applyFont="1" applyFill="1" applyBorder="1" applyAlignment="1">
      <alignment horizontal="center" vertical="center"/>
    </xf>
    <xf numFmtId="43" fontId="0" fillId="0" borderId="17" xfId="29" applyFont="1" applyBorder="1" applyAlignment="1">
      <alignment vertical="center"/>
    </xf>
    <xf numFmtId="43" fontId="80" fillId="0" borderId="17" xfId="29" applyFont="1" applyBorder="1" applyAlignment="1">
      <alignment vertical="center"/>
    </xf>
    <xf numFmtId="43" fontId="80" fillId="0" borderId="17" xfId="29" applyFont="1" applyFill="1" applyBorder="1" applyAlignment="1">
      <alignment vertical="center"/>
    </xf>
    <xf numFmtId="0" fontId="21" fillId="0" borderId="17" xfId="0" applyFont="1" applyBorder="1" applyAlignment="1">
      <alignment vertical="center" wrapText="1"/>
    </xf>
    <xf numFmtId="1" fontId="87" fillId="0" borderId="17" xfId="12" applyNumberFormat="1" applyFont="1" applyFill="1" applyBorder="1" applyAlignment="1">
      <alignment vertical="center"/>
    </xf>
    <xf numFmtId="2" fontId="28" fillId="0" borderId="17" xfId="0" applyNumberFormat="1" applyFont="1" applyBorder="1" applyAlignment="1">
      <alignment horizontal="right" vertical="center"/>
    </xf>
    <xf numFmtId="43" fontId="0" fillId="0" borderId="17" xfId="29" applyFont="1" applyFill="1" applyBorder="1" applyAlignment="1">
      <alignment vertical="center"/>
    </xf>
    <xf numFmtId="168" fontId="10" fillId="0" borderId="17" xfId="0" applyNumberFormat="1" applyFont="1" applyBorder="1" applyAlignment="1">
      <alignment horizontal="center" vertical="center"/>
    </xf>
    <xf numFmtId="168" fontId="10" fillId="4" borderId="17" xfId="0" applyNumberFormat="1" applyFont="1" applyFill="1" applyBorder="1" applyAlignment="1">
      <alignment horizontal="center" vertical="center"/>
    </xf>
    <xf numFmtId="43" fontId="10" fillId="0" borderId="17" xfId="29" applyFont="1" applyFill="1" applyBorder="1" applyAlignment="1">
      <alignment vertical="center"/>
    </xf>
    <xf numFmtId="171" fontId="10" fillId="4" borderId="17" xfId="12" applyNumberFormat="1" applyFont="1" applyFill="1" applyBorder="1" applyAlignment="1">
      <alignment vertical="center"/>
    </xf>
    <xf numFmtId="166" fontId="28" fillId="0" borderId="17" xfId="0" applyNumberFormat="1" applyFont="1" applyBorder="1" applyAlignment="1">
      <alignment horizontal="right" vertical="center"/>
    </xf>
    <xf numFmtId="9" fontId="0" fillId="4" borderId="17" xfId="14" applyFont="1" applyFill="1" applyBorder="1" applyAlignment="1">
      <alignment vertical="center"/>
    </xf>
    <xf numFmtId="165" fontId="0" fillId="4" borderId="17" xfId="0" applyNumberFormat="1" applyFill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168" fontId="90" fillId="0" borderId="17" xfId="0" applyNumberFormat="1" applyFont="1" applyBorder="1" applyAlignment="1">
      <alignment vertical="center" wrapText="1"/>
    </xf>
    <xf numFmtId="43" fontId="27" fillId="0" borderId="17" xfId="29" applyFont="1" applyFill="1" applyBorder="1" applyAlignment="1">
      <alignment horizontal="center" vertical="center"/>
    </xf>
    <xf numFmtId="43" fontId="87" fillId="0" borderId="17" xfId="29" applyFont="1" applyFill="1" applyBorder="1" applyAlignment="1">
      <alignment vertical="center"/>
    </xf>
    <xf numFmtId="165" fontId="27" fillId="0" borderId="17" xfId="0" applyNumberFormat="1" applyFont="1" applyBorder="1" applyAlignment="1">
      <alignment horizontal="center" vertical="center"/>
    </xf>
    <xf numFmtId="1" fontId="27" fillId="0" borderId="17" xfId="12" applyNumberFormat="1" applyFont="1" applyFill="1" applyBorder="1" applyAlignment="1">
      <alignment vertical="center"/>
    </xf>
    <xf numFmtId="168" fontId="26" fillId="0" borderId="17" xfId="0" applyNumberFormat="1" applyFont="1" applyBorder="1" applyAlignment="1">
      <alignment horizontal="center" vertical="center"/>
    </xf>
    <xf numFmtId="1" fontId="80" fillId="0" borderId="17" xfId="11" applyNumberFormat="1" applyFont="1" applyBorder="1" applyAlignment="1">
      <alignment vertical="center"/>
    </xf>
    <xf numFmtId="168" fontId="36" fillId="0" borderId="17" xfId="1" applyNumberFormat="1" applyFont="1" applyFill="1" applyBorder="1" applyAlignment="1">
      <alignment horizontal="center" vertical="center"/>
    </xf>
    <xf numFmtId="168" fontId="0" fillId="0" borderId="17" xfId="1" applyNumberFormat="1" applyFont="1" applyFill="1" applyBorder="1" applyAlignment="1">
      <alignment horizontal="center" vertical="center"/>
    </xf>
    <xf numFmtId="164" fontId="0" fillId="0" borderId="17" xfId="0" applyNumberFormat="1" applyBorder="1" applyAlignment="1">
      <alignment vertical="center"/>
    </xf>
    <xf numFmtId="9" fontId="0" fillId="0" borderId="17" xfId="1" applyFont="1" applyBorder="1" applyAlignment="1">
      <alignment vertical="center"/>
    </xf>
    <xf numFmtId="0" fontId="8" fillId="0" borderId="17" xfId="0" applyFont="1" applyBorder="1" applyAlignment="1">
      <alignment vertical="center" wrapText="1"/>
    </xf>
    <xf numFmtId="9" fontId="0" fillId="0" borderId="17" xfId="1" applyFont="1" applyFill="1" applyBorder="1" applyAlignment="1">
      <alignment vertical="center"/>
    </xf>
    <xf numFmtId="0" fontId="8" fillId="0" borderId="17" xfId="11" applyFont="1" applyBorder="1" applyAlignment="1">
      <alignment vertical="center"/>
    </xf>
    <xf numFmtId="0" fontId="93" fillId="0" borderId="17" xfId="29" applyNumberFormat="1" applyFont="1" applyFill="1" applyBorder="1" applyAlignment="1">
      <alignment horizontal="centerContinuous" vertical="center" wrapText="1"/>
    </xf>
    <xf numFmtId="0" fontId="93" fillId="29" borderId="17" xfId="29" applyNumberFormat="1" applyFont="1" applyFill="1" applyBorder="1" applyAlignment="1">
      <alignment horizontal="center" vertical="top" wrapText="1"/>
    </xf>
    <xf numFmtId="0" fontId="98" fillId="0" borderId="17" xfId="0" applyFont="1" applyBorder="1" applyAlignment="1">
      <alignment horizontal="center" vertical="center"/>
    </xf>
    <xf numFmtId="0" fontId="99" fillId="0" borderId="17" xfId="0" applyFont="1" applyBorder="1" applyAlignment="1">
      <alignment horizontal="center" vertical="center" wrapText="1"/>
    </xf>
    <xf numFmtId="0" fontId="100" fillId="0" borderId="17" xfId="0" applyFont="1" applyBorder="1" applyAlignment="1">
      <alignment horizontal="center" vertical="center"/>
    </xf>
    <xf numFmtId="43" fontId="35" fillId="2" borderId="17" xfId="29" applyFont="1" applyFill="1" applyBorder="1" applyAlignment="1">
      <alignment horizontal="center" vertical="center"/>
    </xf>
    <xf numFmtId="43" fontId="83" fillId="0" borderId="17" xfId="29" applyFont="1" applyBorder="1" applyAlignment="1">
      <alignment horizontal="center" vertical="center"/>
    </xf>
    <xf numFmtId="43" fontId="97" fillId="0" borderId="17" xfId="29" applyFont="1" applyBorder="1" applyAlignment="1">
      <alignment horizontal="center" vertical="center"/>
    </xf>
    <xf numFmtId="43" fontId="77" fillId="0" borderId="17" xfId="29" applyFont="1" applyBorder="1" applyAlignment="1">
      <alignment horizontal="center" vertical="center"/>
    </xf>
    <xf numFmtId="43" fontId="28" fillId="4" borderId="17" xfId="2245" applyFont="1" applyFill="1" applyBorder="1" applyAlignment="1">
      <alignment horizontal="center" vertical="center"/>
    </xf>
    <xf numFmtId="43" fontId="28" fillId="4" borderId="17" xfId="12" applyFont="1" applyFill="1" applyBorder="1" applyAlignment="1">
      <alignment vertical="center"/>
    </xf>
    <xf numFmtId="43" fontId="28" fillId="4" borderId="17" xfId="0" applyNumberFormat="1" applyFont="1" applyFill="1" applyBorder="1" applyAlignment="1">
      <alignment horizontal="center" vertical="center"/>
    </xf>
    <xf numFmtId="43" fontId="28" fillId="4" borderId="17" xfId="29" applyFont="1" applyFill="1" applyBorder="1" applyAlignment="1">
      <alignment vertical="center"/>
    </xf>
    <xf numFmtId="43" fontId="84" fillId="4" borderId="17" xfId="29" applyFont="1" applyFill="1" applyBorder="1" applyAlignment="1">
      <alignment vertical="center"/>
    </xf>
    <xf numFmtId="43" fontId="0" fillId="0" borderId="17" xfId="11" applyNumberFormat="1" applyFont="1" applyBorder="1" applyAlignment="1">
      <alignment vertical="center"/>
    </xf>
    <xf numFmtId="43" fontId="84" fillId="4" borderId="17" xfId="12" applyFont="1" applyFill="1" applyBorder="1" applyAlignment="1">
      <alignment vertical="center"/>
    </xf>
    <xf numFmtId="43" fontId="0" fillId="0" borderId="17" xfId="12" applyFont="1" applyBorder="1" applyAlignment="1">
      <alignment vertical="center"/>
    </xf>
    <xf numFmtId="43" fontId="0" fillId="0" borderId="17" xfId="14" applyNumberFormat="1" applyFont="1" applyBorder="1" applyAlignment="1">
      <alignment vertical="center"/>
    </xf>
    <xf numFmtId="43" fontId="10" fillId="4" borderId="17" xfId="0" applyNumberFormat="1" applyFont="1" applyFill="1" applyBorder="1" applyAlignment="1">
      <alignment horizontal="center" vertical="center"/>
    </xf>
    <xf numFmtId="43" fontId="10" fillId="4" borderId="17" xfId="29" applyFont="1" applyFill="1" applyBorder="1" applyAlignment="1">
      <alignment horizontal="center" vertical="center"/>
    </xf>
    <xf numFmtId="43" fontId="10" fillId="4" borderId="17" xfId="29" applyFont="1" applyFill="1" applyBorder="1" applyAlignment="1">
      <alignment vertical="center"/>
    </xf>
    <xf numFmtId="43" fontId="10" fillId="4" borderId="17" xfId="12" applyFont="1" applyFill="1" applyBorder="1" applyAlignment="1">
      <alignment vertical="center"/>
    </xf>
    <xf numFmtId="43" fontId="0" fillId="0" borderId="17" xfId="14" applyNumberFormat="1" applyFont="1" applyFill="1" applyBorder="1" applyAlignment="1">
      <alignment vertical="center"/>
    </xf>
    <xf numFmtId="43" fontId="27" fillId="0" borderId="17" xfId="14" applyNumberFormat="1" applyFont="1" applyFill="1" applyBorder="1" applyAlignment="1">
      <alignment vertical="center"/>
    </xf>
    <xf numFmtId="43" fontId="0" fillId="0" borderId="17" xfId="0" applyNumberFormat="1" applyBorder="1" applyAlignment="1">
      <alignment vertical="center"/>
    </xf>
    <xf numFmtId="168" fontId="97" fillId="0" borderId="17" xfId="0" applyNumberFormat="1" applyFont="1" applyBorder="1" applyAlignment="1">
      <alignment horizontal="center" vertical="center"/>
    </xf>
    <xf numFmtId="168" fontId="102" fillId="0" borderId="17" xfId="0" applyNumberFormat="1" applyFont="1" applyBorder="1" applyAlignment="1">
      <alignment vertical="center"/>
    </xf>
    <xf numFmtId="1" fontId="97" fillId="0" borderId="17" xfId="12" applyNumberFormat="1" applyFont="1" applyFill="1" applyBorder="1" applyAlignment="1">
      <alignment vertical="center"/>
    </xf>
    <xf numFmtId="0" fontId="95" fillId="0" borderId="17" xfId="0" applyFont="1" applyBorder="1" applyAlignment="1">
      <alignment vertical="center"/>
    </xf>
    <xf numFmtId="0" fontId="17" fillId="0" borderId="17" xfId="0" applyFont="1" applyBorder="1" applyAlignment="1">
      <alignment horizontal="left" vertical="center" wrapText="1"/>
    </xf>
    <xf numFmtId="0" fontId="7" fillId="0" borderId="17" xfId="0" applyFont="1" applyBorder="1" applyAlignment="1">
      <alignment vertical="center" wrapText="1"/>
    </xf>
    <xf numFmtId="0" fontId="96" fillId="0" borderId="17" xfId="0" applyFont="1" applyBorder="1" applyAlignment="1">
      <alignment horizontal="left" vertical="center" wrapText="1"/>
    </xf>
    <xf numFmtId="0" fontId="6" fillId="0" borderId="18" xfId="0" applyFont="1" applyBorder="1" applyAlignment="1">
      <alignment vertical="center" wrapText="1"/>
    </xf>
    <xf numFmtId="177" fontId="7" fillId="0" borderId="19" xfId="29" applyNumberFormat="1" applyFont="1" applyFill="1" applyBorder="1" applyAlignment="1">
      <alignment horizontal="righ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7" fillId="0" borderId="16" xfId="0" applyFont="1" applyBorder="1" applyAlignment="1">
      <alignment vertical="center" wrapText="1"/>
    </xf>
    <xf numFmtId="0" fontId="37" fillId="0" borderId="16" xfId="0" applyFont="1" applyBorder="1" applyAlignment="1">
      <alignment vertical="center" wrapText="1"/>
    </xf>
    <xf numFmtId="0" fontId="38" fillId="0" borderId="16" xfId="0" applyFont="1" applyBorder="1" applyAlignment="1">
      <alignment vertical="center" wrapText="1"/>
    </xf>
    <xf numFmtId="0" fontId="101" fillId="0" borderId="16" xfId="0" applyFont="1" applyBorder="1" applyAlignment="1">
      <alignment vertical="center" wrapText="1"/>
    </xf>
    <xf numFmtId="0" fontId="103" fillId="0" borderId="16" xfId="0" applyFont="1" applyBorder="1" applyAlignment="1">
      <alignment horizontal="right" vertical="center"/>
    </xf>
    <xf numFmtId="177" fontId="104" fillId="5" borderId="16" xfId="0" applyNumberFormat="1" applyFont="1" applyFill="1" applyBorder="1" applyAlignment="1">
      <alignment horizontal="left" vertical="center" wrapText="1"/>
    </xf>
    <xf numFmtId="9" fontId="7" fillId="21" borderId="17" xfId="11" applyNumberFormat="1" applyFont="1" applyFill="1" applyBorder="1" applyAlignment="1">
      <alignment vertical="center" wrapText="1"/>
    </xf>
    <xf numFmtId="9" fontId="7" fillId="22" borderId="17" xfId="11" applyNumberFormat="1" applyFont="1" applyFill="1" applyBorder="1" applyAlignment="1">
      <alignment vertical="center" wrapText="1"/>
    </xf>
    <xf numFmtId="9" fontId="7" fillId="23" borderId="17" xfId="11" applyNumberFormat="1" applyFont="1" applyFill="1" applyBorder="1" applyAlignment="1">
      <alignment vertical="center" wrapText="1"/>
    </xf>
    <xf numFmtId="9" fontId="7" fillId="24" borderId="17" xfId="11" applyNumberFormat="1" applyFont="1" applyFill="1" applyBorder="1" applyAlignment="1">
      <alignment vertical="center" wrapText="1"/>
    </xf>
    <xf numFmtId="171" fontId="105" fillId="0" borderId="17" xfId="29" applyNumberFormat="1" applyFont="1" applyFill="1" applyBorder="1" applyAlignment="1">
      <alignment vertical="center"/>
    </xf>
    <xf numFmtId="43" fontId="105" fillId="4" borderId="17" xfId="29" applyFont="1" applyFill="1" applyBorder="1" applyAlignment="1">
      <alignment vertical="center" wrapText="1"/>
    </xf>
    <xf numFmtId="164" fontId="106" fillId="0" borderId="17" xfId="12" applyNumberFormat="1" applyFont="1" applyFill="1" applyBorder="1" applyAlignment="1">
      <alignment vertical="center"/>
    </xf>
    <xf numFmtId="43" fontId="106" fillId="4" borderId="17" xfId="12" applyFont="1" applyFill="1" applyBorder="1" applyAlignment="1">
      <alignment vertical="center"/>
    </xf>
    <xf numFmtId="168" fontId="17" fillId="3" borderId="17" xfId="0" applyNumberFormat="1" applyFont="1" applyFill="1" applyBorder="1" applyAlignment="1">
      <alignment horizontal="center" vertical="center"/>
    </xf>
    <xf numFmtId="168" fontId="17" fillId="3" borderId="17" xfId="0" applyNumberFormat="1" applyFont="1" applyFill="1" applyBorder="1" applyAlignment="1">
      <alignment vertical="center"/>
    </xf>
    <xf numFmtId="43" fontId="108" fillId="2" borderId="17" xfId="29" applyFont="1" applyFill="1" applyBorder="1" applyAlignment="1">
      <alignment horizontal="center" vertical="center"/>
    </xf>
    <xf numFmtId="43" fontId="113" fillId="30" borderId="17" xfId="29" applyFont="1" applyFill="1" applyBorder="1" applyAlignment="1">
      <alignment horizontal="left"/>
    </xf>
    <xf numFmtId="43" fontId="113" fillId="21" borderId="17" xfId="29" applyFont="1" applyFill="1" applyBorder="1" applyAlignment="1">
      <alignment horizontal="left"/>
    </xf>
    <xf numFmtId="43" fontId="113" fillId="30" borderId="20" xfId="29" applyFont="1" applyFill="1" applyBorder="1" applyAlignment="1"/>
    <xf numFmtId="43" fontId="113" fillId="30" borderId="21" xfId="29" applyFont="1" applyFill="1" applyBorder="1" applyAlignment="1"/>
    <xf numFmtId="43" fontId="113" fillId="30" borderId="22" xfId="29" applyFont="1" applyFill="1" applyBorder="1" applyAlignment="1"/>
    <xf numFmtId="168" fontId="91" fillId="0" borderId="17" xfId="0" applyNumberFormat="1" applyFont="1" applyBorder="1" applyAlignment="1">
      <alignment horizontal="center" vertical="center"/>
    </xf>
    <xf numFmtId="9" fontId="7" fillId="0" borderId="17" xfId="1" applyFont="1" applyBorder="1" applyAlignment="1">
      <alignment horizontal="center" vertical="center" wrapText="1"/>
    </xf>
    <xf numFmtId="9" fontId="7" fillId="21" borderId="17" xfId="1" applyFont="1" applyFill="1" applyBorder="1" applyAlignment="1">
      <alignment vertical="center" wrapText="1"/>
    </xf>
    <xf numFmtId="9" fontId="7" fillId="22" borderId="17" xfId="1" applyFont="1" applyFill="1" applyBorder="1" applyAlignment="1">
      <alignment vertical="center" wrapText="1"/>
    </xf>
    <xf numFmtId="9" fontId="7" fillId="23" borderId="17" xfId="1" applyFont="1" applyFill="1" applyBorder="1" applyAlignment="1">
      <alignment vertical="center" wrapText="1"/>
    </xf>
    <xf numFmtId="9" fontId="108" fillId="2" borderId="17" xfId="1" applyFont="1" applyFill="1" applyBorder="1" applyAlignment="1">
      <alignment horizontal="center" vertical="center"/>
    </xf>
    <xf numFmtId="9" fontId="77" fillId="0" borderId="17" xfId="1" applyFont="1" applyBorder="1" applyAlignment="1">
      <alignment horizontal="center" vertical="center"/>
    </xf>
    <xf numFmtId="9" fontId="28" fillId="4" borderId="17" xfId="1" applyFont="1" applyFill="1" applyBorder="1" applyAlignment="1">
      <alignment vertical="center"/>
    </xf>
    <xf numFmtId="9" fontId="83" fillId="0" borderId="17" xfId="1" applyFont="1" applyBorder="1" applyAlignment="1">
      <alignment horizontal="center" vertical="center"/>
    </xf>
    <xf numFmtId="9" fontId="10" fillId="4" borderId="17" xfId="1" applyFont="1" applyFill="1" applyBorder="1" applyAlignment="1">
      <alignment vertical="center"/>
    </xf>
    <xf numFmtId="9" fontId="0" fillId="4" borderId="17" xfId="1" applyFont="1" applyFill="1" applyBorder="1" applyAlignment="1">
      <alignment vertical="center"/>
    </xf>
    <xf numFmtId="9" fontId="27" fillId="0" borderId="17" xfId="1" applyFont="1" applyFill="1" applyBorder="1" applyAlignment="1">
      <alignment vertical="center"/>
    </xf>
    <xf numFmtId="9" fontId="0" fillId="0" borderId="17" xfId="1" applyFont="1" applyBorder="1" applyAlignment="1">
      <alignment horizontal="center" vertical="center"/>
    </xf>
    <xf numFmtId="9" fontId="0" fillId="0" borderId="17" xfId="1" applyFont="1" applyFill="1" applyBorder="1" applyAlignment="1">
      <alignment horizontal="center" vertical="center"/>
    </xf>
    <xf numFmtId="9" fontId="0" fillId="26" borderId="17" xfId="1" applyFont="1" applyFill="1" applyBorder="1" applyAlignment="1">
      <alignment horizontal="center" vertical="center"/>
    </xf>
    <xf numFmtId="9" fontId="10" fillId="0" borderId="17" xfId="1" applyFont="1" applyBorder="1" applyAlignment="1">
      <alignment horizontal="center" vertical="center"/>
    </xf>
    <xf numFmtId="9" fontId="0" fillId="4" borderId="17" xfId="1" applyFont="1" applyFill="1" applyBorder="1" applyAlignment="1">
      <alignment horizontal="center" vertical="center"/>
    </xf>
    <xf numFmtId="9" fontId="27" fillId="0" borderId="17" xfId="1" applyFont="1" applyBorder="1" applyAlignment="1">
      <alignment horizontal="center" vertical="center"/>
    </xf>
    <xf numFmtId="177" fontId="108" fillId="2" borderId="17" xfId="29" applyNumberFormat="1" applyFont="1" applyFill="1" applyBorder="1" applyAlignment="1">
      <alignment horizontal="center" vertical="center"/>
    </xf>
    <xf numFmtId="177" fontId="83" fillId="0" borderId="17" xfId="29" applyNumberFormat="1" applyFont="1" applyBorder="1" applyAlignment="1">
      <alignment horizontal="center" vertical="center"/>
    </xf>
    <xf numFmtId="177" fontId="28" fillId="4" borderId="17" xfId="12" applyNumberFormat="1" applyFont="1" applyFill="1" applyBorder="1" applyAlignment="1">
      <alignment vertical="center"/>
    </xf>
    <xf numFmtId="177" fontId="0" fillId="0" borderId="17" xfId="11" applyNumberFormat="1" applyFont="1" applyBorder="1" applyAlignment="1">
      <alignment vertical="center"/>
    </xf>
    <xf numFmtId="177" fontId="0" fillId="0" borderId="17" xfId="12" applyNumberFormat="1" applyFont="1" applyFill="1" applyBorder="1" applyAlignment="1">
      <alignment vertical="center"/>
    </xf>
    <xf numFmtId="177" fontId="84" fillId="4" borderId="17" xfId="12" applyNumberFormat="1" applyFont="1" applyFill="1" applyBorder="1" applyAlignment="1">
      <alignment vertical="center"/>
    </xf>
    <xf numFmtId="177" fontId="28" fillId="4" borderId="17" xfId="29" applyNumberFormat="1" applyFont="1" applyFill="1" applyBorder="1" applyAlignment="1">
      <alignment vertical="center"/>
    </xf>
    <xf numFmtId="43" fontId="77" fillId="0" borderId="17" xfId="29" applyFont="1" applyFill="1" applyBorder="1" applyAlignment="1">
      <alignment vertical="center"/>
    </xf>
    <xf numFmtId="0" fontId="15" fillId="0" borderId="17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9" fontId="21" fillId="0" borderId="17" xfId="0" applyNumberFormat="1" applyFont="1" applyBorder="1" applyAlignment="1">
      <alignment horizontal="center" vertical="center"/>
    </xf>
    <xf numFmtId="1" fontId="23" fillId="0" borderId="17" xfId="0" applyNumberFormat="1" applyFont="1" applyBorder="1" applyAlignment="1">
      <alignment horizontal="center" vertical="center"/>
    </xf>
    <xf numFmtId="0" fontId="21" fillId="0" borderId="17" xfId="0" applyFont="1" applyBorder="1" applyAlignment="1">
      <alignment horizontal="left" vertical="center"/>
    </xf>
    <xf numFmtId="0" fontId="21" fillId="0" borderId="17" xfId="0" applyFont="1" applyBorder="1" applyAlignment="1">
      <alignment horizontal="center" vertical="center"/>
    </xf>
    <xf numFmtId="166" fontId="23" fillId="0" borderId="17" xfId="0" applyNumberFormat="1" applyFont="1" applyBorder="1" applyAlignment="1">
      <alignment horizontal="center" vertical="center"/>
    </xf>
    <xf numFmtId="1" fontId="27" fillId="0" borderId="17" xfId="0" applyNumberFormat="1" applyFont="1" applyBorder="1" applyAlignment="1">
      <alignment horizontal="center" vertical="center"/>
    </xf>
    <xf numFmtId="1" fontId="0" fillId="0" borderId="17" xfId="11" applyNumberFormat="1" applyFont="1" applyBorder="1" applyAlignment="1">
      <alignment horizontal="center" vertical="center"/>
    </xf>
    <xf numFmtId="0" fontId="15" fillId="0" borderId="17" xfId="5" applyFont="1" applyBorder="1" applyAlignment="1">
      <alignment horizontal="center" vertical="center"/>
    </xf>
    <xf numFmtId="166" fontId="15" fillId="0" borderId="17" xfId="5" applyNumberFormat="1" applyFont="1" applyBorder="1" applyAlignment="1">
      <alignment horizontal="center" vertical="center"/>
    </xf>
    <xf numFmtId="1" fontId="15" fillId="0" borderId="17" xfId="10" applyNumberFormat="1" applyFont="1" applyBorder="1" applyAlignment="1">
      <alignment horizontal="center" vertical="center" wrapText="1"/>
    </xf>
    <xf numFmtId="44" fontId="15" fillId="0" borderId="17" xfId="10" applyNumberFormat="1" applyFont="1" applyBorder="1" applyAlignment="1">
      <alignment horizontal="center" vertical="center" wrapText="1"/>
    </xf>
    <xf numFmtId="44" fontId="27" fillId="0" borderId="17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17" fillId="0" borderId="17" xfId="0" applyFont="1" applyBorder="1" applyAlignment="1">
      <alignment vertical="center"/>
    </xf>
    <xf numFmtId="1" fontId="15" fillId="0" borderId="17" xfId="5" applyNumberFormat="1" applyFont="1" applyBorder="1" applyAlignment="1">
      <alignment horizontal="center" vertical="center"/>
    </xf>
    <xf numFmtId="0" fontId="6" fillId="0" borderId="17" xfId="24" applyFont="1" applyBorder="1" applyAlignment="1">
      <alignment horizontal="center" vertical="center"/>
    </xf>
    <xf numFmtId="0" fontId="6" fillId="0" borderId="17" xfId="23" applyFont="1" applyBorder="1" applyAlignment="1">
      <alignment horizontal="center"/>
    </xf>
    <xf numFmtId="0" fontId="21" fillId="0" borderId="17" xfId="23" applyFont="1" applyBorder="1" applyAlignment="1">
      <alignment horizontal="left"/>
    </xf>
    <xf numFmtId="0" fontId="6" fillId="0" borderId="17" xfId="5" applyFont="1" applyBorder="1" applyAlignment="1">
      <alignment horizontal="center" vertical="center"/>
    </xf>
    <xf numFmtId="0" fontId="16" fillId="0" borderId="17" xfId="23" quotePrefix="1" applyFont="1" applyBorder="1" applyAlignment="1">
      <alignment horizontal="center" vertical="center"/>
    </xf>
    <xf numFmtId="0" fontId="6" fillId="0" borderId="17" xfId="23" applyFont="1" applyBorder="1"/>
    <xf numFmtId="166" fontId="41" fillId="0" borderId="17" xfId="5" applyNumberFormat="1" applyFont="1" applyBorder="1" applyAlignment="1">
      <alignment horizontal="center" vertical="center"/>
    </xf>
    <xf numFmtId="1" fontId="16" fillId="0" borderId="17" xfId="5" applyNumberFormat="1" applyFont="1" applyBorder="1" applyAlignment="1">
      <alignment horizontal="center"/>
    </xf>
    <xf numFmtId="49" fontId="16" fillId="0" borderId="17" xfId="5" applyNumberFormat="1" applyFont="1" applyBorder="1" applyAlignment="1">
      <alignment horizontal="center"/>
    </xf>
    <xf numFmtId="1" fontId="19" fillId="0" borderId="17" xfId="5" applyNumberFormat="1" applyFont="1" applyBorder="1" applyAlignment="1">
      <alignment horizontal="center" vertical="center"/>
    </xf>
    <xf numFmtId="0" fontId="6" fillId="0" borderId="17" xfId="2241" applyFont="1" applyBorder="1" applyAlignment="1">
      <alignment horizontal="center" vertical="center"/>
    </xf>
    <xf numFmtId="177" fontId="23" fillId="0" borderId="17" xfId="29" applyNumberFormat="1" applyFont="1" applyBorder="1" applyAlignment="1">
      <alignment horizontal="center" vertical="center"/>
    </xf>
    <xf numFmtId="0" fontId="16" fillId="0" borderId="17" xfId="24" applyFont="1" applyBorder="1" applyAlignment="1">
      <alignment horizontal="center" vertical="center"/>
    </xf>
    <xf numFmtId="0" fontId="34" fillId="0" borderId="17" xfId="23" applyFont="1" applyBorder="1" applyAlignment="1">
      <alignment horizontal="left" indent="1"/>
    </xf>
    <xf numFmtId="0" fontId="21" fillId="0" borderId="17" xfId="5" applyFont="1" applyBorder="1" applyAlignment="1">
      <alignment horizontal="center" vertical="center"/>
    </xf>
    <xf numFmtId="2" fontId="16" fillId="0" borderId="17" xfId="19" applyNumberFormat="1" applyFont="1" applyBorder="1" applyAlignment="1">
      <alignment horizontal="center" vertical="center"/>
    </xf>
    <xf numFmtId="0" fontId="7" fillId="0" borderId="17" xfId="23" applyFont="1" applyBorder="1"/>
    <xf numFmtId="0" fontId="7" fillId="0" borderId="17" xfId="24" applyFont="1" applyBorder="1" applyAlignment="1">
      <alignment horizontal="center" vertical="center"/>
    </xf>
    <xf numFmtId="177" fontId="41" fillId="0" borderId="17" xfId="29" applyNumberFormat="1" applyFont="1" applyBorder="1" applyAlignment="1">
      <alignment horizontal="center" vertical="center"/>
    </xf>
    <xf numFmtId="0" fontId="16" fillId="0" borderId="17" xfId="19" applyFont="1" applyBorder="1" applyAlignment="1">
      <alignment horizontal="center"/>
    </xf>
    <xf numFmtId="177" fontId="26" fillId="0" borderId="17" xfId="29" applyNumberFormat="1" applyFont="1" applyBorder="1" applyAlignment="1">
      <alignment horizontal="center" vertical="center"/>
    </xf>
    <xf numFmtId="0" fontId="0" fillId="0" borderId="17" xfId="0" applyBorder="1"/>
    <xf numFmtId="166" fontId="23" fillId="0" borderId="17" xfId="6" applyNumberFormat="1" applyFont="1" applyBorder="1" applyAlignment="1">
      <alignment horizontal="center" vertical="center"/>
    </xf>
    <xf numFmtId="1" fontId="15" fillId="0" borderId="17" xfId="6" applyNumberForma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32" fillId="0" borderId="17" xfId="0" applyFont="1" applyBorder="1" applyAlignment="1">
      <alignment vertical="center"/>
    </xf>
    <xf numFmtId="0" fontId="6" fillId="0" borderId="17" xfId="19" applyFont="1" applyBorder="1"/>
    <xf numFmtId="0" fontId="16" fillId="0" borderId="17" xfId="19" applyFont="1" applyBorder="1" applyAlignment="1">
      <alignment horizontal="center" vertical="center"/>
    </xf>
    <xf numFmtId="0" fontId="7" fillId="0" borderId="17" xfId="2241" applyFont="1" applyBorder="1" applyAlignment="1">
      <alignment horizontal="center" vertical="center"/>
    </xf>
    <xf numFmtId="0" fontId="7" fillId="0" borderId="17" xfId="2239" applyFont="1" applyBorder="1" applyAlignment="1">
      <alignment horizontal="left"/>
    </xf>
    <xf numFmtId="0" fontId="16" fillId="0" borderId="17" xfId="2239" applyFont="1" applyBorder="1" applyAlignment="1">
      <alignment horizontal="center" vertical="center"/>
    </xf>
    <xf numFmtId="177" fontId="15" fillId="0" borderId="17" xfId="29" applyNumberFormat="1" applyFont="1" applyBorder="1" applyAlignment="1">
      <alignment horizontal="center" vertical="center" wrapText="1"/>
    </xf>
    <xf numFmtId="44" fontId="19" fillId="0" borderId="17" xfId="5" applyNumberFormat="1" applyFont="1" applyBorder="1" applyAlignment="1">
      <alignment horizontal="center" vertical="center"/>
    </xf>
    <xf numFmtId="49" fontId="15" fillId="0" borderId="17" xfId="6" applyBorder="1">
      <alignment horizontal="left" vertical="center"/>
    </xf>
    <xf numFmtId="44" fontId="15" fillId="0" borderId="17" xfId="6" applyNumberFormat="1" applyBorder="1" applyAlignment="1">
      <alignment horizontal="center" vertical="center"/>
    </xf>
    <xf numFmtId="44" fontId="0" fillId="0" borderId="17" xfId="0" applyNumberFormat="1" applyBorder="1"/>
    <xf numFmtId="0" fontId="15" fillId="0" borderId="17" xfId="5" applyFont="1" applyBorder="1" applyAlignment="1">
      <alignment horizontal="left" vertical="center"/>
    </xf>
    <xf numFmtId="0" fontId="23" fillId="0" borderId="17" xfId="5" applyFont="1" applyBorder="1" applyAlignment="1">
      <alignment horizontal="center" vertical="center"/>
    </xf>
    <xf numFmtId="0" fontId="21" fillId="0" borderId="17" xfId="5" applyFont="1" applyBorder="1" applyAlignment="1">
      <alignment horizontal="left" vertical="center"/>
    </xf>
    <xf numFmtId="49" fontId="21" fillId="0" borderId="17" xfId="6" applyFont="1" applyBorder="1" applyAlignment="1">
      <alignment horizontal="center" vertical="center"/>
    </xf>
    <xf numFmtId="20" fontId="17" fillId="0" borderId="17" xfId="0" applyNumberFormat="1" applyFont="1" applyBorder="1" applyAlignment="1">
      <alignment vertical="center"/>
    </xf>
    <xf numFmtId="0" fontId="16" fillId="0" borderId="17" xfId="23" applyFont="1" applyBorder="1" applyAlignment="1">
      <alignment horizontal="center"/>
    </xf>
    <xf numFmtId="0" fontId="11" fillId="0" borderId="17" xfId="119" applyBorder="1"/>
    <xf numFmtId="0" fontId="16" fillId="0" borderId="17" xfId="23" applyFont="1" applyBorder="1"/>
    <xf numFmtId="0" fontId="16" fillId="0" borderId="17" xfId="23" applyFont="1" applyBorder="1" applyAlignment="1">
      <alignment vertical="center"/>
    </xf>
    <xf numFmtId="0" fontId="7" fillId="0" borderId="17" xfId="23" applyFont="1" applyBorder="1" applyAlignment="1">
      <alignment horizontal="left"/>
    </xf>
    <xf numFmtId="0" fontId="30" fillId="0" borderId="17" xfId="23" applyFont="1" applyBorder="1" applyAlignment="1">
      <alignment horizontal="left"/>
    </xf>
    <xf numFmtId="0" fontId="29" fillId="0" borderId="17" xfId="24" applyFont="1" applyBorder="1" applyAlignment="1">
      <alignment horizontal="center" vertical="center"/>
    </xf>
    <xf numFmtId="0" fontId="7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7" fillId="0" borderId="17" xfId="0" applyFont="1" applyBorder="1" applyAlignment="1">
      <alignment horizontal="left" vertical="center"/>
    </xf>
    <xf numFmtId="177" fontId="116" fillId="26" borderId="17" xfId="29" applyNumberFormat="1" applyFont="1" applyFill="1" applyBorder="1" applyAlignment="1">
      <alignment horizontal="center" vertical="center" wrapText="1"/>
    </xf>
    <xf numFmtId="177" fontId="116" fillId="26" borderId="16" xfId="29" applyNumberFormat="1" applyFont="1" applyFill="1" applyBorder="1" applyAlignment="1">
      <alignment horizontal="center" vertical="center" wrapText="1"/>
    </xf>
    <xf numFmtId="177" fontId="117" fillId="4" borderId="16" xfId="29" applyNumberFormat="1" applyFont="1" applyFill="1" applyBorder="1" applyAlignment="1">
      <alignment vertical="center" wrapText="1"/>
    </xf>
    <xf numFmtId="177" fontId="117" fillId="4" borderId="16" xfId="0" applyNumberFormat="1" applyFont="1" applyFill="1" applyBorder="1" applyAlignment="1">
      <alignment vertical="center" wrapText="1"/>
    </xf>
    <xf numFmtId="177" fontId="118" fillId="4" borderId="16" xfId="29" applyNumberFormat="1" applyFont="1" applyFill="1" applyBorder="1" applyAlignment="1">
      <alignment horizontal="center" vertical="center"/>
    </xf>
    <xf numFmtId="177" fontId="116" fillId="4" borderId="16" xfId="12" applyNumberFormat="1" applyFont="1" applyFill="1" applyBorder="1" applyAlignment="1">
      <alignment horizontal="center" vertical="center"/>
    </xf>
    <xf numFmtId="177" fontId="118" fillId="4" borderId="16" xfId="0" applyNumberFormat="1" applyFont="1" applyFill="1" applyBorder="1" applyAlignment="1">
      <alignment horizontal="center" vertical="center"/>
    </xf>
    <xf numFmtId="171" fontId="82" fillId="22" borderId="17" xfId="29" applyNumberFormat="1" applyFont="1" applyFill="1" applyBorder="1" applyAlignment="1">
      <alignment horizontal="right" vertical="center" wrapText="1"/>
    </xf>
    <xf numFmtId="177" fontId="116" fillId="26" borderId="17" xfId="29" applyNumberFormat="1" applyFont="1" applyFill="1" applyBorder="1" applyAlignment="1">
      <alignment horizontal="right" vertical="center" wrapText="1"/>
    </xf>
    <xf numFmtId="43" fontId="35" fillId="2" borderId="17" xfId="29" applyFont="1" applyFill="1" applyBorder="1" applyAlignment="1">
      <alignment horizontal="right" vertical="center"/>
    </xf>
    <xf numFmtId="0" fontId="17" fillId="0" borderId="16" xfId="0" applyFont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wrapText="1"/>
    </xf>
    <xf numFmtId="177" fontId="104" fillId="5" borderId="16" xfId="0" applyNumberFormat="1" applyFont="1" applyFill="1" applyBorder="1" applyAlignment="1">
      <alignment horizontal="right" vertical="center" wrapText="1"/>
    </xf>
    <xf numFmtId="177" fontId="117" fillId="4" borderId="16" xfId="29" applyNumberFormat="1" applyFont="1" applyFill="1" applyBorder="1" applyAlignment="1">
      <alignment horizontal="right" vertical="center" wrapText="1"/>
    </xf>
    <xf numFmtId="0" fontId="37" fillId="0" borderId="16" xfId="0" applyFont="1" applyBorder="1" applyAlignment="1">
      <alignment horizontal="right" vertical="center" wrapText="1"/>
    </xf>
    <xf numFmtId="0" fontId="38" fillId="0" borderId="16" xfId="0" applyFont="1" applyBorder="1" applyAlignment="1">
      <alignment horizontal="right" vertical="center" wrapText="1"/>
    </xf>
    <xf numFmtId="0" fontId="101" fillId="0" borderId="16" xfId="0" applyFont="1" applyBorder="1" applyAlignment="1">
      <alignment horizontal="right" vertical="center" wrapText="1"/>
    </xf>
    <xf numFmtId="177" fontId="117" fillId="4" borderId="16" xfId="0" applyNumberFormat="1" applyFont="1" applyFill="1" applyBorder="1" applyAlignment="1">
      <alignment horizontal="right" vertical="center" wrapText="1"/>
    </xf>
    <xf numFmtId="0" fontId="6" fillId="0" borderId="16" xfId="0" applyFont="1" applyBorder="1" applyAlignment="1">
      <alignment horizontal="right" vertical="center" wrapText="1"/>
    </xf>
    <xf numFmtId="177" fontId="107" fillId="26" borderId="17" xfId="29" applyNumberFormat="1" applyFont="1" applyFill="1" applyBorder="1" applyAlignment="1">
      <alignment horizontal="center" vertical="center" wrapText="1"/>
    </xf>
    <xf numFmtId="43" fontId="80" fillId="0" borderId="17" xfId="29" applyFont="1" applyBorder="1" applyAlignment="1">
      <alignment vertical="center" wrapText="1"/>
    </xf>
    <xf numFmtId="43" fontId="80" fillId="0" borderId="17" xfId="29" applyFont="1" applyFill="1" applyBorder="1" applyAlignment="1">
      <alignment horizontal="center" vertical="center"/>
    </xf>
    <xf numFmtId="0" fontId="92" fillId="28" borderId="17" xfId="14" applyNumberFormat="1" applyFont="1" applyFill="1" applyBorder="1" applyAlignment="1">
      <alignment horizontal="center" vertical="center"/>
    </xf>
    <xf numFmtId="0" fontId="92" fillId="28" borderId="17" xfId="14" applyNumberFormat="1" applyFont="1" applyFill="1" applyBorder="1" applyAlignment="1">
      <alignment horizontal="left" vertical="center"/>
    </xf>
    <xf numFmtId="0" fontId="23" fillId="0" borderId="17" xfId="0" applyFont="1" applyBorder="1" applyAlignment="1">
      <alignment horizontal="left" vertical="center"/>
    </xf>
    <xf numFmtId="0" fontId="16" fillId="0" borderId="17" xfId="24" applyFont="1" applyBorder="1" applyAlignment="1">
      <alignment horizontal="left" vertical="center"/>
    </xf>
    <xf numFmtId="0" fontId="21" fillId="0" borderId="0" xfId="5" applyFont="1" applyAlignment="1">
      <alignment horizontal="center" vertical="center"/>
    </xf>
    <xf numFmtId="177" fontId="23" fillId="0" borderId="0" xfId="29" applyNumberFormat="1" applyFont="1" applyBorder="1" applyAlignment="1">
      <alignment horizontal="center" vertical="center"/>
    </xf>
    <xf numFmtId="1" fontId="19" fillId="0" borderId="0" xfId="5" applyNumberFormat="1" applyFont="1" applyAlignment="1">
      <alignment horizontal="center" vertical="center"/>
    </xf>
    <xf numFmtId="0" fontId="82" fillId="32" borderId="17" xfId="0" applyFont="1" applyFill="1" applyBorder="1" applyAlignment="1">
      <alignment horizontal="left" vertical="center"/>
    </xf>
    <xf numFmtId="0" fontId="6" fillId="32" borderId="17" xfId="2241" applyFont="1" applyFill="1" applyBorder="1" applyAlignment="1">
      <alignment horizontal="center" vertical="center"/>
    </xf>
    <xf numFmtId="0" fontId="7" fillId="32" borderId="17" xfId="2241" applyFont="1" applyFill="1" applyBorder="1" applyAlignment="1">
      <alignment horizontal="left" vertical="center"/>
    </xf>
    <xf numFmtId="0" fontId="7" fillId="32" borderId="17" xfId="2241" applyFont="1" applyFill="1" applyBorder="1" applyAlignment="1">
      <alignment horizontal="center" vertical="center"/>
    </xf>
    <xf numFmtId="1" fontId="15" fillId="0" borderId="17" xfId="5" applyNumberFormat="1" applyFont="1" applyBorder="1" applyAlignment="1">
      <alignment horizontal="center" vertical="center" wrapText="1"/>
    </xf>
    <xf numFmtId="0" fontId="32" fillId="33" borderId="17" xfId="0" applyFont="1" applyFill="1" applyBorder="1" applyAlignment="1">
      <alignment vertical="center"/>
    </xf>
    <xf numFmtId="0" fontId="33" fillId="33" borderId="17" xfId="2241" applyFont="1" applyFill="1" applyBorder="1" applyAlignment="1">
      <alignment horizontal="center" vertical="center"/>
    </xf>
    <xf numFmtId="0" fontId="34" fillId="33" borderId="17" xfId="23" applyFont="1" applyFill="1" applyBorder="1" applyAlignment="1">
      <alignment horizontal="left" indent="1"/>
    </xf>
    <xf numFmtId="1" fontId="87" fillId="0" borderId="17" xfId="0" applyNumberFormat="1" applyFont="1" applyBorder="1" applyAlignment="1">
      <alignment horizontal="center" vertical="center"/>
    </xf>
    <xf numFmtId="0" fontId="80" fillId="0" borderId="17" xfId="0" applyFont="1" applyBorder="1" applyAlignment="1">
      <alignment horizontal="center" vertical="center"/>
    </xf>
    <xf numFmtId="0" fontId="119" fillId="28" borderId="17" xfId="14" applyNumberFormat="1" applyFont="1" applyFill="1" applyBorder="1" applyAlignment="1">
      <alignment horizontal="center" vertical="center"/>
    </xf>
    <xf numFmtId="166" fontId="15" fillId="34" borderId="17" xfId="5" applyNumberFormat="1" applyFont="1" applyFill="1" applyBorder="1" applyAlignment="1">
      <alignment horizontal="center" vertical="center"/>
    </xf>
    <xf numFmtId="1" fontId="87" fillId="35" borderId="17" xfId="0" applyNumberFormat="1" applyFont="1" applyFill="1" applyBorder="1" applyAlignment="1">
      <alignment horizontal="center" vertical="center"/>
    </xf>
    <xf numFmtId="166" fontId="87" fillId="35" borderId="17" xfId="0" applyNumberFormat="1" applyFont="1" applyFill="1" applyBorder="1" applyAlignment="1">
      <alignment horizontal="center" vertical="center"/>
    </xf>
    <xf numFmtId="1" fontId="80" fillId="35" borderId="17" xfId="11" applyNumberFormat="1" applyFont="1" applyFill="1" applyBorder="1" applyAlignment="1">
      <alignment horizontal="center" vertical="center"/>
    </xf>
    <xf numFmtId="0" fontId="87" fillId="35" borderId="17" xfId="0" applyFont="1" applyFill="1" applyBorder="1" applyAlignment="1">
      <alignment horizontal="center" vertical="center"/>
    </xf>
    <xf numFmtId="166" fontId="23" fillId="0" borderId="17" xfId="0" applyNumberFormat="1" applyFont="1" applyBorder="1" applyAlignment="1">
      <alignment horizontal="right" vertical="center"/>
    </xf>
    <xf numFmtId="1" fontId="27" fillId="35" borderId="17" xfId="0" applyNumberFormat="1" applyFont="1" applyFill="1" applyBorder="1" applyAlignment="1">
      <alignment horizontal="center" vertical="center"/>
    </xf>
    <xf numFmtId="1" fontId="0" fillId="35" borderId="17" xfId="11" applyNumberFormat="1" applyFont="1" applyFill="1" applyBorder="1" applyAlignment="1">
      <alignment horizontal="center" vertical="center"/>
    </xf>
    <xf numFmtId="0" fontId="92" fillId="0" borderId="17" xfId="14" applyNumberFormat="1" applyFont="1" applyFill="1" applyBorder="1" applyAlignment="1">
      <alignment horizontal="center" vertical="center"/>
    </xf>
    <xf numFmtId="0" fontId="6" fillId="0" borderId="17" xfId="0" applyFont="1" applyBorder="1" applyAlignment="1">
      <alignment vertical="center"/>
    </xf>
    <xf numFmtId="44" fontId="15" fillId="0" borderId="17" xfId="2246" applyNumberFormat="1" applyFont="1" applyBorder="1" applyAlignment="1">
      <alignment horizontal="center" vertical="center" wrapText="1"/>
    </xf>
    <xf numFmtId="1" fontId="15" fillId="0" borderId="17" xfId="2246" applyNumberFormat="1" applyFont="1" applyBorder="1" applyAlignment="1">
      <alignment horizontal="center" vertical="center" wrapText="1"/>
    </xf>
    <xf numFmtId="44" fontId="15" fillId="34" borderId="17" xfId="2246" applyNumberFormat="1" applyFont="1" applyFill="1" applyBorder="1" applyAlignment="1">
      <alignment horizontal="center" vertical="center" wrapText="1"/>
    </xf>
    <xf numFmtId="1" fontId="15" fillId="34" borderId="17" xfId="2246" applyNumberFormat="1" applyFont="1" applyFill="1" applyBorder="1" applyAlignment="1">
      <alignment horizontal="center" vertical="center" wrapText="1"/>
    </xf>
    <xf numFmtId="0" fontId="6" fillId="32" borderId="17" xfId="2247" applyFont="1" applyFill="1" applyBorder="1" applyAlignment="1">
      <alignment horizontal="center" vertical="center"/>
    </xf>
    <xf numFmtId="0" fontId="7" fillId="32" borderId="17" xfId="2247" applyFont="1" applyFill="1" applyBorder="1" applyAlignment="1">
      <alignment horizontal="left" vertical="center"/>
    </xf>
    <xf numFmtId="0" fontId="7" fillId="32" borderId="17" xfId="2247" applyFont="1" applyFill="1" applyBorder="1" applyAlignment="1">
      <alignment horizontal="center" vertical="center"/>
    </xf>
    <xf numFmtId="0" fontId="33" fillId="33" borderId="17" xfId="2247" applyFont="1" applyFill="1" applyBorder="1" applyAlignment="1">
      <alignment horizontal="center" vertical="center"/>
    </xf>
    <xf numFmtId="0" fontId="6" fillId="0" borderId="17" xfId="2248" applyFont="1" applyBorder="1"/>
    <xf numFmtId="0" fontId="7" fillId="0" borderId="17" xfId="2249" applyFont="1" applyBorder="1" applyAlignment="1">
      <alignment horizontal="left"/>
    </xf>
    <xf numFmtId="0" fontId="6" fillId="0" borderId="17" xfId="2247" applyFont="1" applyBorder="1" applyAlignment="1">
      <alignment horizontal="center" vertical="center"/>
    </xf>
    <xf numFmtId="0" fontId="7" fillId="0" borderId="17" xfId="2247" applyFont="1" applyBorder="1" applyAlignment="1">
      <alignment horizontal="center" vertical="center"/>
    </xf>
    <xf numFmtId="0" fontId="16" fillId="0" borderId="17" xfId="2249" applyFont="1" applyBorder="1" applyAlignment="1">
      <alignment horizontal="center" vertical="center"/>
    </xf>
    <xf numFmtId="0" fontId="16" fillId="0" borderId="17" xfId="2248" applyFont="1" applyBorder="1" applyAlignment="1">
      <alignment horizontal="center" vertical="center"/>
    </xf>
    <xf numFmtId="0" fontId="16" fillId="0" borderId="17" xfId="2248" applyFont="1" applyBorder="1" applyAlignment="1">
      <alignment horizontal="center"/>
    </xf>
    <xf numFmtId="2" fontId="16" fillId="0" borderId="17" xfId="2248" applyNumberFormat="1" applyFont="1" applyBorder="1" applyAlignment="1">
      <alignment horizontal="center" vertical="center"/>
    </xf>
    <xf numFmtId="0" fontId="6" fillId="0" borderId="17" xfId="2250" applyFont="1" applyBorder="1" applyAlignment="1">
      <alignment horizontal="center" vertical="center"/>
    </xf>
    <xf numFmtId="0" fontId="6" fillId="0" borderId="17" xfId="2251" applyFont="1" applyBorder="1" applyAlignment="1">
      <alignment horizontal="center"/>
    </xf>
    <xf numFmtId="0" fontId="21" fillId="0" borderId="17" xfId="2251" applyFont="1" applyBorder="1" applyAlignment="1">
      <alignment horizontal="left"/>
    </xf>
    <xf numFmtId="0" fontId="34" fillId="33" borderId="17" xfId="2251" applyFont="1" applyFill="1" applyBorder="1" applyAlignment="1">
      <alignment horizontal="left" indent="1"/>
    </xf>
    <xf numFmtId="0" fontId="16" fillId="0" borderId="17" xfId="2251" quotePrefix="1" applyFont="1" applyBorder="1" applyAlignment="1">
      <alignment horizontal="center" vertical="center"/>
    </xf>
    <xf numFmtId="0" fontId="6" fillId="0" borderId="17" xfId="2247" applyFont="1" applyBorder="1" applyAlignment="1">
      <alignment horizontal="left" vertical="center"/>
    </xf>
    <xf numFmtId="0" fontId="6" fillId="0" borderId="17" xfId="2249" applyFont="1" applyBorder="1" applyAlignment="1">
      <alignment horizontal="left"/>
    </xf>
    <xf numFmtId="0" fontId="16" fillId="0" borderId="0" xfId="2251" quotePrefix="1" applyFont="1" applyAlignment="1">
      <alignment horizontal="center" vertical="center"/>
    </xf>
    <xf numFmtId="0" fontId="16" fillId="0" borderId="0" xfId="2248" applyFont="1" applyAlignment="1">
      <alignment horizontal="center" vertical="center"/>
    </xf>
    <xf numFmtId="0" fontId="30" fillId="0" borderId="17" xfId="2249" applyFont="1" applyBorder="1" applyAlignment="1">
      <alignment horizontal="left"/>
    </xf>
    <xf numFmtId="0" fontId="7" fillId="0" borderId="17" xfId="2249" applyFont="1" applyBorder="1"/>
    <xf numFmtId="2" fontId="16" fillId="0" borderId="17" xfId="2248" applyNumberFormat="1" applyFont="1" applyBorder="1" applyAlignment="1">
      <alignment horizontal="center"/>
    </xf>
    <xf numFmtId="0" fontId="6" fillId="0" borderId="17" xfId="2248" applyFont="1" applyBorder="1" applyAlignment="1">
      <alignment horizontal="center"/>
    </xf>
    <xf numFmtId="0" fontId="30" fillId="0" borderId="17" xfId="2248" applyFont="1" applyBorder="1" applyAlignment="1">
      <alignment horizontal="left"/>
    </xf>
    <xf numFmtId="0" fontId="32" fillId="33" borderId="17" xfId="2248" applyFont="1" applyFill="1" applyBorder="1"/>
    <xf numFmtId="1" fontId="15" fillId="34" borderId="17" xfId="2247" applyNumberFormat="1" applyFont="1" applyFill="1" applyBorder="1" applyAlignment="1">
      <alignment horizontal="center" vertical="center" wrapText="1"/>
    </xf>
    <xf numFmtId="44" fontId="15" fillId="34" borderId="17" xfId="2247" applyNumberFormat="1" applyFont="1" applyFill="1" applyBorder="1" applyAlignment="1">
      <alignment horizontal="center" vertical="center" wrapText="1"/>
    </xf>
    <xf numFmtId="1" fontId="15" fillId="0" borderId="17" xfId="2247" applyNumberFormat="1" applyFont="1" applyBorder="1" applyAlignment="1">
      <alignment horizontal="center" vertical="center" wrapText="1"/>
    </xf>
    <xf numFmtId="1" fontId="15" fillId="0" borderId="17" xfId="2247" applyNumberFormat="1" applyFont="1" applyBorder="1" applyAlignment="1">
      <alignment vertical="center" wrapText="1"/>
    </xf>
    <xf numFmtId="0" fontId="6" fillId="0" borderId="17" xfId="2251" applyFont="1" applyBorder="1" applyAlignment="1">
      <alignment horizontal="left"/>
    </xf>
    <xf numFmtId="0" fontId="6" fillId="0" borderId="17" xfId="2250" applyFont="1" applyBorder="1" applyAlignment="1">
      <alignment horizontal="left" vertical="center"/>
    </xf>
    <xf numFmtId="1" fontId="80" fillId="0" borderId="17" xfId="2250" applyNumberFormat="1" applyFont="1" applyBorder="1" applyAlignment="1">
      <alignment horizontal="center" vertical="center"/>
    </xf>
    <xf numFmtId="1" fontId="16" fillId="0" borderId="17" xfId="2251" applyNumberFormat="1" applyFont="1" applyBorder="1" applyAlignment="1">
      <alignment horizontal="center"/>
    </xf>
    <xf numFmtId="1" fontId="16" fillId="0" borderId="17" xfId="2252" applyNumberFormat="1" applyFont="1" applyBorder="1" applyAlignment="1">
      <alignment horizontal="center"/>
    </xf>
    <xf numFmtId="0" fontId="6" fillId="0" borderId="17" xfId="2251" applyFont="1" applyBorder="1"/>
    <xf numFmtId="0" fontId="80" fillId="32" borderId="17" xfId="2247" applyFont="1" applyFill="1" applyBorder="1" applyAlignment="1">
      <alignment horizontal="center" vertical="center"/>
    </xf>
    <xf numFmtId="0" fontId="16" fillId="0" borderId="17" xfId="2249" applyFont="1" applyBorder="1" applyAlignment="1">
      <alignment horizontal="center"/>
    </xf>
    <xf numFmtId="2" fontId="16" fillId="0" borderId="17" xfId="2249" applyNumberFormat="1" applyFont="1" applyBorder="1" applyAlignment="1">
      <alignment horizontal="center" vertical="center"/>
    </xf>
    <xf numFmtId="0" fontId="16" fillId="0" borderId="17" xfId="2250" applyFont="1" applyBorder="1" applyAlignment="1">
      <alignment horizontal="center" vertical="center"/>
    </xf>
    <xf numFmtId="0" fontId="87" fillId="0" borderId="17" xfId="2251" applyFont="1" applyBorder="1" applyAlignment="1">
      <alignment horizontal="center"/>
    </xf>
    <xf numFmtId="0" fontId="34" fillId="0" borderId="17" xfId="2251" applyFont="1" applyBorder="1" applyAlignment="1">
      <alignment horizontal="left" indent="1"/>
    </xf>
    <xf numFmtId="0" fontId="16" fillId="0" borderId="17" xfId="2252" quotePrefix="1" applyFont="1" applyBorder="1" applyAlignment="1">
      <alignment horizontal="center" vertical="center"/>
    </xf>
    <xf numFmtId="0" fontId="6" fillId="0" borderId="17" xfId="2252" applyFont="1" applyBorder="1"/>
    <xf numFmtId="0" fontId="7" fillId="0" borderId="17" xfId="2251" applyFont="1" applyBorder="1"/>
    <xf numFmtId="0" fontId="29" fillId="0" borderId="17" xfId="2251" applyFont="1" applyBorder="1" applyAlignment="1">
      <alignment horizontal="left"/>
    </xf>
    <xf numFmtId="0" fontId="10" fillId="0" borderId="17" xfId="2250" applyFont="1" applyBorder="1" applyAlignment="1">
      <alignment horizontal="center" vertical="center"/>
    </xf>
    <xf numFmtId="0" fontId="16" fillId="0" borderId="17" xfId="2251" applyFont="1" applyBorder="1" applyAlignment="1">
      <alignment horizontal="center" vertical="center"/>
    </xf>
    <xf numFmtId="0" fontId="29" fillId="0" borderId="17" xfId="2250" applyFont="1" applyBorder="1" applyAlignment="1">
      <alignment horizontal="left" vertical="center"/>
    </xf>
    <xf numFmtId="0" fontId="7" fillId="0" borderId="17" xfId="2252" applyFont="1" applyBorder="1"/>
    <xf numFmtId="0" fontId="16" fillId="0" borderId="17" xfId="2252" applyFont="1" applyBorder="1" applyAlignment="1">
      <alignment horizontal="center" vertical="center"/>
    </xf>
    <xf numFmtId="0" fontId="7" fillId="0" borderId="17" xfId="2250" applyFont="1" applyBorder="1" applyAlignment="1">
      <alignment horizontal="center" vertical="center"/>
    </xf>
    <xf numFmtId="1" fontId="80" fillId="0" borderId="17" xfId="2251" applyNumberFormat="1" applyFont="1" applyBorder="1" applyAlignment="1">
      <alignment horizontal="center"/>
    </xf>
    <xf numFmtId="9" fontId="36" fillId="0" borderId="17" xfId="1" applyFont="1" applyBorder="1" applyAlignment="1">
      <alignment horizontal="center" vertical="center"/>
    </xf>
    <xf numFmtId="1" fontId="28" fillId="4" borderId="16" xfId="1" applyNumberFormat="1" applyFont="1" applyFill="1" applyBorder="1" applyAlignment="1">
      <alignment horizontal="center" vertical="center"/>
    </xf>
    <xf numFmtId="0" fontId="34" fillId="0" borderId="17" xfId="0" applyFont="1" applyBorder="1" applyAlignment="1">
      <alignment vertical="center" wrapText="1"/>
    </xf>
    <xf numFmtId="0" fontId="92" fillId="0" borderId="17" xfId="14" applyNumberFormat="1" applyFont="1" applyFill="1" applyBorder="1" applyAlignment="1">
      <alignment horizontal="left" vertical="center"/>
    </xf>
    <xf numFmtId="0" fontId="6" fillId="0" borderId="17" xfId="24" applyFont="1" applyBorder="1" applyAlignment="1">
      <alignment horizontal="left" vertical="center"/>
    </xf>
    <xf numFmtId="0" fontId="6" fillId="32" borderId="17" xfId="2241" applyFont="1" applyFill="1" applyBorder="1" applyAlignment="1">
      <alignment horizontal="left" vertical="center"/>
    </xf>
    <xf numFmtId="0" fontId="6" fillId="0" borderId="17" xfId="2241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0" fontId="6" fillId="36" borderId="17" xfId="2250" applyFont="1" applyFill="1" applyBorder="1" applyAlignment="1">
      <alignment horizontal="center" vertical="center"/>
    </xf>
    <xf numFmtId="0" fontId="6" fillId="36" borderId="17" xfId="2251" applyFont="1" applyFill="1" applyBorder="1" applyAlignment="1">
      <alignment horizontal="center"/>
    </xf>
    <xf numFmtId="0" fontId="21" fillId="36" borderId="17" xfId="2251" applyFont="1" applyFill="1" applyBorder="1" applyAlignment="1">
      <alignment horizontal="left"/>
    </xf>
    <xf numFmtId="0" fontId="21" fillId="36" borderId="17" xfId="5" applyFont="1" applyFill="1" applyBorder="1" applyAlignment="1">
      <alignment horizontal="center" vertical="center"/>
    </xf>
    <xf numFmtId="0" fontId="16" fillId="36" borderId="17" xfId="2251" quotePrefix="1" applyFont="1" applyFill="1" applyBorder="1" applyAlignment="1">
      <alignment horizontal="center" vertical="center"/>
    </xf>
    <xf numFmtId="0" fontId="84" fillId="0" borderId="17" xfId="24" applyFont="1" applyBorder="1" applyAlignment="1">
      <alignment horizontal="left" vertical="center"/>
    </xf>
    <xf numFmtId="0" fontId="34" fillId="33" borderId="0" xfId="23" applyFont="1" applyFill="1" applyAlignment="1">
      <alignment horizontal="left" indent="1"/>
    </xf>
    <xf numFmtId="0" fontId="92" fillId="0" borderId="0" xfId="14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3" fillId="0" borderId="0" xfId="5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49" fontId="21" fillId="0" borderId="0" xfId="6" applyFont="1" applyAlignment="1">
      <alignment horizontal="center" vertical="center"/>
    </xf>
    <xf numFmtId="166" fontId="23" fillId="0" borderId="0" xfId="6" applyNumberFormat="1" applyFont="1" applyAlignment="1">
      <alignment horizontal="center" vertical="center"/>
    </xf>
    <xf numFmtId="1" fontId="15" fillId="0" borderId="0" xfId="6" applyNumberFormat="1" applyAlignment="1">
      <alignment horizontal="center" vertical="center"/>
    </xf>
    <xf numFmtId="44" fontId="15" fillId="0" borderId="0" xfId="6" applyNumberFormat="1" applyAlignment="1">
      <alignment horizontal="center" vertical="center"/>
    </xf>
    <xf numFmtId="49" fontId="15" fillId="0" borderId="0" xfId="6">
      <alignment horizontal="left" vertical="center"/>
    </xf>
    <xf numFmtId="0" fontId="25" fillId="0" borderId="17" xfId="23" applyFont="1" applyBorder="1" applyAlignment="1">
      <alignment horizontal="left"/>
    </xf>
    <xf numFmtId="166" fontId="120" fillId="0" borderId="17" xfId="0" applyNumberFormat="1" applyFont="1" applyBorder="1" applyAlignment="1">
      <alignment horizontal="right" vertical="center"/>
    </xf>
    <xf numFmtId="0" fontId="121" fillId="0" borderId="0" xfId="0" applyFont="1" applyAlignment="1">
      <alignment vertical="center" wrapText="1"/>
    </xf>
    <xf numFmtId="166" fontId="23" fillId="0" borderId="17" xfId="5" applyNumberFormat="1" applyFont="1" applyBorder="1" applyAlignment="1">
      <alignment horizontal="center" vertical="center"/>
    </xf>
    <xf numFmtId="0" fontId="87" fillId="0" borderId="17" xfId="2251" applyFont="1" applyBorder="1" applyAlignment="1">
      <alignment horizontal="right"/>
    </xf>
    <xf numFmtId="0" fontId="122" fillId="28" borderId="17" xfId="14" applyNumberFormat="1" applyFont="1" applyFill="1" applyBorder="1" applyAlignment="1">
      <alignment horizontal="left" vertical="center"/>
    </xf>
    <xf numFmtId="1" fontId="123" fillId="0" borderId="17" xfId="5" applyNumberFormat="1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6" fillId="36" borderId="17" xfId="225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" fontId="124" fillId="0" borderId="17" xfId="5" applyNumberFormat="1" applyFont="1" applyBorder="1" applyAlignment="1">
      <alignment horizontal="center" vertical="center"/>
    </xf>
    <xf numFmtId="0" fontId="0" fillId="0" borderId="17" xfId="2252" applyFont="1" applyBorder="1" applyAlignment="1">
      <alignment horizontal="center" vertical="center"/>
    </xf>
    <xf numFmtId="0" fontId="0" fillId="0" borderId="17" xfId="2250" applyFont="1" applyBorder="1" applyAlignment="1">
      <alignment horizontal="center" vertical="center"/>
    </xf>
    <xf numFmtId="0" fontId="27" fillId="0" borderId="17" xfId="2251" applyFont="1" applyBorder="1" applyAlignment="1">
      <alignment horizontal="center"/>
    </xf>
    <xf numFmtId="1" fontId="0" fillId="0" borderId="17" xfId="2252" applyNumberFormat="1" applyFont="1" applyBorder="1" applyAlignment="1">
      <alignment horizontal="center"/>
    </xf>
    <xf numFmtId="0" fontId="0" fillId="0" borderId="17" xfId="2251" applyFont="1" applyBorder="1" applyAlignment="1">
      <alignment horizontal="center" vertical="center"/>
    </xf>
    <xf numFmtId="177" fontId="125" fillId="0" borderId="16" xfId="29" applyNumberFormat="1" applyFont="1" applyBorder="1" applyAlignment="1">
      <alignment vertical="center" wrapText="1"/>
    </xf>
    <xf numFmtId="177" fontId="125" fillId="0" borderId="16" xfId="29" applyNumberFormat="1" applyFont="1" applyBorder="1" applyAlignment="1">
      <alignment horizontal="right" vertical="center" wrapText="1"/>
    </xf>
    <xf numFmtId="0" fontId="80" fillId="0" borderId="16" xfId="0" applyFont="1" applyBorder="1" applyAlignment="1">
      <alignment vertical="center" wrapText="1"/>
    </xf>
    <xf numFmtId="168" fontId="125" fillId="0" borderId="16" xfId="0" applyNumberFormat="1" applyFont="1" applyBorder="1" applyAlignment="1">
      <alignment vertical="center" wrapText="1"/>
    </xf>
    <xf numFmtId="1" fontId="80" fillId="0" borderId="16" xfId="12" applyNumberFormat="1" applyFont="1" applyFill="1" applyBorder="1" applyAlignment="1">
      <alignment horizontal="center" vertical="center"/>
    </xf>
    <xf numFmtId="168" fontId="125" fillId="0" borderId="16" xfId="0" applyNumberFormat="1" applyFont="1" applyBorder="1" applyAlignment="1">
      <alignment horizontal="center" vertical="center" wrapText="1"/>
    </xf>
    <xf numFmtId="1" fontId="80" fillId="0" borderId="16" xfId="11" applyNumberFormat="1" applyFont="1" applyBorder="1" applyAlignment="1">
      <alignment horizontal="center" vertical="center"/>
    </xf>
    <xf numFmtId="1" fontId="15" fillId="0" borderId="17" xfId="5" applyNumberFormat="1" applyFont="1" applyBorder="1" applyAlignment="1">
      <alignment horizontal="center" vertical="center" wrapText="1"/>
    </xf>
    <xf numFmtId="0" fontId="17" fillId="3" borderId="20" xfId="0" applyFont="1" applyFill="1" applyBorder="1" applyAlignment="1">
      <alignment horizontal="left" vertical="center"/>
    </xf>
    <xf numFmtId="0" fontId="17" fillId="3" borderId="21" xfId="0" applyFont="1" applyFill="1" applyBorder="1" applyAlignment="1">
      <alignment horizontal="left" vertical="center"/>
    </xf>
    <xf numFmtId="0" fontId="17" fillId="3" borderId="22" xfId="0" applyFont="1" applyFill="1" applyBorder="1" applyAlignment="1">
      <alignment horizontal="left" vertical="center"/>
    </xf>
    <xf numFmtId="1" fontId="15" fillId="0" borderId="17" xfId="10" applyNumberFormat="1" applyFont="1" applyBorder="1" applyAlignment="1">
      <alignment horizontal="center" vertical="center" wrapText="1"/>
    </xf>
    <xf numFmtId="0" fontId="15" fillId="0" borderId="17" xfId="5" applyFont="1" applyBorder="1" applyAlignment="1">
      <alignment horizontal="center" vertical="center"/>
    </xf>
    <xf numFmtId="166" fontId="15" fillId="0" borderId="17" xfId="5" applyNumberFormat="1" applyFont="1" applyBorder="1" applyAlignment="1">
      <alignment horizontal="center" vertical="center"/>
    </xf>
    <xf numFmtId="168" fontId="17" fillId="3" borderId="25" xfId="0" applyNumberFormat="1" applyFont="1" applyFill="1" applyBorder="1" applyAlignment="1">
      <alignment horizontal="center" vertical="center"/>
    </xf>
    <xf numFmtId="168" fontId="17" fillId="3" borderId="26" xfId="0" applyNumberFormat="1" applyFont="1" applyFill="1" applyBorder="1" applyAlignment="1">
      <alignment horizontal="center" vertical="center"/>
    </xf>
    <xf numFmtId="168" fontId="17" fillId="3" borderId="27" xfId="0" applyNumberFormat="1" applyFont="1" applyFill="1" applyBorder="1" applyAlignment="1">
      <alignment horizontal="center" vertical="center"/>
    </xf>
    <xf numFmtId="0" fontId="115" fillId="3" borderId="20" xfId="0" applyFont="1" applyFill="1" applyBorder="1" applyAlignment="1">
      <alignment horizontal="right" vertical="center" wrapText="1"/>
    </xf>
    <xf numFmtId="0" fontId="115" fillId="3" borderId="22" xfId="0" applyFont="1" applyFill="1" applyBorder="1" applyAlignment="1">
      <alignment horizontal="right" vertical="center" wrapText="1"/>
    </xf>
    <xf numFmtId="43" fontId="94" fillId="30" borderId="20" xfId="29" applyFont="1" applyFill="1" applyBorder="1" applyAlignment="1">
      <alignment horizontal="center"/>
    </xf>
    <xf numFmtId="43" fontId="94" fillId="30" borderId="21" xfId="29" applyFont="1" applyFill="1" applyBorder="1" applyAlignment="1">
      <alignment horizontal="center"/>
    </xf>
    <xf numFmtId="43" fontId="94" fillId="30" borderId="22" xfId="29" applyFont="1" applyFill="1" applyBorder="1" applyAlignment="1">
      <alignment horizontal="center"/>
    </xf>
    <xf numFmtId="0" fontId="17" fillId="5" borderId="16" xfId="0" applyFont="1" applyFill="1" applyBorder="1" applyAlignment="1">
      <alignment horizontal="left" vertical="center" wrapText="1"/>
    </xf>
    <xf numFmtId="0" fontId="81" fillId="3" borderId="23" xfId="0" applyFont="1" applyFill="1" applyBorder="1" applyAlignment="1">
      <alignment horizontal="center" vertical="center" wrapText="1"/>
    </xf>
    <xf numFmtId="0" fontId="81" fillId="3" borderId="24" xfId="0" applyFont="1" applyFill="1" applyBorder="1" applyAlignment="1">
      <alignment horizontal="center" vertical="center" wrapText="1"/>
    </xf>
    <xf numFmtId="9" fontId="114" fillId="4" borderId="17" xfId="1" applyFont="1" applyFill="1" applyBorder="1" applyAlignment="1">
      <alignment horizontal="center"/>
    </xf>
    <xf numFmtId="1" fontId="114" fillId="4" borderId="17" xfId="11" applyNumberFormat="1" applyFont="1" applyFill="1" applyBorder="1" applyAlignment="1">
      <alignment horizontal="center"/>
    </xf>
    <xf numFmtId="0" fontId="17" fillId="5" borderId="17" xfId="0" applyFont="1" applyFill="1" applyBorder="1" applyAlignment="1">
      <alignment horizontal="left" vertical="center" wrapText="1"/>
    </xf>
    <xf numFmtId="0" fontId="82" fillId="26" borderId="17" xfId="11" applyFont="1" applyFill="1" applyBorder="1" applyAlignment="1">
      <alignment horizontal="center" vertical="center" wrapText="1"/>
    </xf>
    <xf numFmtId="0" fontId="109" fillId="3" borderId="20" xfId="0" applyFont="1" applyFill="1" applyBorder="1" applyAlignment="1">
      <alignment horizontal="center" vertical="center" wrapText="1"/>
    </xf>
    <xf numFmtId="0" fontId="109" fillId="3" borderId="22" xfId="0" applyFont="1" applyFill="1" applyBorder="1" applyAlignment="1">
      <alignment horizontal="center" vertical="center" wrapText="1"/>
    </xf>
    <xf numFmtId="0" fontId="112" fillId="3" borderId="20" xfId="0" applyFont="1" applyFill="1" applyBorder="1" applyAlignment="1">
      <alignment horizontal="right" vertical="center" wrapText="1"/>
    </xf>
    <xf numFmtId="0" fontId="112" fillId="3" borderId="22" xfId="0" applyFont="1" applyFill="1" applyBorder="1" applyAlignment="1">
      <alignment horizontal="right" vertical="center" wrapText="1"/>
    </xf>
    <xf numFmtId="0" fontId="96" fillId="5" borderId="17" xfId="0" applyFont="1" applyFill="1" applyBorder="1" applyAlignment="1">
      <alignment horizontal="left" vertical="center" wrapText="1"/>
    </xf>
    <xf numFmtId="9" fontId="82" fillId="26" borderId="17" xfId="1" applyFont="1" applyFill="1" applyBorder="1" applyAlignment="1">
      <alignment horizontal="center" vertical="center" wrapText="1"/>
    </xf>
    <xf numFmtId="1" fontId="15" fillId="34" borderId="28" xfId="2246" applyNumberFormat="1" applyFont="1" applyFill="1" applyBorder="1" applyAlignment="1">
      <alignment horizontal="center" vertical="center" wrapText="1"/>
    </xf>
    <xf numFmtId="1" fontId="15" fillId="34" borderId="29" xfId="2246" applyNumberFormat="1" applyFont="1" applyFill="1" applyBorder="1" applyAlignment="1">
      <alignment horizontal="center" vertical="center" wrapText="1"/>
    </xf>
    <xf numFmtId="1" fontId="15" fillId="34" borderId="30" xfId="2246" applyNumberFormat="1" applyFont="1" applyFill="1" applyBorder="1" applyAlignment="1">
      <alignment horizontal="center" vertical="center" wrapText="1"/>
    </xf>
    <xf numFmtId="0" fontId="15" fillId="34" borderId="28" xfId="5" applyFont="1" applyFill="1" applyBorder="1" applyAlignment="1">
      <alignment horizontal="center" vertical="center"/>
    </xf>
    <xf numFmtId="0" fontId="15" fillId="34" borderId="29" xfId="5" applyFont="1" applyFill="1" applyBorder="1" applyAlignment="1">
      <alignment horizontal="center" vertical="center"/>
    </xf>
    <xf numFmtId="0" fontId="15" fillId="34" borderId="30" xfId="5" applyFont="1" applyFill="1" applyBorder="1" applyAlignment="1">
      <alignment horizontal="center" vertical="center"/>
    </xf>
    <xf numFmtId="166" fontId="15" fillId="34" borderId="28" xfId="5" applyNumberFormat="1" applyFont="1" applyFill="1" applyBorder="1" applyAlignment="1">
      <alignment horizontal="center" vertical="center"/>
    </xf>
    <xf numFmtId="166" fontId="15" fillId="34" borderId="29" xfId="5" applyNumberFormat="1" applyFont="1" applyFill="1" applyBorder="1" applyAlignment="1">
      <alignment horizontal="center" vertical="center"/>
    </xf>
    <xf numFmtId="166" fontId="15" fillId="34" borderId="30" xfId="5" applyNumberFormat="1" applyFont="1" applyFill="1" applyBorder="1" applyAlignment="1">
      <alignment horizontal="center" vertical="center"/>
    </xf>
    <xf numFmtId="1" fontId="15" fillId="34" borderId="28" xfId="5" applyNumberFormat="1" applyFont="1" applyFill="1" applyBorder="1" applyAlignment="1">
      <alignment horizontal="center" vertical="center" wrapText="1"/>
    </xf>
    <xf numFmtId="1" fontId="15" fillId="34" borderId="29" xfId="5" applyNumberFormat="1" applyFont="1" applyFill="1" applyBorder="1" applyAlignment="1">
      <alignment horizontal="center" vertical="center" wrapText="1"/>
    </xf>
    <xf numFmtId="1" fontId="15" fillId="34" borderId="30" xfId="5" applyNumberFormat="1" applyFont="1" applyFill="1" applyBorder="1" applyAlignment="1">
      <alignment horizontal="center" vertical="center" wrapText="1"/>
    </xf>
    <xf numFmtId="1" fontId="15" fillId="34" borderId="17" xfId="2247" applyNumberFormat="1" applyFont="1" applyFill="1" applyBorder="1" applyAlignment="1">
      <alignment horizontal="center" vertical="center" wrapText="1"/>
    </xf>
    <xf numFmtId="0" fontId="15" fillId="34" borderId="17" xfId="5" applyFont="1" applyFill="1" applyBorder="1" applyAlignment="1">
      <alignment horizontal="center" vertical="center"/>
    </xf>
    <xf numFmtId="166" fontId="15" fillId="34" borderId="17" xfId="5" applyNumberFormat="1" applyFont="1" applyFill="1" applyBorder="1" applyAlignment="1">
      <alignment horizontal="center" vertical="center"/>
    </xf>
    <xf numFmtId="1" fontId="15" fillId="34" borderId="17" xfId="5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15" fillId="0" borderId="2" xfId="10" applyNumberFormat="1" applyFont="1" applyBorder="1" applyAlignment="1">
      <alignment horizontal="center" vertical="center" wrapText="1"/>
    </xf>
    <xf numFmtId="1" fontId="15" fillId="0" borderId="3" xfId="10" applyNumberFormat="1" applyFont="1" applyBorder="1" applyAlignment="1">
      <alignment horizontal="center" vertical="center" wrapText="1"/>
    </xf>
    <xf numFmtId="1" fontId="15" fillId="0" borderId="4" xfId="10" applyNumberFormat="1" applyFont="1" applyBorder="1" applyAlignment="1">
      <alignment horizontal="center" vertical="center" wrapText="1"/>
    </xf>
    <xf numFmtId="0" fontId="15" fillId="0" borderId="1" xfId="5" applyFont="1" applyBorder="1" applyAlignment="1">
      <alignment horizontal="center" vertical="center"/>
    </xf>
    <xf numFmtId="1" fontId="15" fillId="0" borderId="1" xfId="5" applyNumberFormat="1" applyFont="1" applyBorder="1" applyAlignment="1">
      <alignment horizontal="center" vertical="center"/>
    </xf>
    <xf numFmtId="1" fontId="15" fillId="0" borderId="1" xfId="10" applyNumberFormat="1" applyFont="1" applyBorder="1" applyAlignment="1">
      <alignment horizontal="center" vertical="center" wrapText="1"/>
    </xf>
  </cellXfs>
  <cellStyles count="2253">
    <cellStyle name="20% - Accent1 2" xfId="131" xr:uid="{E77A7B7E-39D2-4476-9E60-D8DD2C13B60E}"/>
    <cellStyle name="20% - Accent2 2" xfId="132" xr:uid="{C161A772-72C2-472E-8B34-FAC54B7F3D26}"/>
    <cellStyle name="20% - Accent3 2" xfId="133" xr:uid="{9E0A95A9-3E0A-4C69-81D3-1D08C5E8E1A6}"/>
    <cellStyle name="20% - Accent4 2" xfId="134" xr:uid="{5DD951BA-B70E-4D7A-BAD5-FF09BBC62562}"/>
    <cellStyle name="20% - Accent5 2" xfId="135" xr:uid="{13263A0C-8354-42CD-BD79-DD301C05BB39}"/>
    <cellStyle name="20% - Accent6 2" xfId="136" xr:uid="{5B6C8BC0-B6EF-4587-BCC7-3FBEE616F819}"/>
    <cellStyle name="40% - Accent1 2" xfId="137" xr:uid="{F141C727-F453-4EC2-BCB1-681696ECE973}"/>
    <cellStyle name="40% - Accent2 2" xfId="138" xr:uid="{9D2BFE45-4D68-4566-805C-311C22AC4960}"/>
    <cellStyle name="40% - Accent3 2" xfId="139" xr:uid="{91C370CB-B8DE-4658-931C-22D346B38E30}"/>
    <cellStyle name="40% - Accent4 2" xfId="140" xr:uid="{4312BC49-A7E2-4FC0-B4C7-83B4CBE07740}"/>
    <cellStyle name="40% - Accent5 2" xfId="141" xr:uid="{4625833C-AB81-45FD-93B3-24E7C2B2FC72}"/>
    <cellStyle name="40% - Accent6 2" xfId="142" xr:uid="{F26A6A1E-3A84-4D6B-94F6-4BA6AEBB3CA4}"/>
    <cellStyle name="60% - Accent1 2" xfId="143" xr:uid="{F9A127BB-18DC-4AC1-A81B-F4AF415006D5}"/>
    <cellStyle name="60% - Accent2 2" xfId="144" xr:uid="{81904FE3-3BA4-4D6D-8137-EDA537B253DB}"/>
    <cellStyle name="60% - Accent3 2" xfId="145" xr:uid="{D25FA6C7-4A03-4BCD-BB9C-389CC0E8D485}"/>
    <cellStyle name="60% - Accent4 2" xfId="146" xr:uid="{98D7E992-4CE1-43E4-96CD-7AA13D33D59F}"/>
    <cellStyle name="60% - Accent5 2" xfId="147" xr:uid="{41592914-01BD-4B47-BFF5-8A5055D396AA}"/>
    <cellStyle name="60% - Accent6 2" xfId="148" xr:uid="{D234BB9B-603F-4BEF-AAE9-15EEB2495C8A}"/>
    <cellStyle name="Accent1 2" xfId="149" xr:uid="{EA463E6D-381F-4FD6-A91A-4C7DA6794957}"/>
    <cellStyle name="Accent2 2" xfId="150" xr:uid="{941336BC-608A-465B-8EFD-36D0359440CB}"/>
    <cellStyle name="Accent3 2" xfId="151" xr:uid="{0796E57A-DCBD-4339-B10C-D42591E287B6}"/>
    <cellStyle name="Accent4 2" xfId="152" xr:uid="{C7783DDD-0129-470C-8371-FA23A33C76E5}"/>
    <cellStyle name="Accent5 2" xfId="153" xr:uid="{0F9EA247-1C6E-4DC8-B08C-9729A4D34E73}"/>
    <cellStyle name="Accent6 2" xfId="154" xr:uid="{4237D69E-8CED-4375-9ECA-15D0B64BCAE2}"/>
    <cellStyle name="Bad 2" xfId="155" xr:uid="{2607D9F8-0FC8-4775-8B5A-CA9D892866E6}"/>
    <cellStyle name="Body" xfId="7" xr:uid="{8BD00F65-BC2F-4259-B2DD-E432B0FE8C46}"/>
    <cellStyle name="Calculation 2" xfId="156" xr:uid="{C2284A10-643F-43A8-B01F-981D0F64CED8}"/>
    <cellStyle name="Check Cell 2" xfId="157" xr:uid="{0EFA1450-C0D6-44BF-A546-5801DEFCD087}"/>
    <cellStyle name="Comma" xfId="29" builtinId="3"/>
    <cellStyle name="Comma 10" xfId="12" xr:uid="{F392FF67-752B-43D9-80FF-80174D1F479D}"/>
    <cellStyle name="Comma 10 10" xfId="109" xr:uid="{07631A8F-3289-476B-ADF4-CD7493418B75}"/>
    <cellStyle name="Comma 10 16" xfId="34" xr:uid="{4EE8D8EC-EA1B-4323-890A-8F14EA0C3E4B}"/>
    <cellStyle name="Comma 10 2" xfId="2236" xr:uid="{C81EC633-0E31-40EE-A304-4E564046E2AA}"/>
    <cellStyle name="Comma 10 3" xfId="48" xr:uid="{FAB4B9C6-DC97-4107-A20D-1FBDE93CC0BB}"/>
    <cellStyle name="Comma 11" xfId="158" xr:uid="{90CB2B2D-C1DF-40FB-91EE-304009BF431B}"/>
    <cellStyle name="Comma 12 2" xfId="38" xr:uid="{74E3F105-378E-487C-B859-F91A4D801A39}"/>
    <cellStyle name="Comma 12 2 2 2" xfId="111" xr:uid="{08BD7E0F-47F4-463C-B6D6-DE2AF6EEA5F8}"/>
    <cellStyle name="Comma 13" xfId="47" xr:uid="{E03395E7-CB8B-4557-BF16-D9515DD56823}"/>
    <cellStyle name="Comma 14 2" xfId="51" xr:uid="{9146EAA9-0002-4871-A9EE-277119F70A4B}"/>
    <cellStyle name="Comma 14 4" xfId="53" xr:uid="{0CB22737-99A6-492C-B466-BEBD19B74832}"/>
    <cellStyle name="Comma 18 3" xfId="18" xr:uid="{00463C69-B77B-4AEA-B642-AB5895641A1C}"/>
    <cellStyle name="Comma 18 3 2" xfId="39" xr:uid="{62BBFE00-4CEC-4D41-847B-85A575E99CD8}"/>
    <cellStyle name="Comma 2" xfId="106" xr:uid="{4E407059-092F-4576-8F91-22FAEDCD4D14}"/>
    <cellStyle name="Comma 2 10" xfId="13" xr:uid="{A4304C71-594A-440B-8867-719272430082}"/>
    <cellStyle name="Comma 2 10 2" xfId="2237" xr:uid="{8F716994-5FA6-42E4-9CCE-B62F24D5EE50}"/>
    <cellStyle name="Comma 2 12" xfId="124" xr:uid="{CA9A01EE-94EA-485B-A68E-17FB7B7EC46F}"/>
    <cellStyle name="Comma 2 2" xfId="117" xr:uid="{776EEB82-7CC3-4F20-987D-4CB34141300E}"/>
    <cellStyle name="Comma 2 2 2" xfId="45" xr:uid="{C76986C0-CAA6-4F9E-A41E-AADADB2EBDC9}"/>
    <cellStyle name="Comma 2 2 2 2" xfId="161" xr:uid="{393435D1-1F4A-43F5-8E65-2F7AD87C9FD1}"/>
    <cellStyle name="Comma 2 2 2 3" xfId="64" xr:uid="{FED10D7D-2216-4FB3-8357-483592326C7D}"/>
    <cellStyle name="Comma 2 2 3" xfId="162" xr:uid="{CD002794-B56E-44E2-9852-F6599EBFAD38}"/>
    <cellStyle name="Comma 2 2 4" xfId="163" xr:uid="{C67E11B6-7C5F-42BA-BDFD-53B344937417}"/>
    <cellStyle name="Comma 2 2 5" xfId="160" xr:uid="{C28B3E66-8A61-4F92-8F14-E9BCF5B81AA4}"/>
    <cellStyle name="Comma 2 2 5 3" xfId="69" xr:uid="{5A3DC33B-58BD-46A6-B25C-96EEA6C4F018}"/>
    <cellStyle name="Comma 2 3" xfId="159" xr:uid="{97567CB7-5D4E-4A3E-8429-A902F1EAA355}"/>
    <cellStyle name="Comma 2 57" xfId="43" xr:uid="{F32C2D97-576E-4453-BA3F-A5D08D0A9B2E}"/>
    <cellStyle name="Comma 2 59" xfId="105" xr:uid="{E51E1487-CA71-4788-A5B9-EDBD537C0365}"/>
    <cellStyle name="Comma 2 8 2" xfId="72" xr:uid="{3DB08D2B-9866-41FA-A7C2-0B658ACE167D}"/>
    <cellStyle name="Comma 24 3" xfId="83" xr:uid="{9B5D8728-6139-4EAD-ABF0-C61AFD389DA7}"/>
    <cellStyle name="Comma 3" xfId="122" xr:uid="{140AD0CF-20FE-48D2-ADCF-1EA569DD9E0F}"/>
    <cellStyle name="Comma 3 2" xfId="164" xr:uid="{616BD9D7-6493-47DD-A1DE-DA4F60FF79BC}"/>
    <cellStyle name="Comma 31" xfId="110" xr:uid="{10DC9D30-8557-48F8-9A24-6DC0B856FCF7}"/>
    <cellStyle name="Comma 4" xfId="118" xr:uid="{B8BA09B1-49C6-46AB-9630-257583E890FF}"/>
    <cellStyle name="Comma 4 2" xfId="165" xr:uid="{A0CB31AB-4F68-4D65-8FEE-9CA74A8ABF0E}"/>
    <cellStyle name="Comma 42 4" xfId="103" xr:uid="{1850D50B-85B4-4BC6-BE9B-9F1BDBFDBFE9}"/>
    <cellStyle name="Comma 43 3" xfId="102" xr:uid="{2614A69B-65D6-4D8D-B4FA-7FB373952017}"/>
    <cellStyle name="Comma 45" xfId="36" xr:uid="{084DC5D9-7DFF-46C5-80F3-DB9FD6D4A74F}"/>
    <cellStyle name="Comma 46 2 2" xfId="54" xr:uid="{AFD18A35-D2ED-4296-A56D-A85C18AFB131}"/>
    <cellStyle name="Comma 46 2 2 2" xfId="58" xr:uid="{16423785-DBAB-48D8-9330-E845DDA70090}"/>
    <cellStyle name="Comma 47 2 2 2 2 2 2 2 2 2 2 2 2" xfId="42" xr:uid="{3E5FE762-146F-46E4-83D6-54BF0C27FA96}"/>
    <cellStyle name="Comma 48 3" xfId="101" xr:uid="{7E1A12B9-9987-4676-A62F-04132905F519}"/>
    <cellStyle name="Comma 5" xfId="126" xr:uid="{EDC0FF31-0B02-4D78-9929-2B4AFBF58FDD}"/>
    <cellStyle name="Comma 5 2" xfId="166" xr:uid="{9257D5B2-328E-4FD7-BC81-F8665133FBCD}"/>
    <cellStyle name="Comma 50" xfId="104" xr:uid="{4D1B3E3A-59C8-4C81-A1A1-101B1ECCFA96}"/>
    <cellStyle name="Comma 53 2" xfId="100" xr:uid="{C0BCCE83-3804-4D48-9D34-B89C9E89B613}"/>
    <cellStyle name="Comma 6" xfId="167" xr:uid="{E9327A31-580D-4F17-939E-AEF787DE5986}"/>
    <cellStyle name="Comma 68" xfId="98" xr:uid="{B4A9E309-70D7-4FCD-BA35-65D1BF95AE19}"/>
    <cellStyle name="Comma 7" xfId="2232" xr:uid="{8BACFDC8-BBF4-466F-8EE8-5079479943FF}"/>
    <cellStyle name="Comma 79" xfId="2228" xr:uid="{F5753261-50B0-41E9-83AC-88C665246208}"/>
    <cellStyle name="Comma 8" xfId="31" xr:uid="{AAC1D0F1-D7BC-4D34-BF45-831143E7E9D3}"/>
    <cellStyle name="Comma 8 3 4" xfId="80" xr:uid="{0136E7E7-0E24-4869-B43B-4FA4B940FCCE}"/>
    <cellStyle name="Comma 83" xfId="114" xr:uid="{B55FE22D-D6D3-4459-B076-67BBDBEC90FB}"/>
    <cellStyle name="Comma 9" xfId="2245" xr:uid="{0AC70EBF-7219-4150-BCB5-A919EDB781DD}"/>
    <cellStyle name="Excel Built-in Normal" xfId="8" xr:uid="{EBC68E2E-588D-4BC9-BD48-608313B44E7B}"/>
    <cellStyle name="Excel Built-in Normal 1" xfId="5" xr:uid="{8726DA9B-B15D-4903-83C9-B6D35CE4B326}"/>
    <cellStyle name="Excel Built-in Normal 1 2" xfId="169" xr:uid="{534D26C2-0089-4EC9-BD0D-FD81D93E48BE}"/>
    <cellStyle name="Excel Built-in Normal 1 5" xfId="65" xr:uid="{7CCA9E87-F6FA-4BE3-AE91-86B60B5BA0D5}"/>
    <cellStyle name="Excel Built-in Normal 10" xfId="75" xr:uid="{AA904709-8BAD-4858-83A7-2ABBB7E6A890}"/>
    <cellStyle name="Excel Built-in Normal 2" xfId="26" xr:uid="{29A60C3C-8826-45C2-AA9F-4A811F9C2416}"/>
    <cellStyle name="Excel Built-in Normal 2 2" xfId="171" xr:uid="{BEB6F621-DBD1-4149-A1A4-3748B33C816D}"/>
    <cellStyle name="Excel Built-in Normal 2 3" xfId="172" xr:uid="{465F4079-9EB8-40E7-85BC-2AEE3038F8E1}"/>
    <cellStyle name="Excel Built-in Normal 2 4" xfId="170" xr:uid="{78F53BC3-7AA3-45AC-9395-984801A0B704}"/>
    <cellStyle name="Excel Built-in Normal 3" xfId="130" xr:uid="{07AC68F4-7913-44B2-A18E-6F2C6D9E4ED0}"/>
    <cellStyle name="Excel Built-in Normal 3 2" xfId="173" xr:uid="{87C4B37E-4D46-40C4-B33B-421E1C5420B8}"/>
    <cellStyle name="Excel Built-in Normal 3 3" xfId="174" xr:uid="{1AFC3D80-2EEE-46E8-BDD3-FDB256B23D1C}"/>
    <cellStyle name="Excel Built-in Normal 3 4" xfId="84" xr:uid="{0DD38E02-40A1-44A2-BCE8-2742F7DF1BDB}"/>
    <cellStyle name="Excel Built-in Normal 3 5" xfId="79" xr:uid="{5C4BC00D-5F1F-44D3-BA17-59861875BAE3}"/>
    <cellStyle name="Excel Built-in Normal 3 6" xfId="87" xr:uid="{8492E178-EFDC-4777-97B6-1A3D053A1D6B}"/>
    <cellStyle name="Excel Built-in Normal 3 6 2" xfId="108" xr:uid="{2CEE7200-CCEF-4F19-9BC2-56BA2B444176}"/>
    <cellStyle name="Excel Built-in Normal 4" xfId="127" xr:uid="{B5CBEBD6-7621-419F-8256-78234A54F053}"/>
    <cellStyle name="Excel Built-in Normal 4 4" xfId="2233" xr:uid="{87941EF5-576B-4632-B94A-45D9882FEB39}"/>
    <cellStyle name="Excel Built-in Normal 5" xfId="175" xr:uid="{E0FE3CAF-EC75-401E-92BB-022428410209}"/>
    <cellStyle name="Excel Built-in Normal 6" xfId="176" xr:uid="{F212EBA7-174E-45F4-8728-35C2F36ED6EB}"/>
    <cellStyle name="Excel Built-in Normal 7" xfId="168" xr:uid="{323A4CA0-3CB7-48E7-A95C-376252103646}"/>
    <cellStyle name="Excel Built-in Normal_PnS" xfId="177" xr:uid="{59D09926-6EE3-4ACD-A08A-0E1E42FB5F61}"/>
    <cellStyle name="Explanatory Text 2" xfId="178" xr:uid="{FEA52A43-B162-45E3-9B4D-23D0D4BD4E93}"/>
    <cellStyle name="Good 2" xfId="179" xr:uid="{91A00DDD-85C7-445A-868C-72D3D23993AF}"/>
    <cellStyle name="Heading 1 2" xfId="180" xr:uid="{A3CA0D26-039F-4098-A577-E02D2C6E38A0}"/>
    <cellStyle name="Heading 2 2" xfId="181" xr:uid="{55A32EED-9068-44B5-8847-E7CA34B0495F}"/>
    <cellStyle name="Heading 3 2" xfId="182" xr:uid="{249CA158-CFA1-4E4C-A97E-70F56306EE61}"/>
    <cellStyle name="Heading 4 2" xfId="183" xr:uid="{0AF49E89-D87F-4D40-9420-4CB2B28349BA}"/>
    <cellStyle name="Input 2" xfId="184" xr:uid="{AF708F1D-C290-40FD-BF5D-83407AB4C93E}"/>
    <cellStyle name="Linked Cell 2" xfId="185" xr:uid="{E25BBB89-8B68-4A6A-8AFB-9D237243E7E8}"/>
    <cellStyle name="Neutral 2" xfId="186" xr:uid="{44F404B5-0963-4D8E-AC53-A5D65FC9B53B}"/>
    <cellStyle name="Normal" xfId="0" builtinId="0"/>
    <cellStyle name="Normal 1" xfId="37" xr:uid="{F9AC06E1-A9B1-46F7-87E9-35B9E03E09F8}"/>
    <cellStyle name="Normal 1 2" xfId="116" xr:uid="{C0790382-EA04-44CA-BFC5-DB3F340A8E07}"/>
    <cellStyle name="Normal 1 2 2" xfId="120" xr:uid="{5A1562CB-F18A-4A59-AB25-86FB061AB86A}"/>
    <cellStyle name="Normal 1 2 3" xfId="187" xr:uid="{647AAC59-DD96-425A-A99B-46F297F8A99E}"/>
    <cellStyle name="Normal 1 4" xfId="50" xr:uid="{D305D337-50F9-4F7D-B241-1B4D18835143}"/>
    <cellStyle name="Normal 10" xfId="119" xr:uid="{05D53FA4-D16F-488B-84AC-CA7160E54F1C}"/>
    <cellStyle name="Normal 10 2" xfId="189" xr:uid="{B4A34289-A14A-4013-87E4-6513AECE175D}"/>
    <cellStyle name="Normal 10 2 2" xfId="190" xr:uid="{E2CAA62E-6FA6-45B6-B249-585C67949E2A}"/>
    <cellStyle name="Normal 10 2 3" xfId="191" xr:uid="{5AE11F4D-8EAD-41BA-886C-6DF5C812179A}"/>
    <cellStyle name="Normal 10 2 4" xfId="192" xr:uid="{B67F38EB-B516-4B3F-9AE0-C1100F88AE17}"/>
    <cellStyle name="Normal 10 3" xfId="193" xr:uid="{7D05CBA7-A0A2-4D1A-A187-D77ACBB7787C}"/>
    <cellStyle name="Normal 10 3 2" xfId="194" xr:uid="{ABA3F1AA-7FE4-43F7-9D61-B6A19A76A0C3}"/>
    <cellStyle name="Normal 10 3 2 2" xfId="195" xr:uid="{75F6DAF1-0F14-458C-9F2C-47E2F21C8D3C}"/>
    <cellStyle name="Normal 10 3 2 3" xfId="196" xr:uid="{033B6559-8F4E-4635-8AEB-12F1AAA5B0C8}"/>
    <cellStyle name="Normal 10 3 2 4" xfId="197" xr:uid="{6F47C1C7-7AF5-4021-AA09-E50FDEAEFF20}"/>
    <cellStyle name="Normal 10 3 3" xfId="198" xr:uid="{8B98D39C-8ECC-433D-8E03-E86C34DB1F61}"/>
    <cellStyle name="Normal 10 3 4" xfId="199" xr:uid="{99E2BE37-2A73-4141-810F-609D16147F56}"/>
    <cellStyle name="Normal 10 3 5" xfId="200" xr:uid="{32D185AB-8470-4F04-B4BD-EE2D211C0117}"/>
    <cellStyle name="Normal 10 4" xfId="201" xr:uid="{0374EF90-F4CD-4634-A495-A65C7FB872B6}"/>
    <cellStyle name="Normal 10 5" xfId="202" xr:uid="{7E009C59-CB36-4269-816D-391662AE6A61}"/>
    <cellStyle name="Normal 10 6" xfId="203" xr:uid="{7A20CBF7-76A9-429E-8B2B-1EC640543412}"/>
    <cellStyle name="Normal 10 7" xfId="204" xr:uid="{B833E61B-F79A-4713-BB07-26A4E20F40B7}"/>
    <cellStyle name="Normal 10 8" xfId="188" xr:uid="{4574CC6D-A26C-4A68-A988-B687EE4E2C61}"/>
    <cellStyle name="Normal 11" xfId="205" xr:uid="{BB378882-8614-4191-B1D2-F557150B505B}"/>
    <cellStyle name="Normal 11 2" xfId="206" xr:uid="{16FBDC8B-210D-476C-81BC-75C196E80CAC}"/>
    <cellStyle name="Normal 11 2 2" xfId="207" xr:uid="{1A766960-494D-4E13-8A7B-526DE9065809}"/>
    <cellStyle name="Normal 11 2 3" xfId="208" xr:uid="{557B0C1C-85A5-4556-BF44-9D705809277C}"/>
    <cellStyle name="Normal 11 2 4" xfId="209" xr:uid="{C10EB532-4BDE-4D2E-A62F-0F056637A8AE}"/>
    <cellStyle name="Normal 11 3" xfId="210" xr:uid="{29B22400-0A4E-441A-B118-83234E5AA9DA}"/>
    <cellStyle name="Normal 11 3 2" xfId="211" xr:uid="{303D6012-F4BF-4985-A278-AE899CD2FE55}"/>
    <cellStyle name="Normal 11 3 2 2" xfId="212" xr:uid="{08B3ACC7-C172-4145-A1AE-5E9771E17C70}"/>
    <cellStyle name="Normal 11 3 2 3" xfId="213" xr:uid="{88BFD99B-FFDF-46AE-9969-3492BFD5C4F3}"/>
    <cellStyle name="Normal 11 3 2 4" xfId="214" xr:uid="{9FE9FBE6-BE70-49B8-91F1-6739D8EDDA9F}"/>
    <cellStyle name="Normal 11 3 3" xfId="215" xr:uid="{010CDC5E-8F9D-40CC-AC01-215E97848B29}"/>
    <cellStyle name="Normal 11 3 4" xfId="216" xr:uid="{31823C47-DEBF-4E83-8479-B93EE4C6C04F}"/>
    <cellStyle name="Normal 11 3 5" xfId="217" xr:uid="{BFB992A9-7E10-43E2-9A5E-5B671316EF84}"/>
    <cellStyle name="Normal 11 4" xfId="218" xr:uid="{72B83493-9D2C-41AC-8B5B-327286FA2DF3}"/>
    <cellStyle name="Normal 11 5" xfId="219" xr:uid="{4266E9EF-5476-4FC4-AFA4-D868B53DB30E}"/>
    <cellStyle name="Normal 11 6" xfId="220" xr:uid="{A6BC55E0-304A-49E0-95D7-05C3BE9B160E}"/>
    <cellStyle name="Normal 12" xfId="221" xr:uid="{09FD0CF7-844F-47CE-B915-BFC1C006C740}"/>
    <cellStyle name="Normal 12 2" xfId="17" xr:uid="{7194161D-5236-4E63-B425-0999737A008F}"/>
    <cellStyle name="Normal 12 2 2" xfId="71" xr:uid="{514BF8CB-7D48-4DBE-A483-392C08E3DAED}"/>
    <cellStyle name="Normal 13" xfId="222" xr:uid="{19E5E551-F531-4360-9306-86F39545520A}"/>
    <cellStyle name="Normal 13 2" xfId="223" xr:uid="{A23C82D2-53F6-4DCD-8AAA-433279EA8C8B}"/>
    <cellStyle name="Normal 13 2 2" xfId="224" xr:uid="{AD07F59E-84DE-40C6-A3D6-F9681F91637B}"/>
    <cellStyle name="Normal 13 2 3" xfId="225" xr:uid="{FBA9ED98-1BD4-421A-B377-CE956500D2E1}"/>
    <cellStyle name="Normal 13 2 4" xfId="226" xr:uid="{1974674D-7338-4CC7-91E9-5A5F62A95027}"/>
    <cellStyle name="Normal 13 3" xfId="227" xr:uid="{7EF22FF9-C678-4B79-888B-A2C7FBEF42BC}"/>
    <cellStyle name="Normal 13 3 2" xfId="228" xr:uid="{8FAEEAFD-5B03-4010-ADF1-09E63806F4B1}"/>
    <cellStyle name="Normal 13 3 2 2" xfId="229" xr:uid="{458D7CD5-E187-4A5E-8277-7B5E9728492E}"/>
    <cellStyle name="Normal 13 3 2 3" xfId="230" xr:uid="{E10B17D1-0ADC-4F49-A414-5A12B18B840C}"/>
    <cellStyle name="Normal 13 3 2 4" xfId="231" xr:uid="{2EB4A98A-BE4B-4D5A-ACF8-FE8CC1158720}"/>
    <cellStyle name="Normal 13 3 3" xfId="232" xr:uid="{4F96876A-FC94-4585-8F82-5F433C1845F5}"/>
    <cellStyle name="Normal 13 3 4" xfId="233" xr:uid="{031B1D46-D44D-42A4-A196-57DB4E761A09}"/>
    <cellStyle name="Normal 13 3 5" xfId="234" xr:uid="{4E23278E-C443-4032-97AE-6631412D9803}"/>
    <cellStyle name="Normal 13 4" xfId="235" xr:uid="{4E2CD023-E14F-411B-8518-3DB8FF2C857E}"/>
    <cellStyle name="Normal 13 5" xfId="236" xr:uid="{C701442D-85BD-4E77-9B02-6FDC4CCC46A2}"/>
    <cellStyle name="Normal 13 6" xfId="237" xr:uid="{C343B149-4F90-40AC-AC27-6CD08EDA53C1}"/>
    <cellStyle name="Normal 14" xfId="238" xr:uid="{6FF74179-DB81-428E-B974-170A0E376EE1}"/>
    <cellStyle name="Normal 14 2" xfId="239" xr:uid="{123B86C5-8D19-4987-8F7B-249B33B95B0C}"/>
    <cellStyle name="Normal 14 2 2" xfId="240" xr:uid="{6BC514D7-DAF9-4420-AB58-4A9E08305E0C}"/>
    <cellStyle name="Normal 14 2 3" xfId="241" xr:uid="{2052C23D-A1F6-4482-8BEF-CED626D1FAD5}"/>
    <cellStyle name="Normal 14 2 4" xfId="242" xr:uid="{C1CFF73B-CA51-400F-9C14-5393EF9F3B82}"/>
    <cellStyle name="Normal 14 3" xfId="243" xr:uid="{580433C0-0E3B-4557-809E-D2F411015116}"/>
    <cellStyle name="Normal 14 3 2" xfId="244" xr:uid="{99FCE12F-727C-4B92-87FF-B0B04648169C}"/>
    <cellStyle name="Normal 14 3 2 2" xfId="245" xr:uid="{D6458B2A-0B81-4E95-8A0C-97CDCA3F2B67}"/>
    <cellStyle name="Normal 14 3 2 3" xfId="246" xr:uid="{77CC8AF6-D776-4BAA-90F1-BF74AEE0D75B}"/>
    <cellStyle name="Normal 14 3 2 4" xfId="247" xr:uid="{816E78C0-CBFB-4721-B34A-D8DAE1B46745}"/>
    <cellStyle name="Normal 14 3 3" xfId="248" xr:uid="{BF313F98-8585-496E-BF6E-73ECF0ADAB29}"/>
    <cellStyle name="Normal 14 3 4" xfId="249" xr:uid="{C6BD8361-269D-43CC-B784-201E4504F02D}"/>
    <cellStyle name="Normal 14 3 5" xfId="250" xr:uid="{BEDA8C32-DE58-4E5A-A459-F6979969B9DF}"/>
    <cellStyle name="Normal 14 4" xfId="251" xr:uid="{D7001E2E-7FBD-4056-96A9-B03E08CE2013}"/>
    <cellStyle name="Normal 14 5" xfId="252" xr:uid="{D3E9E729-7663-4019-A2DC-F964FDD69DCF}"/>
    <cellStyle name="Normal 14 6" xfId="253" xr:uid="{07CCEB2B-4D6C-462B-85E0-670C95E35128}"/>
    <cellStyle name="Normal 15" xfId="254" xr:uid="{DF05B59F-B14E-4042-AB68-AA41A592EDE4}"/>
    <cellStyle name="Normal 15 2" xfId="255" xr:uid="{C920C6A1-89FE-4A4B-BC9B-0CB93D53ADBA}"/>
    <cellStyle name="Normal 15 2 2" xfId="256" xr:uid="{A083FEBF-9C29-4758-A482-123094D48AFA}"/>
    <cellStyle name="Normal 15 2 3" xfId="257" xr:uid="{381A09F2-ACDC-49F0-8FA4-7784BD13F222}"/>
    <cellStyle name="Normal 15 2 4" xfId="258" xr:uid="{206EC204-05DF-4294-8596-92E25FB5A2C9}"/>
    <cellStyle name="Normal 15 3" xfId="259" xr:uid="{C62DE315-4C29-45AC-86DD-CF6195FD058A}"/>
    <cellStyle name="Normal 15 3 2" xfId="260" xr:uid="{93144A14-6C56-4810-B946-615DFE8F5B12}"/>
    <cellStyle name="Normal 15 3 2 2" xfId="261" xr:uid="{A518D1EC-3B95-4FD5-9ACA-5F028061C280}"/>
    <cellStyle name="Normal 15 3 2 3" xfId="262" xr:uid="{74E6CD9C-6D82-4A82-B8DF-C225C20E10FB}"/>
    <cellStyle name="Normal 15 3 2 4" xfId="263" xr:uid="{373EC425-784C-4D41-9574-B6B2635CDDD7}"/>
    <cellStyle name="Normal 15 3 3" xfId="264" xr:uid="{E155F71D-1560-468F-A4FF-49F7D62B30FD}"/>
    <cellStyle name="Normal 15 3 4" xfId="265" xr:uid="{5DDE0FD9-8214-45EF-842C-B9D6A38F9E9E}"/>
    <cellStyle name="Normal 15 3 5" xfId="266" xr:uid="{3FB5D5D1-5F30-4B92-8B2C-2A41C0F46828}"/>
    <cellStyle name="Normal 15 4" xfId="267" xr:uid="{7D5CB2B9-9EDF-4BE8-AF91-B4679487299C}"/>
    <cellStyle name="Normal 15 5" xfId="268" xr:uid="{23C7170C-FC09-4E43-AB16-5F2F74B757A8}"/>
    <cellStyle name="Normal 15 6" xfId="269" xr:uid="{2497BE6F-2754-46BE-B70F-BE4060A0DA36}"/>
    <cellStyle name="Normal 15 7" xfId="270" xr:uid="{82B50BD6-6BF9-498E-956E-1FADA1F7286C}"/>
    <cellStyle name="Normal 159" xfId="44" xr:uid="{99FD0A18-42D6-4541-B9FB-18B8F93504D0}"/>
    <cellStyle name="Normal 16" xfId="271" xr:uid="{584ED542-7D91-427B-9D3C-5FB852CD49A3}"/>
    <cellStyle name="Normal 16 2" xfId="272" xr:uid="{2A546EE1-20F3-4784-8BA4-B0A231C04954}"/>
    <cellStyle name="Normal 162" xfId="95" xr:uid="{F31A07A6-9990-48DF-BD20-CE5C726CC75F}"/>
    <cellStyle name="Normal 163" xfId="89" xr:uid="{C7F1F16A-C74D-42D0-BB4A-4DBE6C4E8318}"/>
    <cellStyle name="Normal 164" xfId="90" xr:uid="{105A6196-D8AC-4441-B7A9-D4B73A881358}"/>
    <cellStyle name="Normal 165" xfId="91" xr:uid="{B2B23F3B-EB9D-4D91-AEDC-FCCADA8648FB}"/>
    <cellStyle name="Normal 166" xfId="88" xr:uid="{CFD7F98F-B4E9-48EC-A688-CE6085E39163}"/>
    <cellStyle name="Normal 167" xfId="93" xr:uid="{8ADC5F8E-483C-4416-9D02-62BA52B4D5AB}"/>
    <cellStyle name="Normal 168" xfId="94" xr:uid="{8601603F-45BD-4974-A7B1-A1EED88736F7}"/>
    <cellStyle name="Normal 17" xfId="273" xr:uid="{C8BA5DE2-9DB5-4C0B-AA18-B5F0D74C384D}"/>
    <cellStyle name="Normal 17 2" xfId="274" xr:uid="{50F43EBB-A1E8-43CE-8675-21084AE291E8}"/>
    <cellStyle name="Normal 17 2 2" xfId="275" xr:uid="{0AD1CE4C-BC82-463B-B26A-B5289EF337CF}"/>
    <cellStyle name="Normal 17 2 3" xfId="276" xr:uid="{A0899895-20DE-498B-9325-BCBBD1EEFB40}"/>
    <cellStyle name="Normal 17 2 4" xfId="277" xr:uid="{EA062902-0B87-4DA2-ACC6-5BFC23C7653A}"/>
    <cellStyle name="Normal 17 3" xfId="278" xr:uid="{DAB13EC0-2D13-4614-959A-ECEEA7F56E3E}"/>
    <cellStyle name="Normal 17 3 2" xfId="279" xr:uid="{B376BEAC-A533-49F8-89FA-FF3E9667CF06}"/>
    <cellStyle name="Normal 17 3 2 2" xfId="280" xr:uid="{4C408BE8-64C8-4F1A-AAD9-8F5E22250705}"/>
    <cellStyle name="Normal 17 3 2 3" xfId="281" xr:uid="{577B040D-F5C4-4E52-9C14-7A40F209FA7E}"/>
    <cellStyle name="Normal 17 3 2 4" xfId="282" xr:uid="{F611197B-A024-41A5-9B3A-E27300CC6553}"/>
    <cellStyle name="Normal 17 3 3" xfId="283" xr:uid="{705E5BF6-FDD0-48C0-B9CC-628EA3B1C54F}"/>
    <cellStyle name="Normal 17 3 4" xfId="284" xr:uid="{95727AB0-70A4-46F6-82B2-28C2276C7ED5}"/>
    <cellStyle name="Normal 17 3 5" xfId="285" xr:uid="{52758065-7C34-4ADD-82CA-F83139FE99DD}"/>
    <cellStyle name="Normal 17 4" xfId="286" xr:uid="{7DFBC277-3C73-4902-8E27-5708066E32C3}"/>
    <cellStyle name="Normal 17 5" xfId="287" xr:uid="{A550CE4E-381C-44CA-BA58-707E476A54A9}"/>
    <cellStyle name="Normal 17 6" xfId="288" xr:uid="{7E30B0E5-9A62-4883-97C0-5FE731C74877}"/>
    <cellStyle name="Normal 170" xfId="92" xr:uid="{3323153E-21A1-4BB1-95BB-4308CCB93FF7}"/>
    <cellStyle name="Normal 170 2 2" xfId="22" xr:uid="{23248842-2710-46DE-9499-FB558E7400DE}"/>
    <cellStyle name="Normal 175" xfId="96" xr:uid="{868900A2-B32D-4F3B-B76C-4D90AA74B5D0}"/>
    <cellStyle name="Normal 18" xfId="289" xr:uid="{16983344-41A1-4F87-8C5D-A9738AB6EEF5}"/>
    <cellStyle name="Normal 18 2" xfId="290" xr:uid="{DCE809DD-B02F-47C5-AF75-4B3126EAD427}"/>
    <cellStyle name="Normal 18 2 2" xfId="291" xr:uid="{2C5E0051-F256-4527-9880-46403004A1C0}"/>
    <cellStyle name="Normal 18 2 3" xfId="292" xr:uid="{F8A8B1B1-F1B4-4F33-A580-68D8C43970B8}"/>
    <cellStyle name="Normal 18 2 4" xfId="293" xr:uid="{6A1566D6-1E90-4DBE-A27C-ADAE10836718}"/>
    <cellStyle name="Normal 18 3" xfId="294" xr:uid="{2DBAC4D2-B2B1-42A4-97F4-28F71A418625}"/>
    <cellStyle name="Normal 18 3 2" xfId="295" xr:uid="{E8F6107B-5130-4371-B31C-CF1B9A8778B2}"/>
    <cellStyle name="Normal 18 3 2 2" xfId="296" xr:uid="{B0EC317A-B942-4668-9ED2-6C4CF420E214}"/>
    <cellStyle name="Normal 18 3 2 3" xfId="297" xr:uid="{FB2F20E3-A371-4490-98CB-B42DDAAAB65D}"/>
    <cellStyle name="Normal 18 3 2 4" xfId="298" xr:uid="{1F798A76-BE9F-46C4-9396-DA9232E156C4}"/>
    <cellStyle name="Normal 18 3 3" xfId="299" xr:uid="{23746ED4-3499-4BCC-9C35-EE556317EDC1}"/>
    <cellStyle name="Normal 18 3 4" xfId="300" xr:uid="{863DE3D6-7632-4389-9028-B653CE53A528}"/>
    <cellStyle name="Normal 18 3 5" xfId="301" xr:uid="{7B3F92EF-BDD5-40FC-940B-A3D29D761A24}"/>
    <cellStyle name="Normal 18 4" xfId="302" xr:uid="{04B5B59A-83AA-41E8-8E83-DAE3C0CE15C7}"/>
    <cellStyle name="Normal 18 5" xfId="303" xr:uid="{839A8D19-4222-4DC7-B983-1F2214747048}"/>
    <cellStyle name="Normal 18 6" xfId="304" xr:uid="{D5E1D93A-1CF1-4495-AAB9-E7285F401096}"/>
    <cellStyle name="Normal 188" xfId="2227" xr:uid="{CB5D4D1E-CF3B-4C12-AFCF-5B1E878F16E4}"/>
    <cellStyle name="Normal 19" xfId="305" xr:uid="{1EEFB830-7CEC-4360-98CB-BF0042A5B4AD}"/>
    <cellStyle name="Normal 192" xfId="113" xr:uid="{774D74EF-AB04-4FB6-897D-295E7CDB8D67}"/>
    <cellStyle name="Normal 193" xfId="2229" xr:uid="{FF9E6D89-611A-455E-A0E0-AC8A1DE8DB93}"/>
    <cellStyle name="Normal 2" xfId="3" xr:uid="{96E25A51-311B-40BB-9322-D96AD2912042}"/>
    <cellStyle name="Normal 2 10" xfId="307" xr:uid="{DFB620B7-D0AE-42D9-AA37-8F621CBBF8A0}"/>
    <cellStyle name="Normal 2 10 2" xfId="308" xr:uid="{5FB1B96E-8A8B-48F7-9DE7-D2B90E0AB1C2}"/>
    <cellStyle name="Normal 2 10 3" xfId="309" xr:uid="{64DB9A44-57FF-4659-8D2C-E765817A9605}"/>
    <cellStyle name="Normal 2 10 4" xfId="310" xr:uid="{7F6ED112-2749-449C-813C-3968915C6291}"/>
    <cellStyle name="Normal 2 11" xfId="311" xr:uid="{0C8127B3-4BE6-426E-AF88-0B8DEA86F4C1}"/>
    <cellStyle name="Normal 2 11 2" xfId="312" xr:uid="{76B86712-A72E-4E8E-B791-28332C3C272D}"/>
    <cellStyle name="Normal 2 11 3" xfId="313" xr:uid="{9B497F05-A0F4-4B2E-A7DE-70462F2135A2}"/>
    <cellStyle name="Normal 2 11 4" xfId="314" xr:uid="{7755837D-1DE2-4BC1-9C7A-25C81B476E40}"/>
    <cellStyle name="Normal 2 12" xfId="315" xr:uid="{CC458EB9-555D-4992-92EA-94CF36030633}"/>
    <cellStyle name="Normal 2 12 2" xfId="316" xr:uid="{9C9F51DA-CFA3-4CCB-8BD1-F17554901403}"/>
    <cellStyle name="Normal 2 12 3" xfId="317" xr:uid="{68CD10EC-C89F-4C29-89F0-713338875B40}"/>
    <cellStyle name="Normal 2 12 4" xfId="318" xr:uid="{F1693377-DBF0-425A-A8DF-B4663BEEE289}"/>
    <cellStyle name="Normal 2 13" xfId="319" xr:uid="{7CA97E92-7341-4ABB-BE12-E739E975E026}"/>
    <cellStyle name="Normal 2 13 2" xfId="320" xr:uid="{B306DC49-D0E6-4F11-A67F-0A1CA2098CF1}"/>
    <cellStyle name="Normal 2 13 3" xfId="321" xr:uid="{4A5949AB-4125-464A-B4F8-281DA2A6226E}"/>
    <cellStyle name="Normal 2 13 4" xfId="322" xr:uid="{2A624B4B-6BDC-426D-9FD9-02451A45F9AB}"/>
    <cellStyle name="Normal 2 139" xfId="62" xr:uid="{C8B00ED5-DDE9-4B96-9AF5-FDD67C59A0E3}"/>
    <cellStyle name="Normal 2 14" xfId="323" xr:uid="{B7D2907A-1458-4175-B6BB-53AD848FB2D4}"/>
    <cellStyle name="Normal 2 14 2" xfId="324" xr:uid="{2CA799BA-DEED-4559-A00A-9A53E8BA962A}"/>
    <cellStyle name="Normal 2 14 3" xfId="325" xr:uid="{2CC38382-DBBF-47F2-A125-EF2684E4BC2A}"/>
    <cellStyle name="Normal 2 14 4" xfId="326" xr:uid="{D6377054-9169-49CE-A4D6-500AB31F8106}"/>
    <cellStyle name="Normal 2 15" xfId="327" xr:uid="{B58FC9DC-6D10-42E7-8CEA-A6B562B8C561}"/>
    <cellStyle name="Normal 2 15 2" xfId="328" xr:uid="{823AEF19-55BB-4DF4-98A3-EE2BED66437E}"/>
    <cellStyle name="Normal 2 15 3" xfId="329" xr:uid="{60DB1B38-DF9F-4EBA-A6CB-2514E4399FEB}"/>
    <cellStyle name="Normal 2 15 4" xfId="330" xr:uid="{F2987B97-BC43-4E8F-96B9-ECCACDDD5757}"/>
    <cellStyle name="Normal 2 16" xfId="331" xr:uid="{23955220-D51B-4EF4-B7C9-07F742DC3D6F}"/>
    <cellStyle name="Normal 2 16 2" xfId="332" xr:uid="{0E785480-72D6-46A4-AE78-BD41D94F4712}"/>
    <cellStyle name="Normal 2 16 3" xfId="333" xr:uid="{F0BE2172-7079-4970-A83D-60D07BC5861B}"/>
    <cellStyle name="Normal 2 16 4" xfId="334" xr:uid="{1DED3F9B-AFFC-429D-98C7-2D8F308FCBBB}"/>
    <cellStyle name="Normal 2 17" xfId="335" xr:uid="{ADD2039C-2278-454A-A9E2-07B5AB321AC0}"/>
    <cellStyle name="Normal 2 17 2" xfId="336" xr:uid="{A05E4D7E-0F90-4F02-BFF4-362C576187FA}"/>
    <cellStyle name="Normal 2 17 3" xfId="337" xr:uid="{903C3D3F-5058-4B09-801C-B471D342A611}"/>
    <cellStyle name="Normal 2 17 4" xfId="338" xr:uid="{F242F439-0B92-4D52-94E0-0526EA883CA0}"/>
    <cellStyle name="Normal 2 18" xfId="339" xr:uid="{BE674E09-15BA-4357-8088-69DAE6DCAD9D}"/>
    <cellStyle name="Normal 2 18 2" xfId="340" xr:uid="{0562473F-545E-43F1-87DB-B2FC33392A9C}"/>
    <cellStyle name="Normal 2 18 3" xfId="341" xr:uid="{0FD3EE9B-2814-4C0E-899E-20B6107C37E2}"/>
    <cellStyle name="Normal 2 18 4" xfId="342" xr:uid="{EBE3907E-764F-4644-B889-0F01B4624121}"/>
    <cellStyle name="Normal 2 19" xfId="343" xr:uid="{1FF098BE-1BFA-43A5-96BF-31B09945257A}"/>
    <cellStyle name="Normal 2 19 2" xfId="344" xr:uid="{0E26AD1B-7775-4206-B35E-CDFA6459ED4F}"/>
    <cellStyle name="Normal 2 19 3" xfId="345" xr:uid="{6193E102-2F64-43B8-9009-88332CF1F0E9}"/>
    <cellStyle name="Normal 2 19 4" xfId="346" xr:uid="{404249BA-B3F3-42A6-A74B-75FFE67B4E9C}"/>
    <cellStyle name="Normal 2 2" xfId="41" xr:uid="{377F09A5-1FE6-4E99-AD12-11A856D12E2C}"/>
    <cellStyle name="Normal 2 2 10" xfId="347" xr:uid="{6FFFAB6D-613A-438E-8758-4EC258E0EA68}"/>
    <cellStyle name="Normal 2 2 10 2" xfId="348" xr:uid="{00341DE2-D31D-4FA8-92D4-E560712037F4}"/>
    <cellStyle name="Normal 2 2 10 3" xfId="349" xr:uid="{8726A0CD-CD7F-44C7-9902-8452055347FE}"/>
    <cellStyle name="Normal 2 2 10 4" xfId="350" xr:uid="{60802D92-A30A-4613-BCA4-ED1DF26E1AF6}"/>
    <cellStyle name="Normal 2 2 11" xfId="351" xr:uid="{32727035-D250-4DE1-850F-50320A7B7055}"/>
    <cellStyle name="Normal 2 2 11 2" xfId="352" xr:uid="{C8F6686A-5A52-4717-9DB5-C72B3866CB60}"/>
    <cellStyle name="Normal 2 2 11 3" xfId="353" xr:uid="{491D61E5-26A3-4534-AE25-4127189B9A61}"/>
    <cellStyle name="Normal 2 2 11 4" xfId="354" xr:uid="{97B131DE-2656-42C3-A9B5-687B6EA0E73F}"/>
    <cellStyle name="Normal 2 2 12" xfId="355" xr:uid="{36EA0426-13AC-44FA-94ED-2387D7619BD1}"/>
    <cellStyle name="Normal 2 2 12 2" xfId="356" xr:uid="{01118344-3927-4C18-BF84-8214E03EC8E2}"/>
    <cellStyle name="Normal 2 2 12 3" xfId="357" xr:uid="{B61A012A-EC15-4E9D-9F27-DDD3E452091B}"/>
    <cellStyle name="Normal 2 2 12 4" xfId="358" xr:uid="{D9D1A673-1E2D-45DA-A519-1C1F379683C7}"/>
    <cellStyle name="Normal 2 2 13" xfId="359" xr:uid="{E1AF2BA6-51FE-4838-BF97-E3205A99724E}"/>
    <cellStyle name="Normal 2 2 13 2" xfId="360" xr:uid="{5A7B9C17-D2D9-4085-9AA2-186C19C892BE}"/>
    <cellStyle name="Normal 2 2 13 3" xfId="361" xr:uid="{E0BC85D8-630B-4DE8-9365-CEE90DFAD841}"/>
    <cellStyle name="Normal 2 2 13 4" xfId="362" xr:uid="{3EB5260E-20CC-40A1-9F02-081AF5B5B2BA}"/>
    <cellStyle name="Normal 2 2 14" xfId="363" xr:uid="{FB75BD79-4FDA-4BC1-A170-7C76630167AB}"/>
    <cellStyle name="Normal 2 2 14 2" xfId="364" xr:uid="{D6BA1AF6-DB26-433B-B334-FBD6AEFF63FE}"/>
    <cellStyle name="Normal 2 2 14 3" xfId="365" xr:uid="{8CF34425-6088-4335-A674-64417CD48545}"/>
    <cellStyle name="Normal 2 2 14 4" xfId="366" xr:uid="{A306F421-E84E-484C-A5E6-C033AA5B5512}"/>
    <cellStyle name="Normal 2 2 15" xfId="367" xr:uid="{756C4C6B-CFC3-44AE-84B0-3866D0F489F2}"/>
    <cellStyle name="Normal 2 2 15 2" xfId="368" xr:uid="{B4E46FFC-14B7-48D7-BDBC-80E11CF2D083}"/>
    <cellStyle name="Normal 2 2 15 3" xfId="369" xr:uid="{4167F830-FEAE-49F0-AADA-9FECB564D769}"/>
    <cellStyle name="Normal 2 2 15 4" xfId="370" xr:uid="{BBAB64C3-7092-4032-89A7-A398AAE4A7BB}"/>
    <cellStyle name="Normal 2 2 16" xfId="371" xr:uid="{60098790-96B7-43EF-821D-61C43F7DEC61}"/>
    <cellStyle name="Normal 2 2 16 2" xfId="372" xr:uid="{89C24347-68FC-484E-B42E-E70A2B63DDC4}"/>
    <cellStyle name="Normal 2 2 16 3" xfId="373" xr:uid="{8413C4F9-06AF-4EBF-B68B-C866219F584E}"/>
    <cellStyle name="Normal 2 2 16 4" xfId="374" xr:uid="{3BAA1460-8483-4037-9EC9-B3D5A936C3F4}"/>
    <cellStyle name="Normal 2 2 17" xfId="375" xr:uid="{50A6A9AE-ACFB-4E29-91AF-720AA9F85FA6}"/>
    <cellStyle name="Normal 2 2 17 2" xfId="376" xr:uid="{DCD72015-17F5-4B77-86D6-95F04EFF0AA6}"/>
    <cellStyle name="Normal 2 2 17 3" xfId="377" xr:uid="{F4FC193C-3C97-41B6-A9B6-57B2A12DE728}"/>
    <cellStyle name="Normal 2 2 17 4" xfId="378" xr:uid="{73B1CCF5-EACF-4018-825D-76727DB3EFF5}"/>
    <cellStyle name="Normal 2 2 18" xfId="379" xr:uid="{93997FF8-D686-4452-B98C-F26D8ABBCD0F}"/>
    <cellStyle name="Normal 2 2 18 2" xfId="380" xr:uid="{83FA7A25-032F-49F3-875C-F2DDD44935F4}"/>
    <cellStyle name="Normal 2 2 18 3" xfId="381" xr:uid="{8FB17F70-F135-45B6-80D8-025DE27E2864}"/>
    <cellStyle name="Normal 2 2 18 4" xfId="382" xr:uid="{8EF738D7-5FDD-4D62-8B0B-DD433FC38EF5}"/>
    <cellStyle name="Normal 2 2 19" xfId="383" xr:uid="{AFD4F9F4-4C61-4C3F-93AD-7FE4193EBFB0}"/>
    <cellStyle name="Normal 2 2 19 2" xfId="384" xr:uid="{795A4FC1-1F73-4936-9DA0-12F2251F9FB1}"/>
    <cellStyle name="Normal 2 2 19 3" xfId="385" xr:uid="{1A552EB6-C4B7-4E72-AA9A-80B8A0283AFD}"/>
    <cellStyle name="Normal 2 2 19 4" xfId="386" xr:uid="{24807336-1EE3-4C9D-882D-4017C40A8262}"/>
    <cellStyle name="Normal 2 2 2" xfId="387" xr:uid="{483B20B8-E263-49C7-A701-CCA090C14BDD}"/>
    <cellStyle name="Normal 2 2 2 2" xfId="388" xr:uid="{C4250E13-0C05-4EF7-BAB9-DDF007A182E9}"/>
    <cellStyle name="Normal 2 2 2 3" xfId="389" xr:uid="{876C2263-E34A-41E5-837B-A5B52E00876B}"/>
    <cellStyle name="Normal 2 2 2 4" xfId="390" xr:uid="{6FC121B4-76B5-4E0D-8559-DE17F8A996B8}"/>
    <cellStyle name="Normal 2 2 20" xfId="391" xr:uid="{2ACE2A2F-7488-48D0-BEE3-257C12D263E2}"/>
    <cellStyle name="Normal 2 2 20 2" xfId="392" xr:uid="{DF978579-DF6F-4B9C-9ECA-55C93671B3DA}"/>
    <cellStyle name="Normal 2 2 20 3" xfId="393" xr:uid="{CFBB8431-C41C-4EFA-9C80-2756777811C4}"/>
    <cellStyle name="Normal 2 2 20 4" xfId="394" xr:uid="{32746ACE-2A07-4FB8-8F2A-E7974687AED6}"/>
    <cellStyle name="Normal 2 2 21" xfId="395" xr:uid="{28AD3FEC-D383-4FF4-8A66-D1380122FE17}"/>
    <cellStyle name="Normal 2 2 21 2" xfId="396" xr:uid="{8154AF91-B92D-4D7D-9BF4-86627E985D0A}"/>
    <cellStyle name="Normal 2 2 21 3" xfId="397" xr:uid="{11555764-62BB-451A-8142-446A7CA25A07}"/>
    <cellStyle name="Normal 2 2 21 4" xfId="398" xr:uid="{693CA0B4-F8F2-4AC5-9CA2-4C7F31DA22C4}"/>
    <cellStyle name="Normal 2 2 22" xfId="399" xr:uid="{0BBDA9C3-9A86-4F4C-8E78-806A3EAFFFCF}"/>
    <cellStyle name="Normal 2 2 22 2" xfId="400" xr:uid="{AF11373A-096D-4466-8204-C17E8D4E469B}"/>
    <cellStyle name="Normal 2 2 22 3" xfId="401" xr:uid="{B003DE39-6EA3-4370-A76A-45868A781855}"/>
    <cellStyle name="Normal 2 2 22 4" xfId="402" xr:uid="{3DC1E700-9797-4898-B826-5F0A96E8C810}"/>
    <cellStyle name="Normal 2 2 23" xfId="403" xr:uid="{22EAD96A-995F-4CFE-A586-7AEC584C6982}"/>
    <cellStyle name="Normal 2 2 23 2" xfId="404" xr:uid="{201EA2ED-B9F8-41B7-A629-5415951EDBCF}"/>
    <cellStyle name="Normal 2 2 23 3" xfId="405" xr:uid="{C7B56B09-666C-46CD-B22C-0F2D7AEBD39B}"/>
    <cellStyle name="Normal 2 2 23 4" xfId="406" xr:uid="{E27E8E2D-2E0D-4EF4-AB10-3EBE20B2F53F}"/>
    <cellStyle name="Normal 2 2 24" xfId="407" xr:uid="{B7B1417A-BF43-4165-9908-4DD20C61DC44}"/>
    <cellStyle name="Normal 2 2 24 2" xfId="408" xr:uid="{49B62903-DEC2-444E-AC6A-B3770A4D822A}"/>
    <cellStyle name="Normal 2 2 24 3" xfId="409" xr:uid="{CE45D335-FB1D-4587-BD58-7A8100451C84}"/>
    <cellStyle name="Normal 2 2 24 4" xfId="410" xr:uid="{24CF2D26-D834-4B55-ADA7-0D9A78518608}"/>
    <cellStyle name="Normal 2 2 25" xfId="411" xr:uid="{7F0E2D3B-4212-419F-A46B-ACD93B8164A7}"/>
    <cellStyle name="Normal 2 2 25 2" xfId="412" xr:uid="{91188845-D2CA-4243-8F96-7D71691EFC5A}"/>
    <cellStyle name="Normal 2 2 25 3" xfId="413" xr:uid="{05B01286-8F3A-4BA3-970A-92B4CD245789}"/>
    <cellStyle name="Normal 2 2 25 4" xfId="414" xr:uid="{C693CFCC-A5B1-496F-9A96-464ED708F9E4}"/>
    <cellStyle name="Normal 2 2 26" xfId="415" xr:uid="{31EDD6D3-0CD6-4DAD-A354-0D17BF27DEDA}"/>
    <cellStyle name="Normal 2 2 26 2" xfId="416" xr:uid="{E787C2D6-0FF1-49FA-B086-09AEEA9B983D}"/>
    <cellStyle name="Normal 2 2 26 3" xfId="417" xr:uid="{B7FD1E19-2309-4CFF-9F14-B1CCD922163A}"/>
    <cellStyle name="Normal 2 2 26 4" xfId="418" xr:uid="{C2293475-25BD-4C47-BBD3-C99BBD08652B}"/>
    <cellStyle name="Normal 2 2 27" xfId="419" xr:uid="{FB4387D9-572A-4A08-A0C1-B86529EEACB1}"/>
    <cellStyle name="Normal 2 2 27 2" xfId="420" xr:uid="{3E22A440-DA02-41D7-A292-BF7306A91BE9}"/>
    <cellStyle name="Normal 2 2 27 3" xfId="421" xr:uid="{3B445316-45E0-4A6D-96BC-ABD3C2153B9C}"/>
    <cellStyle name="Normal 2 2 27 4" xfId="422" xr:uid="{51D22B22-8713-4EEA-87AE-DDAC8C12580B}"/>
    <cellStyle name="Normal 2 2 28" xfId="423" xr:uid="{0BA6520A-1CC1-48F4-82D9-0543E0B0212B}"/>
    <cellStyle name="Normal 2 2 28 2" xfId="424" xr:uid="{99006FED-4324-4556-B1A7-45CD417BFBEB}"/>
    <cellStyle name="Normal 2 2 28 3" xfId="425" xr:uid="{F8A0CB9A-B5C5-45DF-BD46-A73E3C5035CF}"/>
    <cellStyle name="Normal 2 2 28 4" xfId="426" xr:uid="{52ACF3CC-3571-4BA6-98BE-57926C98E79C}"/>
    <cellStyle name="Normal 2 2 29" xfId="427" xr:uid="{BA594DBB-1DD2-47CE-B8E0-2773697CE391}"/>
    <cellStyle name="Normal 2 2 29 2" xfId="428" xr:uid="{5AF3A5FC-4251-4A1E-BF94-E03FA2A4404F}"/>
    <cellStyle name="Normal 2 2 29 3" xfId="429" xr:uid="{AFA50EEF-4031-47B9-9613-C4EEF03B5B61}"/>
    <cellStyle name="Normal 2 2 29 4" xfId="430" xr:uid="{9592E656-B3F1-4C72-BFF0-0DBB9A7A0045}"/>
    <cellStyle name="Normal 2 2 3" xfId="28" xr:uid="{E5EE4ADD-118D-4E74-BF8D-94D420FCF637}"/>
    <cellStyle name="Normal 2 2 3 2" xfId="432" xr:uid="{B158B22B-78E9-431D-BC68-28DBBC0CCF7D}"/>
    <cellStyle name="Normal 2 2 3 3" xfId="433" xr:uid="{A6492FF9-90D1-4B69-97D5-0531B0737AD0}"/>
    <cellStyle name="Normal 2 2 3 4" xfId="434" xr:uid="{B63A7E12-A54F-4206-BE92-CC62F08A03F4}"/>
    <cellStyle name="Normal 2 2 3 5" xfId="431" xr:uid="{82A9DD5D-3AD4-44A4-9EA1-6845F1481B3A}"/>
    <cellStyle name="Normal 2 2 30" xfId="435" xr:uid="{7587A4FC-6D6E-4EB1-A0D4-44604EC9FA6C}"/>
    <cellStyle name="Normal 2 2 30 2" xfId="436" xr:uid="{99075C4A-EA66-4F8B-96A7-D05C4E296E01}"/>
    <cellStyle name="Normal 2 2 30 3" xfId="437" xr:uid="{4B89BE0B-80F7-47F2-8E74-35933502E5B7}"/>
    <cellStyle name="Normal 2 2 30 4" xfId="438" xr:uid="{F77A1BC7-49A3-4484-ADBD-64E0E002BF03}"/>
    <cellStyle name="Normal 2 2 31" xfId="439" xr:uid="{7F654298-3A6C-472D-825E-AAF62DF6137C}"/>
    <cellStyle name="Normal 2 2 31 2" xfId="440" xr:uid="{176BA911-3019-4733-9FDF-963FD94384E9}"/>
    <cellStyle name="Normal 2 2 31 3" xfId="441" xr:uid="{C208143B-9AFC-44DD-965C-E827E5D89F16}"/>
    <cellStyle name="Normal 2 2 31 4" xfId="442" xr:uid="{8A9BA6C5-1972-44A9-9116-25CD91187AD5}"/>
    <cellStyle name="Normal 2 2 32" xfId="443" xr:uid="{C2EBEB76-3835-4FC1-B2EB-0B94AC5DAB23}"/>
    <cellStyle name="Normal 2 2 32 2" xfId="444" xr:uid="{9B63B24A-427A-4520-8ACD-E958046FFEC7}"/>
    <cellStyle name="Normal 2 2 32 3" xfId="445" xr:uid="{4928CE9B-8BD9-4D9E-853A-6291790F366F}"/>
    <cellStyle name="Normal 2 2 32 4" xfId="446" xr:uid="{EE75040D-7AA7-4006-ABEE-B6B196F233B3}"/>
    <cellStyle name="Normal 2 2 33" xfId="447" xr:uid="{C8933A61-B266-4DA5-BE37-5EA2BD8DD821}"/>
    <cellStyle name="Normal 2 2 33 2" xfId="448" xr:uid="{E9958316-157F-49F3-B87F-71D6F6DEACF1}"/>
    <cellStyle name="Normal 2 2 33 3" xfId="449" xr:uid="{1F8E62F0-B3BC-42D8-B6E5-56D66A67CCE8}"/>
    <cellStyle name="Normal 2 2 33 4" xfId="450" xr:uid="{6FC1C2C6-B991-486B-AA0F-2822AD85EBA6}"/>
    <cellStyle name="Normal 2 2 34" xfId="451" xr:uid="{55372710-BEBB-4E94-8A26-1F76C07AB1F8}"/>
    <cellStyle name="Normal 2 2 34 2" xfId="452" xr:uid="{F4DE0871-86E9-4CC4-92BB-D853E596D85E}"/>
    <cellStyle name="Normal 2 2 34 3" xfId="453" xr:uid="{B72003BF-07B5-4FC6-9D77-70F196CB0878}"/>
    <cellStyle name="Normal 2 2 34 4" xfId="454" xr:uid="{D450DB8C-2819-4C16-B90B-6D2B0DAEF612}"/>
    <cellStyle name="Normal 2 2 35" xfId="455" xr:uid="{6EE10C28-97C2-47BE-8AF0-F7B646F7B7C4}"/>
    <cellStyle name="Normal 2 2 35 2" xfId="456" xr:uid="{4F0C993B-36FD-4835-839B-060B8669DFA6}"/>
    <cellStyle name="Normal 2 2 35 3" xfId="457" xr:uid="{7073F14A-3009-4EC4-8D02-D58880DEE291}"/>
    <cellStyle name="Normal 2 2 35 4" xfId="458" xr:uid="{DF60E843-817C-4FA6-BE50-B58A164CADAA}"/>
    <cellStyle name="Normal 2 2 36" xfId="459" xr:uid="{6CE5E57E-802E-4B7D-843B-4218B5597C7D}"/>
    <cellStyle name="Normal 2 2 36 2" xfId="460" xr:uid="{1757CDF2-A573-452D-BEE0-3EE1C4C81264}"/>
    <cellStyle name="Normal 2 2 36 3" xfId="461" xr:uid="{34836E8B-B1D0-4718-93A5-6E1B0C62D473}"/>
    <cellStyle name="Normal 2 2 36 4" xfId="462" xr:uid="{135CB893-36AF-4355-9E3A-23D06C4AA42B}"/>
    <cellStyle name="Normal 2 2 37" xfId="463" xr:uid="{1A19FBFF-F252-4218-ABEE-B98BD0AAD092}"/>
    <cellStyle name="Normal 2 2 37 2" xfId="464" xr:uid="{CE44F263-2EF1-4887-93A5-DAFA83CE8FEF}"/>
    <cellStyle name="Normal 2 2 37 3" xfId="465" xr:uid="{0CF23970-1FEE-47E0-9EE6-E7AA29BE68E5}"/>
    <cellStyle name="Normal 2 2 37 4" xfId="466" xr:uid="{02B7F728-163D-48A3-A760-3B205EC3DE7E}"/>
    <cellStyle name="Normal 2 2 38" xfId="467" xr:uid="{19A355F3-852A-49FC-BF95-07446696A2F1}"/>
    <cellStyle name="Normal 2 2 38 2" xfId="468" xr:uid="{F5014672-B4D2-47F4-98A0-8B29270A40F0}"/>
    <cellStyle name="Normal 2 2 38 3" xfId="469" xr:uid="{E053A90A-33B8-45D9-A291-605FABFF61C4}"/>
    <cellStyle name="Normal 2 2 38 4" xfId="470" xr:uid="{D4559DFC-CF33-481F-9529-0F2A207DB792}"/>
    <cellStyle name="Normal 2 2 39" xfId="471" xr:uid="{0DDCC63C-CA97-46E6-B1D6-DDBAD3F339DE}"/>
    <cellStyle name="Normal 2 2 39 2" xfId="472" xr:uid="{7D417368-122A-4281-92EC-C13B4CDEF83A}"/>
    <cellStyle name="Normal 2 2 39 3" xfId="473" xr:uid="{A2794E15-7EAE-48C7-BA2E-6393B3A480DA}"/>
    <cellStyle name="Normal 2 2 39 4" xfId="474" xr:uid="{61326E8C-FDFA-4429-92B8-B479AF0540DF}"/>
    <cellStyle name="Normal 2 2 4" xfId="475" xr:uid="{9578CE11-49C9-4324-8DEA-2FC7CC4CB4BB}"/>
    <cellStyle name="Normal 2 2 4 2" xfId="476" xr:uid="{3A806337-D4BC-4EEC-B0FD-F1C10D8BEB71}"/>
    <cellStyle name="Normal 2 2 4 3" xfId="477" xr:uid="{44967434-533A-487C-90B2-08527806533C}"/>
    <cellStyle name="Normal 2 2 4 4" xfId="478" xr:uid="{02DAA325-7E53-4567-919E-F6942EB09E4F}"/>
    <cellStyle name="Normal 2 2 40" xfId="479" xr:uid="{DCCF53E2-B7E2-4887-A124-F4150E3478C2}"/>
    <cellStyle name="Normal 2 2 40 2" xfId="480" xr:uid="{7D7AFDFD-36A2-4933-BD2B-99C4D87F3B87}"/>
    <cellStyle name="Normal 2 2 40 3" xfId="481" xr:uid="{2943A802-2569-46C3-8AB0-30540286CA53}"/>
    <cellStyle name="Normal 2 2 40 4" xfId="482" xr:uid="{AEAD3BC0-748A-40DB-95A5-6C165B4BD6D2}"/>
    <cellStyle name="Normal 2 2 41" xfId="483" xr:uid="{B6D10027-E633-4965-921B-B6AECBE0D9A2}"/>
    <cellStyle name="Normal 2 2 41 2" xfId="484" xr:uid="{49CDB04F-DB4D-4493-B9F6-C9882CAA70BB}"/>
    <cellStyle name="Normal 2 2 41 3" xfId="485" xr:uid="{30DAFA6F-6573-4F2F-B9B3-64443EDD87B9}"/>
    <cellStyle name="Normal 2 2 41 4" xfId="486" xr:uid="{0211EC50-DF98-46B4-B472-8E7E45AC4FD9}"/>
    <cellStyle name="Normal 2 2 42" xfId="487" xr:uid="{D82C5ADD-CBEB-4378-AA59-64E2D531C422}"/>
    <cellStyle name="Normal 2 2 42 2" xfId="488" xr:uid="{EDAEAA73-FE56-4A82-BE0E-F5EB517F7B17}"/>
    <cellStyle name="Normal 2 2 42 3" xfId="489" xr:uid="{4E56593D-3214-4B16-A2C9-BA692D6E9DB4}"/>
    <cellStyle name="Normal 2 2 42 4" xfId="490" xr:uid="{F4B27376-DC3F-4130-B2FB-95A0DDBD40CD}"/>
    <cellStyle name="Normal 2 2 43" xfId="491" xr:uid="{4958B824-56A0-4C86-A04C-F6B11A116918}"/>
    <cellStyle name="Normal 2 2 43 2" xfId="492" xr:uid="{66E3F867-8D0B-44E9-95B4-0F47A494E189}"/>
    <cellStyle name="Normal 2 2 43 3" xfId="493" xr:uid="{FDEDF8F9-E69E-44BB-A4BA-8D30E85F2018}"/>
    <cellStyle name="Normal 2 2 43 4" xfId="494" xr:uid="{E8DE7853-0F9A-49D4-AC64-B168BA1495B5}"/>
    <cellStyle name="Normal 2 2 44" xfId="495" xr:uid="{F29742BE-0581-482C-96EF-2FE036B1CEC8}"/>
    <cellStyle name="Normal 2 2 44 2" xfId="496" xr:uid="{CDA4785F-3BA2-4AE8-8AC6-92DC1C11877E}"/>
    <cellStyle name="Normal 2 2 44 3" xfId="497" xr:uid="{7ACCE30E-0BF0-4885-BAF3-FEFC27E08DD2}"/>
    <cellStyle name="Normal 2 2 44 4" xfId="498" xr:uid="{70225FCE-1463-4FEB-807A-20485A2EFBFD}"/>
    <cellStyle name="Normal 2 2 45" xfId="499" xr:uid="{EBD2F053-9808-40B3-95A4-C690B08964F8}"/>
    <cellStyle name="Normal 2 2 45 2" xfId="500" xr:uid="{DDDFB6EE-1CD2-41A9-9360-B1F7EED7AB26}"/>
    <cellStyle name="Normal 2 2 45 3" xfId="501" xr:uid="{92CC7207-E572-4CA8-B456-5D4E44E81BED}"/>
    <cellStyle name="Normal 2 2 45 4" xfId="502" xr:uid="{C0936ADC-B897-4D03-9794-16BC389648A1}"/>
    <cellStyle name="Normal 2 2 46" xfId="503" xr:uid="{DAD69421-20FB-453E-954C-B711E63555F5}"/>
    <cellStyle name="Normal 2 2 46 2" xfId="504" xr:uid="{C2FFD945-6471-4B4E-88B1-7EA64ABF510B}"/>
    <cellStyle name="Normal 2 2 46 3" xfId="505" xr:uid="{E80FDFE4-4EBB-4D48-AEE8-2201E98B5DDA}"/>
    <cellStyle name="Normal 2 2 46 4" xfId="506" xr:uid="{41856332-6D6B-4C50-ACB4-7446A28E3393}"/>
    <cellStyle name="Normal 2 2 47" xfId="507" xr:uid="{203867C9-D60A-406A-B921-BC1C352ABB67}"/>
    <cellStyle name="Normal 2 2 47 2" xfId="508" xr:uid="{669D3234-5A76-4C91-8DA8-EA14E70A2441}"/>
    <cellStyle name="Normal 2 2 47 3" xfId="509" xr:uid="{61F3B6D9-671B-4381-A382-680BF0138BBC}"/>
    <cellStyle name="Normal 2 2 47 4" xfId="510" xr:uid="{FD23128F-0351-4E99-963D-6F2D5C3A7D21}"/>
    <cellStyle name="Normal 2 2 48" xfId="511" xr:uid="{D0A069CB-AB77-423B-9CF8-D40274BC593C}"/>
    <cellStyle name="Normal 2 2 48 2" xfId="512" xr:uid="{AC8FC52D-F6C2-4868-9B83-33B5A60E1353}"/>
    <cellStyle name="Normal 2 2 48 3" xfId="513" xr:uid="{9E73C0FA-0098-43A3-B180-9AFE4794107B}"/>
    <cellStyle name="Normal 2 2 48 3 3" xfId="85" xr:uid="{D0069F1A-7DB7-4667-B2F5-B5280AF50DBF}"/>
    <cellStyle name="Normal 2 2 48 5" xfId="2231" xr:uid="{54B762FC-1DA9-441A-A91E-4BA5A6405646}"/>
    <cellStyle name="Normal 2 2 49" xfId="514" xr:uid="{182D11DF-ACA4-4B3D-BBEB-AF91C4478DC6}"/>
    <cellStyle name="Normal 2 2 5" xfId="515" xr:uid="{92F0596B-41BC-43B1-9867-53DCFA42DA13}"/>
    <cellStyle name="Normal 2 2 5 2" xfId="516" xr:uid="{0EB8F89F-11A5-4B78-9C3F-3390B6D87C32}"/>
    <cellStyle name="Normal 2 2 5 3" xfId="517" xr:uid="{A0168BB3-24E8-4BC5-AAD3-FBB72D2A579D}"/>
    <cellStyle name="Normal 2 2 5 4" xfId="518" xr:uid="{D353D8E5-3ED7-4924-A316-EEAE47650FC5}"/>
    <cellStyle name="Normal 2 2 50" xfId="519" xr:uid="{7AAC45BC-2865-489C-AF2E-1845AC4DEA5E}"/>
    <cellStyle name="Normal 2 2 51" xfId="520" xr:uid="{269EED35-1B58-4C13-A4D6-67170EEFA682}"/>
    <cellStyle name="Normal 2 2 52" xfId="40" xr:uid="{AC066483-6E12-45C3-AFC4-AFE5387138A6}"/>
    <cellStyle name="Normal 2 2 52 3" xfId="81" xr:uid="{63A9BB8C-723C-437E-A9DC-CC734035D3A5}"/>
    <cellStyle name="Normal 2 2 6" xfId="521" xr:uid="{69E837F9-7110-4A49-B2BB-E427669264F0}"/>
    <cellStyle name="Normal 2 2 6 2" xfId="522" xr:uid="{5F2CC673-77ED-4F44-B3D0-BC8117148079}"/>
    <cellStyle name="Normal 2 2 6 3" xfId="523" xr:uid="{2E1E2D35-E8ED-4817-BA2A-E4CEAF7AEE2A}"/>
    <cellStyle name="Normal 2 2 6 4" xfId="524" xr:uid="{F481CCAD-E025-47A1-8DA3-E271205700DF}"/>
    <cellStyle name="Normal 2 2 7" xfId="525" xr:uid="{27C9C49E-173B-415F-840F-9B8177259F8D}"/>
    <cellStyle name="Normal 2 2 7 2" xfId="526" xr:uid="{79148313-B68B-411F-AF62-DEBF898F4848}"/>
    <cellStyle name="Normal 2 2 7 3" xfId="527" xr:uid="{099B2DAD-0E86-464E-BA73-ACCAD231AD1A}"/>
    <cellStyle name="Normal 2 2 7 4" xfId="528" xr:uid="{B6750239-602F-43AC-8FD8-9EE4686A2DE7}"/>
    <cellStyle name="Normal 2 2 8" xfId="529" xr:uid="{7B1C3E45-B618-43A1-877D-FAC7A08DC55D}"/>
    <cellStyle name="Normal 2 2 8 2" xfId="530" xr:uid="{5BC5DB55-B947-4F63-887B-B3C486D5F68A}"/>
    <cellStyle name="Normal 2 2 8 3" xfId="531" xr:uid="{D1DFE385-67A6-47EA-ADB9-7243EAB3613F}"/>
    <cellStyle name="Normal 2 2 8 4" xfId="532" xr:uid="{3E330AAE-97C6-47B0-9FDB-1B09E4E1A484}"/>
    <cellStyle name="Normal 2 2 9" xfId="533" xr:uid="{62CC4B05-F17A-4B50-986C-AAEF57066DE3}"/>
    <cellStyle name="Normal 2 2 9 2" xfId="534" xr:uid="{954014EB-329B-4E2C-A66D-1F578FC51DFA}"/>
    <cellStyle name="Normal 2 2 9 3" xfId="535" xr:uid="{A3930204-CD7E-49B9-8B90-88900F7BFCFD}"/>
    <cellStyle name="Normal 2 2 9 4" xfId="536" xr:uid="{86C7656D-F2AC-41CA-A5DB-5571822EF63C}"/>
    <cellStyle name="Normal 2 20" xfId="537" xr:uid="{4CD8E8E4-59D9-4EFE-8752-5F9E0EF618A2}"/>
    <cellStyle name="Normal 2 20 2" xfId="538" xr:uid="{FE2673B9-2BAE-43D3-98F7-B7DECB14131D}"/>
    <cellStyle name="Normal 2 20 3" xfId="539" xr:uid="{6CEF7EC7-72C8-4426-B285-A50154CDF288}"/>
    <cellStyle name="Normal 2 20 4" xfId="540" xr:uid="{191FF379-D6A3-4430-9FA8-AF89D4729321}"/>
    <cellStyle name="Normal 2 21" xfId="541" xr:uid="{6FE6C681-E758-478D-81A9-09FF9CD0BF66}"/>
    <cellStyle name="Normal 2 21 2" xfId="542" xr:uid="{7B40348A-249B-4C06-B919-D0B3D7DB193A}"/>
    <cellStyle name="Normal 2 21 3" xfId="543" xr:uid="{D82C6515-C2ED-44D0-A6AD-C2F528456272}"/>
    <cellStyle name="Normal 2 21 4" xfId="544" xr:uid="{2401F83D-7861-4525-962F-5132A4DEF04D}"/>
    <cellStyle name="Normal 2 22" xfId="545" xr:uid="{0E3DD043-DB24-4AD3-B3B6-DBA9CF87A91A}"/>
    <cellStyle name="Normal 2 22 2" xfId="546" xr:uid="{59EEBBF1-AFE9-41D1-B3F4-55C1DEB4B6F4}"/>
    <cellStyle name="Normal 2 22 3" xfId="547" xr:uid="{DE8002AC-97BA-4D6D-B1E3-1CD29C77FB77}"/>
    <cellStyle name="Normal 2 22 4" xfId="548" xr:uid="{D8D5D385-E968-4BF8-8946-5C26915867D9}"/>
    <cellStyle name="Normal 2 23" xfId="549" xr:uid="{F5C32CA2-9276-4373-9867-06AC552F4A85}"/>
    <cellStyle name="Normal 2 23 2" xfId="550" xr:uid="{A57B05DD-44D8-4CB9-AAB9-1327C66FC89C}"/>
    <cellStyle name="Normal 2 23 3" xfId="551" xr:uid="{33DF17D1-B77E-40A2-AC23-A77117C5D1DA}"/>
    <cellStyle name="Normal 2 23 4" xfId="552" xr:uid="{3ABAFA70-6593-435C-AF12-B5677A4DEC9A}"/>
    <cellStyle name="Normal 2 24" xfId="553" xr:uid="{564E62E6-2CB7-45BF-AE1F-7CBCCDDD7F8E}"/>
    <cellStyle name="Normal 2 24 2" xfId="554" xr:uid="{3F010753-9820-48F3-841A-C9B02C062CB5}"/>
    <cellStyle name="Normal 2 24 3" xfId="555" xr:uid="{7B4F6578-C7F3-445F-8639-56DB9F6056AA}"/>
    <cellStyle name="Normal 2 24 4" xfId="556" xr:uid="{19626730-69D1-4C4F-A87C-A193733B59D1}"/>
    <cellStyle name="Normal 2 25" xfId="557" xr:uid="{A7D4CB60-A21E-4A8B-A5D4-E7E318CA0C60}"/>
    <cellStyle name="Normal 2 25 2" xfId="558" xr:uid="{3611F5B0-9609-4C28-8DE4-2EAAEB9863D5}"/>
    <cellStyle name="Normal 2 25 3" xfId="559" xr:uid="{6B22DBD8-C2EC-40ED-8D74-7C8E074B0790}"/>
    <cellStyle name="Normal 2 25 4" xfId="560" xr:uid="{D280F851-869D-475F-8808-14597BDCAA8D}"/>
    <cellStyle name="Normal 2 26" xfId="561" xr:uid="{2F5BA227-1EFD-4FAB-BCB2-13940152DA99}"/>
    <cellStyle name="Normal 2 26 2" xfId="562" xr:uid="{AFF6FDB7-35D0-483F-9AFB-71AB034DC075}"/>
    <cellStyle name="Normal 2 26 3" xfId="563" xr:uid="{61C7C973-4197-44F8-974C-83394E2F50C8}"/>
    <cellStyle name="Normal 2 26 4" xfId="564" xr:uid="{825F0695-4A7B-4981-9914-2FBB7067953C}"/>
    <cellStyle name="Normal 2 27" xfId="565" xr:uid="{BD292837-C1D0-4C70-B864-A4EDAF00AA8F}"/>
    <cellStyle name="Normal 2 27 2" xfId="566" xr:uid="{870B1DDE-BAC1-4C6C-98DA-E39A2BE90727}"/>
    <cellStyle name="Normal 2 27 3" xfId="567" xr:uid="{3AB3CF67-10A4-4709-9C9D-CF84F8D17450}"/>
    <cellStyle name="Normal 2 27 4" xfId="568" xr:uid="{03CC962E-622F-4395-ABC7-ABFC258E2D60}"/>
    <cellStyle name="Normal 2 28" xfId="569" xr:uid="{0C22163C-EB81-4C57-B796-7E17A8465149}"/>
    <cellStyle name="Normal 2 28 2" xfId="570" xr:uid="{F6C40250-93D7-4D8B-ABD1-839CED6FAEB6}"/>
    <cellStyle name="Normal 2 28 3" xfId="571" xr:uid="{2D9D1B8B-3499-4293-8975-7C451E81E6E6}"/>
    <cellStyle name="Normal 2 28 4" xfId="572" xr:uid="{3673FB5F-483F-422D-BB4E-A4A77C148280}"/>
    <cellStyle name="Normal 2 29" xfId="573" xr:uid="{8AC261DC-48DA-4BFE-B9E5-03C17C4EE3DF}"/>
    <cellStyle name="Normal 2 29 2" xfId="574" xr:uid="{1DC32F56-B87E-4239-B520-545E2F6536C6}"/>
    <cellStyle name="Normal 2 29 3" xfId="575" xr:uid="{43B39B17-AE5F-4628-A5EB-B8CB7CC43A25}"/>
    <cellStyle name="Normal 2 29 4" xfId="576" xr:uid="{FD204035-8F15-4AB3-BC05-E5F670311B45}"/>
    <cellStyle name="Normal 2 3" xfId="577" xr:uid="{8647DFF0-0E45-4A00-A7B2-709E9EB60E18}"/>
    <cellStyle name="Normal 2 3 10" xfId="578" xr:uid="{EF563798-C8AB-4A39-9917-9027340385D9}"/>
    <cellStyle name="Normal 2 3 10 2" xfId="579" xr:uid="{645478A0-984D-443A-B311-827FD0C753F0}"/>
    <cellStyle name="Normal 2 3 10 3" xfId="580" xr:uid="{AD68E080-B27E-4145-90C7-A76081D2A52D}"/>
    <cellStyle name="Normal 2 3 10 4" xfId="581" xr:uid="{220EAC40-AB80-4482-BB8D-FDFFC842164E}"/>
    <cellStyle name="Normal 2 3 11" xfId="582" xr:uid="{F6BBFEF4-F906-467A-8FB2-6117ECA1771F}"/>
    <cellStyle name="Normal 2 3 11 2" xfId="583" xr:uid="{F1BD55D6-4F7D-4A50-A9B2-56BE302CF5C9}"/>
    <cellStyle name="Normal 2 3 11 3" xfId="584" xr:uid="{17EB48F8-D7F7-4010-9CB1-311C0664E7D7}"/>
    <cellStyle name="Normal 2 3 11 4" xfId="585" xr:uid="{CDD7D547-8CC8-47F7-BCD3-4FFD08631753}"/>
    <cellStyle name="Normal 2 3 12" xfId="586" xr:uid="{ECCF2228-087C-4029-B3F7-67105943A683}"/>
    <cellStyle name="Normal 2 3 12 2" xfId="587" xr:uid="{FA209A62-B65B-4C4E-B6CC-E7FFF7D31712}"/>
    <cellStyle name="Normal 2 3 12 3" xfId="588" xr:uid="{633D7236-530B-4E4A-B9AB-058AB8881B95}"/>
    <cellStyle name="Normal 2 3 12 4" xfId="589" xr:uid="{8A02B267-9201-4C19-8906-B05041C022FB}"/>
    <cellStyle name="Normal 2 3 13" xfId="590" xr:uid="{63DF73CB-19E4-4CBC-B072-27E6ED00B687}"/>
    <cellStyle name="Normal 2 3 13 2" xfId="591" xr:uid="{D55EAC3D-21B4-4873-92D4-8DC1E794149B}"/>
    <cellStyle name="Normal 2 3 13 3" xfId="592" xr:uid="{0BC343D0-0886-4AE9-8A54-EA767C54FB72}"/>
    <cellStyle name="Normal 2 3 13 4" xfId="593" xr:uid="{6DF61D21-25B3-4254-9DB7-BB7026DCEEED}"/>
    <cellStyle name="Normal 2 3 14" xfId="594" xr:uid="{C1F316AC-48C0-488A-A79F-74226F22CBC5}"/>
    <cellStyle name="Normal 2 3 14 2" xfId="595" xr:uid="{59B7EE26-FA81-4D30-B08D-5A59BE48C9E5}"/>
    <cellStyle name="Normal 2 3 14 3" xfId="596" xr:uid="{049831FB-0857-4446-9808-AAF4BE8BFA73}"/>
    <cellStyle name="Normal 2 3 14 4" xfId="597" xr:uid="{5C2E8AD5-3FA2-49D5-8C58-8A4C36ACC124}"/>
    <cellStyle name="Normal 2 3 15" xfId="598" xr:uid="{AA2B8D36-B1E4-454B-9142-BE71CA45D5E5}"/>
    <cellStyle name="Normal 2 3 15 2" xfId="599" xr:uid="{079059A7-2B5D-44A9-82EA-25397766D81A}"/>
    <cellStyle name="Normal 2 3 15 3" xfId="600" xr:uid="{84CCCB7E-2DF3-4BC6-85D6-364C3DA90A27}"/>
    <cellStyle name="Normal 2 3 15 4" xfId="601" xr:uid="{D68A9D2F-7F09-4B38-80D8-9CB757E9A4B9}"/>
    <cellStyle name="Normal 2 3 16" xfId="602" xr:uid="{2BF2B924-3039-4845-B274-B31DD9F3D589}"/>
    <cellStyle name="Normal 2 3 16 2" xfId="603" xr:uid="{7F1A789D-9405-411A-B1DB-80C86F99717B}"/>
    <cellStyle name="Normal 2 3 16 3" xfId="604" xr:uid="{993B8FB4-8CC4-4A52-A2BA-3C38D032E077}"/>
    <cellStyle name="Normal 2 3 16 4" xfId="605" xr:uid="{CEE0BB5A-DB41-48C8-821C-EF6C863BDED2}"/>
    <cellStyle name="Normal 2 3 17" xfId="606" xr:uid="{58AEA87D-A20D-4D31-9B4C-43C4430C4A7B}"/>
    <cellStyle name="Normal 2 3 17 2" xfId="607" xr:uid="{48D1E82B-4A99-4431-8877-0A97B6FA9B62}"/>
    <cellStyle name="Normal 2 3 17 3" xfId="608" xr:uid="{E2E00DB9-CE79-43F5-9561-ECDB67865479}"/>
    <cellStyle name="Normal 2 3 17 4" xfId="609" xr:uid="{EC8D0793-6449-4B76-A3ED-11751178A3F6}"/>
    <cellStyle name="Normal 2 3 18" xfId="610" xr:uid="{A92BF11D-64B4-4574-BEEF-CC9C74F54E2B}"/>
    <cellStyle name="Normal 2 3 18 2" xfId="611" xr:uid="{C474C914-6C28-4003-B7A8-80EE25787488}"/>
    <cellStyle name="Normal 2 3 18 3" xfId="612" xr:uid="{B6BFF536-F349-4902-8221-844BB5419B19}"/>
    <cellStyle name="Normal 2 3 18 4" xfId="613" xr:uid="{7E439F3E-CDBC-4454-979D-1C4FF41CA609}"/>
    <cellStyle name="Normal 2 3 19" xfId="614" xr:uid="{460222EF-3A21-4711-BBEF-0689A0061778}"/>
    <cellStyle name="Normal 2 3 19 2" xfId="615" xr:uid="{C92DC13B-1379-4AAF-97AA-EF1D176096CB}"/>
    <cellStyle name="Normal 2 3 19 3" xfId="616" xr:uid="{DBBF0EC0-3CCA-4940-B580-C0AA846EE6B2}"/>
    <cellStyle name="Normal 2 3 19 4" xfId="617" xr:uid="{3798CC4E-A493-4797-8A7B-343FE667A3E4}"/>
    <cellStyle name="Normal 2 3 2" xfId="618" xr:uid="{64D6CD68-264F-44EA-9B3C-555EA568378A}"/>
    <cellStyle name="Normal 2 3 2 2" xfId="619" xr:uid="{BEECF9C3-2FC5-4BC3-848A-FC111F839F58}"/>
    <cellStyle name="Normal 2 3 2 2 2" xfId="68" xr:uid="{C5A23944-CAA3-4FF6-A41C-7A1281C773C1}"/>
    <cellStyle name="Normal 2 3 2 3" xfId="620" xr:uid="{F7109407-A331-46F1-B556-30B8133EFECB}"/>
    <cellStyle name="Normal 2 3 2 4" xfId="621" xr:uid="{0A1AA03F-F669-4F3C-A58A-993EF9B2EC12}"/>
    <cellStyle name="Normal 2 3 20" xfId="622" xr:uid="{426A44AD-6F91-47B2-85DC-6732C09CA452}"/>
    <cellStyle name="Normal 2 3 20 2" xfId="623" xr:uid="{F248CC38-C3DD-42C8-8D3B-271203E96C13}"/>
    <cellStyle name="Normal 2 3 20 3" xfId="624" xr:uid="{B6AE8D23-8FF0-4A69-A34B-1449F6978CC1}"/>
    <cellStyle name="Normal 2 3 20 4" xfId="625" xr:uid="{4A7D1990-5BD8-4C1F-80A2-955907FA56E4}"/>
    <cellStyle name="Normal 2 3 21" xfId="626" xr:uid="{418AE5C8-9FD9-45C7-937F-FF2BDBF2227F}"/>
    <cellStyle name="Normal 2 3 21 2" xfId="627" xr:uid="{BB92F546-4D15-443D-BA44-20A27FB65FCC}"/>
    <cellStyle name="Normal 2 3 21 3" xfId="628" xr:uid="{1FE37DA2-30D1-4434-A3CA-77EC1F09DF64}"/>
    <cellStyle name="Normal 2 3 21 4" xfId="629" xr:uid="{18C88D5B-2971-42F4-AFAE-89CC62CE121F}"/>
    <cellStyle name="Normal 2 3 22" xfId="630" xr:uid="{A1C7C8C5-8815-4DDD-8388-5656F7CB27A8}"/>
    <cellStyle name="Normal 2 3 22 2" xfId="631" xr:uid="{E2CF9344-96EC-4D84-923A-35E797B4D228}"/>
    <cellStyle name="Normal 2 3 22 3" xfId="632" xr:uid="{C6CD0B32-C964-435B-9D43-A1366714831E}"/>
    <cellStyle name="Normal 2 3 22 4" xfId="633" xr:uid="{DEEB78D5-AEFF-4630-9A82-7F6CD9192998}"/>
    <cellStyle name="Normal 2 3 23" xfId="634" xr:uid="{F754F779-EF9D-4D25-A5FF-2AAEC11FA644}"/>
    <cellStyle name="Normal 2 3 23 2" xfId="635" xr:uid="{C672DF24-4B27-496B-ACB4-AC1A518A07CF}"/>
    <cellStyle name="Normal 2 3 23 3" xfId="636" xr:uid="{08B5D66A-A949-4EE4-8F8E-457E5EC677B9}"/>
    <cellStyle name="Normal 2 3 23 4" xfId="637" xr:uid="{38096A55-71C4-4A3D-BB4E-56BE0A0C9FE3}"/>
    <cellStyle name="Normal 2 3 24" xfId="638" xr:uid="{AF9438CA-E709-4958-8DAE-47A227147B71}"/>
    <cellStyle name="Normal 2 3 24 2" xfId="639" xr:uid="{3B46ADA9-1EB9-4FDF-AE2F-4B27626302B8}"/>
    <cellStyle name="Normal 2 3 24 3" xfId="640" xr:uid="{0580A2DA-35EF-4ECE-89B8-14F199056961}"/>
    <cellStyle name="Normal 2 3 24 4" xfId="641" xr:uid="{ED16AE89-EDEC-4BDB-83E6-0D1ADCDF13A5}"/>
    <cellStyle name="Normal 2 3 25" xfId="642" xr:uid="{D7F5B750-E2BE-4DF7-A3E8-59855851193B}"/>
    <cellStyle name="Normal 2 3 25 2" xfId="643" xr:uid="{18505F6D-2AA4-449A-9A9D-E1E82773A26A}"/>
    <cellStyle name="Normal 2 3 25 3" xfId="644" xr:uid="{0CC32895-B067-4C6F-A5F3-506D0CC344AC}"/>
    <cellStyle name="Normal 2 3 25 4" xfId="645" xr:uid="{6BCEF9FB-E91A-4119-AEE9-AB4328AD2906}"/>
    <cellStyle name="Normal 2 3 26" xfId="646" xr:uid="{D8D1AF48-850F-4730-AB15-C74D1636642E}"/>
    <cellStyle name="Normal 2 3 26 2" xfId="647" xr:uid="{10EC7B38-A12C-4410-8740-097F30DC653C}"/>
    <cellStyle name="Normal 2 3 26 3" xfId="648" xr:uid="{B59EE49D-CC7E-4A5A-A00B-D7C804C6B07A}"/>
    <cellStyle name="Normal 2 3 26 4" xfId="649" xr:uid="{3C78D587-1E9B-4554-BD50-9FC55DC274A7}"/>
    <cellStyle name="Normal 2 3 27" xfId="650" xr:uid="{DC81BCF6-E9A6-42C0-9A0A-7AE15A2E3921}"/>
    <cellStyle name="Normal 2 3 27 2" xfId="651" xr:uid="{1D6899C1-9319-49CA-880C-E2385006C967}"/>
    <cellStyle name="Normal 2 3 27 3" xfId="652" xr:uid="{560BBEA4-BCFD-4647-8BA2-A553DC6ABE60}"/>
    <cellStyle name="Normal 2 3 27 4" xfId="653" xr:uid="{8C3E2751-05EF-40E1-8554-8DEEEA0DF496}"/>
    <cellStyle name="Normal 2 3 28" xfId="654" xr:uid="{3185DC11-BDFB-4122-BD0E-F65A2A067EB9}"/>
    <cellStyle name="Normal 2 3 28 2" xfId="655" xr:uid="{B2672BD6-603B-411D-9309-314B7D50F54C}"/>
    <cellStyle name="Normal 2 3 28 3" xfId="656" xr:uid="{811D1207-AEE9-41E3-98E5-CEAC065EFC66}"/>
    <cellStyle name="Normal 2 3 28 4" xfId="657" xr:uid="{98157CE6-4EF1-44F8-B432-76972C2E0002}"/>
    <cellStyle name="Normal 2 3 29" xfId="658" xr:uid="{68DC5568-102E-4801-8EE2-C0B4FDA78444}"/>
    <cellStyle name="Normal 2 3 29 2" xfId="659" xr:uid="{5976AA70-79DD-424C-BA12-1504093C888C}"/>
    <cellStyle name="Normal 2 3 29 3" xfId="660" xr:uid="{6386FDE8-3CE5-4B2A-B468-08A6F663844A}"/>
    <cellStyle name="Normal 2 3 29 4" xfId="661" xr:uid="{6378C7AD-B279-4EFF-BF21-1CB29113CA4D}"/>
    <cellStyle name="Normal 2 3 3" xfId="662" xr:uid="{ED922C0C-A2BE-4B29-8DE4-6C3394B47B85}"/>
    <cellStyle name="Normal 2 3 3 2" xfId="663" xr:uid="{DB58491A-539D-4DAC-94B9-B8A84C34792D}"/>
    <cellStyle name="Normal 2 3 3 3" xfId="664" xr:uid="{140A5716-C482-452A-A295-7847F71625E8}"/>
    <cellStyle name="Normal 2 3 3 4" xfId="665" xr:uid="{7D857F59-1ACA-426F-B352-FD91D1854505}"/>
    <cellStyle name="Normal 2 3 30" xfId="666" xr:uid="{A0C23627-E2F8-45D3-9AF8-E5DE3ACD9130}"/>
    <cellStyle name="Normal 2 3 30 2" xfId="667" xr:uid="{864E58B0-08F2-4D03-89A9-5447EF051D4B}"/>
    <cellStyle name="Normal 2 3 30 3" xfId="668" xr:uid="{59BEC3F4-5363-4F98-B921-CC6991382309}"/>
    <cellStyle name="Normal 2 3 30 4" xfId="669" xr:uid="{8D3EBC94-9D2E-41D0-8322-340EB9C7ADB0}"/>
    <cellStyle name="Normal 2 3 31" xfId="670" xr:uid="{1D346531-DE1D-42D5-81C3-13257DF96923}"/>
    <cellStyle name="Normal 2 3 31 2" xfId="671" xr:uid="{A14446B2-8790-4330-A265-01A719932A7A}"/>
    <cellStyle name="Normal 2 3 31 3" xfId="672" xr:uid="{7436F64A-6BA1-431A-BE15-632EB6EE79CE}"/>
    <cellStyle name="Normal 2 3 31 4" xfId="673" xr:uid="{CF5558AF-E625-4AE4-993A-4D01902E407C}"/>
    <cellStyle name="Normal 2 3 32" xfId="674" xr:uid="{801FBC76-DF90-41D6-9899-D3AB548CD51B}"/>
    <cellStyle name="Normal 2 3 32 2" xfId="675" xr:uid="{209819C2-A12E-42B2-8ABE-FE68E073494D}"/>
    <cellStyle name="Normal 2 3 32 3" xfId="676" xr:uid="{8EA0ED89-B77E-455C-B12D-DC00E0F62F3A}"/>
    <cellStyle name="Normal 2 3 32 4" xfId="677" xr:uid="{682EC0F1-477D-40D0-B25E-41BFBC109B4E}"/>
    <cellStyle name="Normal 2 3 33" xfId="678" xr:uid="{BAC38958-8D2C-4C71-B151-70B5C12A4B20}"/>
    <cellStyle name="Normal 2 3 33 2" xfId="679" xr:uid="{BC28A4BA-853C-4028-A289-C9BA5B18FFDB}"/>
    <cellStyle name="Normal 2 3 33 3" xfId="680" xr:uid="{DECF41FB-7255-4819-9645-0DCBDF78EC39}"/>
    <cellStyle name="Normal 2 3 33 4" xfId="681" xr:uid="{49C634A0-1A02-4DA1-9242-BE274E3C88A0}"/>
    <cellStyle name="Normal 2 3 34" xfId="682" xr:uid="{172006DF-1609-4364-A3E6-3CBA294C90CD}"/>
    <cellStyle name="Normal 2 3 34 2" xfId="683" xr:uid="{C6C821E1-FD23-4864-9FC6-1E7091D415C2}"/>
    <cellStyle name="Normal 2 3 34 3" xfId="684" xr:uid="{4FC47870-E913-455C-8AB6-CF830CB2E986}"/>
    <cellStyle name="Normal 2 3 34 4" xfId="685" xr:uid="{A1BC8D4A-1CB8-4E69-BB25-D08FFEBA7FEC}"/>
    <cellStyle name="Normal 2 3 35" xfId="686" xr:uid="{72723425-A2BA-45E8-A628-A6AAD547C119}"/>
    <cellStyle name="Normal 2 3 35 2" xfId="687" xr:uid="{606911D1-F4F5-4578-8076-DF31CC4404BB}"/>
    <cellStyle name="Normal 2 3 35 3" xfId="688" xr:uid="{F292E712-ACA2-4FAF-A313-09A977635055}"/>
    <cellStyle name="Normal 2 3 35 4" xfId="689" xr:uid="{AB29F31C-E3B7-426A-9C66-C293936A5D44}"/>
    <cellStyle name="Normal 2 3 36" xfId="690" xr:uid="{FE660278-F5E8-476A-A8BC-6F72F2B5AE5F}"/>
    <cellStyle name="Normal 2 3 36 2" xfId="691" xr:uid="{912A397B-CC3C-4DF9-B220-0961C0E293C7}"/>
    <cellStyle name="Normal 2 3 36 3" xfId="692" xr:uid="{DB91A37B-C4D0-4CAD-BD10-702F2E9261BC}"/>
    <cellStyle name="Normal 2 3 36 4" xfId="693" xr:uid="{E18527C1-F600-400B-A08F-40AF5A56F728}"/>
    <cellStyle name="Normal 2 3 37" xfId="694" xr:uid="{0F96DBFB-C308-4DF3-9E26-B27D5FE4F2F7}"/>
    <cellStyle name="Normal 2 3 37 2" xfId="695" xr:uid="{954A17E3-1903-4B8D-9F53-540308E6956F}"/>
    <cellStyle name="Normal 2 3 37 3" xfId="696" xr:uid="{EC0409DB-DC2C-4D70-911D-2B4ADE18BF39}"/>
    <cellStyle name="Normal 2 3 37 4" xfId="697" xr:uid="{7F833D6E-9D34-4641-81D1-86CCA3B43DAA}"/>
    <cellStyle name="Normal 2 3 38" xfId="698" xr:uid="{B0756252-D8FB-4F13-9C89-CF29F3BDB2BD}"/>
    <cellStyle name="Normal 2 3 38 2" xfId="699" xr:uid="{42E8D29C-ABCD-4FFB-9B58-78177097BF19}"/>
    <cellStyle name="Normal 2 3 38 3" xfId="700" xr:uid="{8342A9A8-29F5-4BE9-B068-5DA3934F23F5}"/>
    <cellStyle name="Normal 2 3 38 4" xfId="701" xr:uid="{6A1C1481-7DAE-417D-B81A-442238326D7A}"/>
    <cellStyle name="Normal 2 3 39" xfId="702" xr:uid="{8E6C422A-B00D-4DBD-94FB-26C74C7E1EF0}"/>
    <cellStyle name="Normal 2 3 39 2" xfId="703" xr:uid="{5CF24E62-0657-4FAD-9480-FCAC6AD93110}"/>
    <cellStyle name="Normal 2 3 39 3" xfId="704" xr:uid="{7EF9760C-44BE-4D61-8B58-2B53C8FE0279}"/>
    <cellStyle name="Normal 2 3 39 4" xfId="705" xr:uid="{C28B1E1D-2F8D-4149-9033-7B594E52C67D}"/>
    <cellStyle name="Normal 2 3 4" xfId="706" xr:uid="{48546DC2-33AF-4EFF-A4E6-9E595D6E5153}"/>
    <cellStyle name="Normal 2 3 4 2" xfId="707" xr:uid="{04B5D695-24C2-477C-839C-C5CBCA7EDF07}"/>
    <cellStyle name="Normal 2 3 4 3" xfId="708" xr:uid="{14B3B110-4738-44D0-8F7B-F255D4D1DF28}"/>
    <cellStyle name="Normal 2 3 4 4" xfId="709" xr:uid="{D60D5522-42B0-4764-BC08-873F04F01441}"/>
    <cellStyle name="Normal 2 3 40" xfId="710" xr:uid="{AD0B0AEE-6D4C-40E6-9563-462F19030E6A}"/>
    <cellStyle name="Normal 2 3 40 2" xfId="711" xr:uid="{19BE3B93-E280-498C-AC0B-670061D0FF12}"/>
    <cellStyle name="Normal 2 3 40 3" xfId="712" xr:uid="{F6582FED-6342-44A7-AB71-390E88B094E8}"/>
    <cellStyle name="Normal 2 3 40 4" xfId="713" xr:uid="{F95D896C-5795-48FA-A019-561CFAEE11CE}"/>
    <cellStyle name="Normal 2 3 41" xfId="714" xr:uid="{934CD1E4-4745-492A-AE39-D0B03ABCA916}"/>
    <cellStyle name="Normal 2 3 41 2" xfId="715" xr:uid="{B82A3841-1F4D-4B97-A14C-EDF99DAC7198}"/>
    <cellStyle name="Normal 2 3 41 3" xfId="716" xr:uid="{E2E20DA3-13F3-4D37-860D-9C2B44EDDA1F}"/>
    <cellStyle name="Normal 2 3 41 4" xfId="717" xr:uid="{C12310E7-F98B-456A-9C7A-7B24DE643FE9}"/>
    <cellStyle name="Normal 2 3 42" xfId="718" xr:uid="{118C5BC3-C1D2-4937-AC6E-47A790485CAC}"/>
    <cellStyle name="Normal 2 3 42 2" xfId="719" xr:uid="{10F29EFF-6C58-4552-934F-9DE2330BD5A4}"/>
    <cellStyle name="Normal 2 3 42 3" xfId="720" xr:uid="{1B03069F-FB85-41DD-9A28-45F46667B3C7}"/>
    <cellStyle name="Normal 2 3 42 4" xfId="721" xr:uid="{06565728-C580-47FF-8A15-A636C5F21FDB}"/>
    <cellStyle name="Normal 2 3 43" xfId="722" xr:uid="{18479564-8638-4F1E-A10F-352D9E7428E1}"/>
    <cellStyle name="Normal 2 3 43 2" xfId="723" xr:uid="{3A7D5E3A-04D9-4D71-A66F-7EC267C11865}"/>
    <cellStyle name="Normal 2 3 43 3" xfId="724" xr:uid="{73BD1D4A-D1EB-4BF0-91FE-DDF49592421E}"/>
    <cellStyle name="Normal 2 3 43 4" xfId="725" xr:uid="{F6DDBD15-C1CE-4DFB-BE3A-420B82499B51}"/>
    <cellStyle name="Normal 2 3 44" xfId="726" xr:uid="{B52003C2-07E1-4AEE-9F1E-0624D4CD5280}"/>
    <cellStyle name="Normal 2 3 44 2" xfId="727" xr:uid="{83176947-C127-4E7E-B278-A5E728CFEB1B}"/>
    <cellStyle name="Normal 2 3 44 3" xfId="728" xr:uid="{9DDD5AAD-F8F8-46D9-9E6A-B61F551240B1}"/>
    <cellStyle name="Normal 2 3 44 4" xfId="729" xr:uid="{36EE5EE8-C724-4351-82E5-B7558D51CB3E}"/>
    <cellStyle name="Normal 2 3 45" xfId="730" xr:uid="{63A84A81-0DBA-4A42-9E94-71FA3B8E26C3}"/>
    <cellStyle name="Normal 2 3 45 2" xfId="731" xr:uid="{771DA61D-7DC5-40E0-B47B-D9DD2FC6D927}"/>
    <cellStyle name="Normal 2 3 45 3" xfId="732" xr:uid="{0AE71966-0438-4354-AA87-DE029E9E944E}"/>
    <cellStyle name="Normal 2 3 45 4" xfId="733" xr:uid="{CDE4C51D-4A90-4802-818A-15DE6EB51264}"/>
    <cellStyle name="Normal 2 3 46" xfId="734" xr:uid="{4507176D-D87D-4A14-8158-56D071F095CA}"/>
    <cellStyle name="Normal 2 3 46 2" xfId="735" xr:uid="{4D2F8F7D-F330-4C06-8AAE-1536AA7ABEFE}"/>
    <cellStyle name="Normal 2 3 46 3" xfId="736" xr:uid="{4FB46860-D091-4887-B258-EA6E586D0A67}"/>
    <cellStyle name="Normal 2 3 46 4" xfId="737" xr:uid="{5AA6A510-FC71-46F7-A252-10F3CB128B96}"/>
    <cellStyle name="Normal 2 3 47" xfId="738" xr:uid="{011E8172-0150-4D6C-80C0-2D76D21539C0}"/>
    <cellStyle name="Normal 2 3 47 2" xfId="739" xr:uid="{BE065F12-DE78-4FF7-8C84-B4708B27704F}"/>
    <cellStyle name="Normal 2 3 47 3" xfId="740" xr:uid="{54011998-BDED-4DB6-85A2-8C1BEEDCD440}"/>
    <cellStyle name="Normal 2 3 47 4" xfId="741" xr:uid="{DFC71FFE-4F88-4651-942A-53DBA10D172D}"/>
    <cellStyle name="Normal 2 3 48" xfId="742" xr:uid="{28DC86F9-867D-413A-B171-F2A7D4F7E3BE}"/>
    <cellStyle name="Normal 2 3 48 8" xfId="70" xr:uid="{445458B8-1DE7-4CF5-A4B9-BFC3BEEEC22B}"/>
    <cellStyle name="Normal 2 3 49" xfId="743" xr:uid="{0892EDF9-8C42-4BC7-8294-528F2394B776}"/>
    <cellStyle name="Normal 2 3 5" xfId="744" xr:uid="{80E1228B-810F-4ED1-833D-C50270E3E6C3}"/>
    <cellStyle name="Normal 2 3 5 2" xfId="745" xr:uid="{0CC58FCC-BB8E-4D3F-A795-C07F1242C782}"/>
    <cellStyle name="Normal 2 3 5 3" xfId="746" xr:uid="{4B339B10-CFE6-4205-8FCC-7FDBF9B11AD6}"/>
    <cellStyle name="Normal 2 3 5 4" xfId="747" xr:uid="{3E8C4B72-FCA1-46CA-B77B-66E8D7E2CE2B}"/>
    <cellStyle name="Normal 2 3 6" xfId="748" xr:uid="{94A09E86-916C-4CF3-B9E8-49FB68BF7251}"/>
    <cellStyle name="Normal 2 3 6 2" xfId="749" xr:uid="{2DCD6578-C37A-4095-9A52-5E0352B05853}"/>
    <cellStyle name="Normal 2 3 6 3" xfId="750" xr:uid="{E8CE13AC-75E2-4104-A62E-1D808420BAD9}"/>
    <cellStyle name="Normal 2 3 6 4" xfId="751" xr:uid="{739BEF8A-A7BB-4928-B75C-303540072AF7}"/>
    <cellStyle name="Normal 2 3 7" xfId="752" xr:uid="{CD7BF568-A376-47CD-86D1-B5437A73B958}"/>
    <cellStyle name="Normal 2 3 7 2" xfId="753" xr:uid="{9871CFC4-02E9-4C8E-BEA4-DFF1580BA031}"/>
    <cellStyle name="Normal 2 3 7 3" xfId="754" xr:uid="{C5B83EA3-2F3E-49A0-B1DD-DB780B5123C2}"/>
    <cellStyle name="Normal 2 3 7 4" xfId="755" xr:uid="{8EB380AE-EC63-49F8-9426-0F6CEE82FB08}"/>
    <cellStyle name="Normal 2 3 8" xfId="756" xr:uid="{486D02EA-9762-4CD9-B04B-CA79526FC781}"/>
    <cellStyle name="Normal 2 3 8 2" xfId="757" xr:uid="{066D61DF-5064-4A7D-80C7-CBFD2FC10B9E}"/>
    <cellStyle name="Normal 2 3 8 3" xfId="758" xr:uid="{49118AAE-E461-4CEF-870F-AB1F86A43470}"/>
    <cellStyle name="Normal 2 3 8 4" xfId="759" xr:uid="{EA5405C1-7B32-4679-BD5D-CF8040E15913}"/>
    <cellStyle name="Normal 2 3 9" xfId="760" xr:uid="{E3425262-FBAE-4C90-9964-5A71FEA1FF78}"/>
    <cellStyle name="Normal 2 3 9 2" xfId="761" xr:uid="{13FB54C1-CC95-4926-984A-2B9C6EDBFBFB}"/>
    <cellStyle name="Normal 2 3 9 3" xfId="762" xr:uid="{DD9B8BC2-7B44-46FD-96A5-B6FE43B2B141}"/>
    <cellStyle name="Normal 2 3 9 4" xfId="763" xr:uid="{C5F43E93-459A-4CC7-A6A7-DC43AFD1602B}"/>
    <cellStyle name="Normal 2 30" xfId="764" xr:uid="{F52CFD7B-E36F-4445-8A42-9C06E241916B}"/>
    <cellStyle name="Normal 2 30 2" xfId="765" xr:uid="{78F56F92-2484-41C1-87A8-8B857B6D723C}"/>
    <cellStyle name="Normal 2 30 3" xfId="766" xr:uid="{CB52FF45-BADC-4F13-9A4C-CB7CDF7391C1}"/>
    <cellStyle name="Normal 2 30 4" xfId="767" xr:uid="{8C33312D-DACA-4C38-BE87-5FA861B92592}"/>
    <cellStyle name="Normal 2 31" xfId="768" xr:uid="{06B7D288-C5F4-4594-9820-8D86C47B5A53}"/>
    <cellStyle name="Normal 2 31 2" xfId="769" xr:uid="{988E9983-812E-4F40-925D-97534199E09F}"/>
    <cellStyle name="Normal 2 31 3" xfId="770" xr:uid="{5DACD6F5-EC58-47E0-AE1E-CD438C2D65B1}"/>
    <cellStyle name="Normal 2 31 4" xfId="771" xr:uid="{BDE83E76-86BB-4918-BF35-D22DF6C822F0}"/>
    <cellStyle name="Normal 2 32" xfId="772" xr:uid="{ACFD397E-48CF-4847-825C-526E1BC8A83B}"/>
    <cellStyle name="Normal 2 32 2" xfId="773" xr:uid="{C870067D-9C75-4E1B-ABA6-DCB38971208F}"/>
    <cellStyle name="Normal 2 32 3" xfId="774" xr:uid="{6EF76F4F-F763-45C4-ABD2-CAB50BCABBB8}"/>
    <cellStyle name="Normal 2 32 4" xfId="775" xr:uid="{D120FCBD-A2A0-451A-A389-03D04FBEF3B3}"/>
    <cellStyle name="Normal 2 33" xfId="776" xr:uid="{148AA8D8-51BE-496C-98E8-110EF86D4484}"/>
    <cellStyle name="Normal 2 33 2" xfId="777" xr:uid="{B03912AE-0D80-4BDF-94A7-70D3F8074638}"/>
    <cellStyle name="Normal 2 33 3" xfId="778" xr:uid="{E0EE8CDB-E44F-4C9A-A4B1-222CC8378CE7}"/>
    <cellStyle name="Normal 2 33 4" xfId="779" xr:uid="{4F2535BE-0A69-4CC1-BEA9-B1954B303554}"/>
    <cellStyle name="Normal 2 34" xfId="780" xr:uid="{23A3CD29-4670-4C81-84CC-A589734574B0}"/>
    <cellStyle name="Normal 2 34 2" xfId="781" xr:uid="{D5096351-5E35-4D66-A460-3D859F9A7A7E}"/>
    <cellStyle name="Normal 2 34 3" xfId="782" xr:uid="{8F6E1CA8-DE2D-4989-9010-422CFA9D98A0}"/>
    <cellStyle name="Normal 2 34 4" xfId="783" xr:uid="{5C8600B8-621E-4D43-9F5D-3A5AE7F00842}"/>
    <cellStyle name="Normal 2 35" xfId="784" xr:uid="{410BF958-D135-4DD4-AC4E-DEF12EBD2239}"/>
    <cellStyle name="Normal 2 35 2" xfId="785" xr:uid="{7E951628-8932-41A2-AE0D-D107E7F0F349}"/>
    <cellStyle name="Normal 2 35 3" xfId="786" xr:uid="{CEC203F4-A5A4-46E4-A576-26B72F313F48}"/>
    <cellStyle name="Normal 2 35 4" xfId="787" xr:uid="{71C3F7D0-5A17-4C68-BC9D-109E2A8BF786}"/>
    <cellStyle name="Normal 2 36" xfId="788" xr:uid="{40E8DFCC-548C-4C83-9A5F-411FD427F96D}"/>
    <cellStyle name="Normal 2 36 2" xfId="789" xr:uid="{5F11E11C-7F49-4796-98C0-0FA4E5AE3BB1}"/>
    <cellStyle name="Normal 2 36 3" xfId="790" xr:uid="{2A1702F1-6B9E-4996-858B-F1066FBB0D6D}"/>
    <cellStyle name="Normal 2 36 4" xfId="791" xr:uid="{04AD65E0-B1DB-4C07-9B42-241309B5D186}"/>
    <cellStyle name="Normal 2 37" xfId="792" xr:uid="{B05F68AC-8380-4794-852D-830B70288EEE}"/>
    <cellStyle name="Normal 2 37 2" xfId="793" xr:uid="{E4F0EE1D-506F-4923-A02F-8FAE760E11CB}"/>
    <cellStyle name="Normal 2 37 3" xfId="794" xr:uid="{13C93521-D972-43AC-AFD3-A3028891EC46}"/>
    <cellStyle name="Normal 2 37 4" xfId="795" xr:uid="{91781010-5C46-4DF7-8AD4-6B3BA5EA4422}"/>
    <cellStyle name="Normal 2 38" xfId="796" xr:uid="{63C2C171-3F15-46CD-A55B-850910614D6D}"/>
    <cellStyle name="Normal 2 38 2" xfId="797" xr:uid="{E51D09C6-6F4C-4205-BCDD-5FD2FC9E7AA7}"/>
    <cellStyle name="Normal 2 38 3" xfId="798" xr:uid="{7F3688FB-AF8E-4DB6-A13A-81202C8D8D69}"/>
    <cellStyle name="Normal 2 38 4" xfId="799" xr:uid="{831821CF-4715-4929-A51B-FF4D70330A30}"/>
    <cellStyle name="Normal 2 39" xfId="800" xr:uid="{A42D19D4-3A05-4C61-961B-1DDAFEDF3774}"/>
    <cellStyle name="Normal 2 39 2" xfId="801" xr:uid="{B588FF2F-00EE-4701-B400-937F25CC1341}"/>
    <cellStyle name="Normal 2 39 3" xfId="802" xr:uid="{9480D949-B07A-42EB-BBB6-0693FC54176E}"/>
    <cellStyle name="Normal 2 39 4" xfId="803" xr:uid="{BBD075B9-31FF-45F4-A013-B031B8E07D71}"/>
    <cellStyle name="Normal 2 4" xfId="27" xr:uid="{DE2B22E4-E9E1-4CEB-99A2-F0F5C1A1CDCC}"/>
    <cellStyle name="Normal 2 4 2" xfId="805" xr:uid="{D6C2491A-18E6-413D-A39C-7D1CE455657B}"/>
    <cellStyle name="Normal 2 4 2 2" xfId="806" xr:uid="{08FA326A-DD90-4954-B56C-6795D3BFAD48}"/>
    <cellStyle name="Normal 2 4 2 3" xfId="807" xr:uid="{B9975B4A-41BD-4384-AE3D-5440ABA2D3F8}"/>
    <cellStyle name="Normal 2 4 2 4" xfId="808" xr:uid="{87909B50-061E-4660-9CEB-A3B1B314A80E}"/>
    <cellStyle name="Normal 2 4 3" xfId="809" xr:uid="{E98DAA05-06AE-415D-A263-45AE767B2175}"/>
    <cellStyle name="Normal 2 4 4" xfId="810" xr:uid="{6AB1CD7B-4D2A-460C-B200-465A342AE4E6}"/>
    <cellStyle name="Normal 2 4 5" xfId="811" xr:uid="{92AB9ED0-4490-43B5-9D68-F844DB8B7934}"/>
    <cellStyle name="Normal 2 4 6" xfId="804" xr:uid="{46023858-1BBB-4882-BDE2-BF5AACF8A5AF}"/>
    <cellStyle name="Normal 2 40" xfId="812" xr:uid="{CB7A1804-FFD2-4A59-B795-FE75F0ECBE88}"/>
    <cellStyle name="Normal 2 40 2" xfId="813" xr:uid="{55838CCA-13EF-401F-891D-45CF8D243F94}"/>
    <cellStyle name="Normal 2 40 3" xfId="814" xr:uid="{EB323141-7806-4196-B1F0-933B88B05F6F}"/>
    <cellStyle name="Normal 2 40 4" xfId="815" xr:uid="{D530B487-0C4E-4AF7-A621-DFBD891CD2F6}"/>
    <cellStyle name="Normal 2 41" xfId="816" xr:uid="{802723D7-DC61-49C2-88B7-9A9FC72D0579}"/>
    <cellStyle name="Normal 2 41 2" xfId="817" xr:uid="{98575D05-5F16-4E67-9013-973FD13F16FD}"/>
    <cellStyle name="Normal 2 41 3" xfId="818" xr:uid="{0A5A985A-F3F7-43D1-94D3-769852B4153C}"/>
    <cellStyle name="Normal 2 41 4" xfId="819" xr:uid="{5C166044-1E32-4242-9F15-EAF49124F17F}"/>
    <cellStyle name="Normal 2 42" xfId="820" xr:uid="{7CF80F56-8D48-4106-AE2A-3BCC5796BDAF}"/>
    <cellStyle name="Normal 2 42 2" xfId="821" xr:uid="{70BF5556-0E9F-480C-A928-8BB6739565CC}"/>
    <cellStyle name="Normal 2 42 3" xfId="822" xr:uid="{D2663185-7A05-4277-8315-EF3B36B32A2B}"/>
    <cellStyle name="Normal 2 42 4" xfId="823" xr:uid="{B7728F25-5775-4B7D-BB22-E93A1197558D}"/>
    <cellStyle name="Normal 2 43" xfId="824" xr:uid="{BF045C4F-B65A-456A-9459-14812ED66B08}"/>
    <cellStyle name="Normal 2 43 2" xfId="825" xr:uid="{87EB7A1F-512D-4F8A-AA81-CF04C2E5BAAB}"/>
    <cellStyle name="Normal 2 43 3" xfId="826" xr:uid="{67FD232E-8492-4E0F-BF82-654E9267C3FC}"/>
    <cellStyle name="Normal 2 43 4" xfId="827" xr:uid="{ED1EFA91-CD37-43DC-AE61-B6241A644B6C}"/>
    <cellStyle name="Normal 2 44" xfId="828" xr:uid="{7E5856A2-EECE-488F-95EE-6B4EC4176BD6}"/>
    <cellStyle name="Normal 2 44 2" xfId="829" xr:uid="{A72015A9-E9AD-4285-83D6-BC134A3FE272}"/>
    <cellStyle name="Normal 2 44 3" xfId="830" xr:uid="{E63B8992-7864-4640-8488-FCE503244826}"/>
    <cellStyle name="Normal 2 44 4" xfId="831" xr:uid="{D714B860-1620-4025-963C-4429C2B18296}"/>
    <cellStyle name="Normal 2 45" xfId="832" xr:uid="{6453C229-20EC-4C35-A589-45D6C8058234}"/>
    <cellStyle name="Normal 2 45 2" xfId="833" xr:uid="{A69B07A5-4F5B-4CA8-BDD9-BAE3306C8DFA}"/>
    <cellStyle name="Normal 2 45 3" xfId="834" xr:uid="{9D664FBE-8EB6-4BBE-ACCC-E1277402BECF}"/>
    <cellStyle name="Normal 2 45 4" xfId="835" xr:uid="{AC4E0A1A-DF25-4BEA-97A9-4A32FC20850D}"/>
    <cellStyle name="Normal 2 46" xfId="836" xr:uid="{734774D2-46C7-439B-8355-49870A42B1E9}"/>
    <cellStyle name="Normal 2 46 2" xfId="837" xr:uid="{3419B0DA-C4BB-42EA-AE38-B74AEE61DE0F}"/>
    <cellStyle name="Normal 2 46 3" xfId="838" xr:uid="{139B4A02-899D-428B-B674-6B20718C724D}"/>
    <cellStyle name="Normal 2 46 4" xfId="839" xr:uid="{C4A24F2A-6AEB-42DC-8C82-C3360AD14F0B}"/>
    <cellStyle name="Normal 2 47" xfId="840" xr:uid="{3836EC18-B514-4CB5-BF18-961164CAF5A4}"/>
    <cellStyle name="Normal 2 47 2" xfId="841" xr:uid="{B05999A7-F980-4A52-AA5E-C444B6662E05}"/>
    <cellStyle name="Normal 2 47 3" xfId="842" xr:uid="{FAC27243-EF82-43B0-8CFD-91D34323D2DA}"/>
    <cellStyle name="Normal 2 47 4" xfId="843" xr:uid="{471568FF-8DBB-4434-8BD4-96E2B72D418B}"/>
    <cellStyle name="Normal 2 48" xfId="844" xr:uid="{81C949EC-80DF-48BE-A703-754E2E2BA0F1}"/>
    <cellStyle name="Normal 2 48 2" xfId="845" xr:uid="{4AF80ED2-3E69-4C57-AFB4-6EA3F469A2DF}"/>
    <cellStyle name="Normal 2 48 3" xfId="846" xr:uid="{DD44E323-181C-4757-AB2F-BC6A50B6A76A}"/>
    <cellStyle name="Normal 2 48 4" xfId="847" xr:uid="{6B5D8474-9921-4E1F-890A-F77CE17E1378}"/>
    <cellStyle name="Normal 2 49" xfId="848" xr:uid="{44460CE4-0C6D-46F9-9126-5733BF8713F2}"/>
    <cellStyle name="Normal 2 49 2" xfId="849" xr:uid="{EAA7E90F-2F60-46E9-BF54-90C0108CB1B8}"/>
    <cellStyle name="Normal 2 49 3" xfId="850" xr:uid="{B7120D9F-0865-49BD-BE2A-EDDF4298DB6D}"/>
    <cellStyle name="Normal 2 49 4" xfId="851" xr:uid="{93FDA25C-04EA-4407-B0B0-3CEFDD6AEFE8}"/>
    <cellStyle name="Normal 2 5" xfId="852" xr:uid="{0060262D-753C-458C-83C0-25AE2F9FD5CB}"/>
    <cellStyle name="Normal 2 5 2" xfId="853" xr:uid="{D6BC5897-0C12-41E8-9D51-18DFFA539C4A}"/>
    <cellStyle name="Normal 2 5 3" xfId="854" xr:uid="{8FE5C7AE-7B42-43F9-9F99-F830B11AA8CD}"/>
    <cellStyle name="Normal 2 5 4" xfId="855" xr:uid="{BEE36350-4383-4DFE-BD6B-81A37D45E13E}"/>
    <cellStyle name="Normal 2 50" xfId="856" xr:uid="{2E513AC6-2517-4196-9796-98B7794F5FA8}"/>
    <cellStyle name="Normal 2 50 2" xfId="857" xr:uid="{59381BD0-8BCA-4C0B-A7BF-E3FA3D49613D}"/>
    <cellStyle name="Normal 2 50 2 2" xfId="858" xr:uid="{0D0D6336-0944-44F6-9C57-A764CCCC3A80}"/>
    <cellStyle name="Normal 2 50 2 3" xfId="859" xr:uid="{E59D9C25-BE08-4A18-83DC-D9CC5F4F5FA4}"/>
    <cellStyle name="Normal 2 50 3" xfId="860" xr:uid="{B73E263F-77AF-487D-BF9E-377446AA03B7}"/>
    <cellStyle name="Normal 2 50 4" xfId="861" xr:uid="{291AE0F5-867C-4A0B-A109-6E527C030118}"/>
    <cellStyle name="Normal 2 50 5" xfId="862" xr:uid="{0EB580E0-86BD-48CF-8B8C-6C3A32F2E348}"/>
    <cellStyle name="Normal 2 51" xfId="863" xr:uid="{C0CCDE5B-AE8D-4591-8678-95DC99D89E91}"/>
    <cellStyle name="Normal 2 51 2" xfId="864" xr:uid="{DECBA5CF-4121-4221-90B9-5E6198072E09}"/>
    <cellStyle name="Normal 2 51 2 2" xfId="865" xr:uid="{18BE1E36-443C-4F0B-BC68-0FEFF198DF38}"/>
    <cellStyle name="Normal 2 51 3" xfId="866" xr:uid="{2B71FBC0-165D-405F-B909-D1DA8F7BFF43}"/>
    <cellStyle name="Normal 2 51 4" xfId="867" xr:uid="{389D1844-9629-46B3-BF34-7EDBE1AE2BB7}"/>
    <cellStyle name="Normal 2 51 5" xfId="868" xr:uid="{C4ED3D91-826A-4B33-BF41-75D53024FD51}"/>
    <cellStyle name="Normal 2 52" xfId="869" xr:uid="{59E1E283-CAF2-4E66-B9F4-BC6CAA4255F0}"/>
    <cellStyle name="Normal 2 53" xfId="870" xr:uid="{47CD2C64-1505-447F-A5F0-056230587752}"/>
    <cellStyle name="Normal 2 54" xfId="871" xr:uid="{E8E7E9AB-9997-44DD-A1F2-621508058437}"/>
    <cellStyle name="Normal 2 55" xfId="306" xr:uid="{95AFAD6A-4EB5-4CCB-B2B5-0516DD3567A8}"/>
    <cellStyle name="Normal 2 56" xfId="125" xr:uid="{5659768E-B9A6-4CF1-9386-0535D65700BB}"/>
    <cellStyle name="Normal 2 6" xfId="872" xr:uid="{4C5DAB3D-45B1-4AFA-B056-053CBA5089E4}"/>
    <cellStyle name="Normal 2 6 2" xfId="873" xr:uid="{C0711F17-3B47-42D9-9845-FC49496A5C74}"/>
    <cellStyle name="Normal 2 6 3" xfId="874" xr:uid="{2ED4BB83-44F9-4018-90F7-5250AE636E3D}"/>
    <cellStyle name="Normal 2 6 4" xfId="875" xr:uid="{56737211-C4AF-47DB-84AA-CD5D1E851ACB}"/>
    <cellStyle name="Normal 2 7" xfId="876" xr:uid="{3BEB7A12-B78A-4CAA-A529-C3D8D9FDAAE7}"/>
    <cellStyle name="Normal 2 7 2" xfId="877" xr:uid="{52B035D1-B568-4212-A4B8-E7CAD9104CA1}"/>
    <cellStyle name="Normal 2 7 3" xfId="878" xr:uid="{81C080FD-9692-4F9F-9F5D-17417C3AF00D}"/>
    <cellStyle name="Normal 2 7 4" xfId="879" xr:uid="{17561B01-965B-4CFD-8AFA-E7E70866154D}"/>
    <cellStyle name="Normal 2 78" xfId="33" xr:uid="{F1925623-9D16-4CD2-AF68-DE8B3B816252}"/>
    <cellStyle name="Normal 2 8" xfId="880" xr:uid="{293BCEB3-4944-4341-9784-3A2FA864CFC5}"/>
    <cellStyle name="Normal 2 8 2" xfId="881" xr:uid="{ABC98AA7-E7F9-4533-B134-02DAE3774955}"/>
    <cellStyle name="Normal 2 8 3" xfId="882" xr:uid="{DB73567A-2FCB-4F08-B608-9E6793DA0355}"/>
    <cellStyle name="Normal 2 8 4" xfId="883" xr:uid="{97ADD7B6-439E-433E-A00E-73F764155F53}"/>
    <cellStyle name="Normal 2 9" xfId="884" xr:uid="{0A19A0D0-DFF6-4312-8B21-D87D19CFE6C3}"/>
    <cellStyle name="Normal 2 9 2" xfId="885" xr:uid="{28EA9681-7908-4750-81EF-A2686335BCCD}"/>
    <cellStyle name="Normal 2 9 3" xfId="886" xr:uid="{E208A8BE-8199-4AD1-ACE4-81EB4E8E3B34}"/>
    <cellStyle name="Normal 2 9 4" xfId="887" xr:uid="{2D4DDB85-F00A-4C6A-BB0E-FDFD2FEB0DEC}"/>
    <cellStyle name="Normal 20" xfId="888" xr:uid="{3519CF74-3C35-411B-AA64-E560976A87BB}"/>
    <cellStyle name="Normal 21" xfId="889" xr:uid="{A87F41E9-103B-4349-A204-6D72C535911D}"/>
    <cellStyle name="Normal 21 2" xfId="890" xr:uid="{F7E47F9E-38CE-411E-A207-019DB7D4D551}"/>
    <cellStyle name="Normal 21 2 2" xfId="891" xr:uid="{B29E76D9-9844-4E59-973D-246268E9A07D}"/>
    <cellStyle name="Normal 21 2 3" xfId="892" xr:uid="{4E02CF59-AFBF-4D51-8B2B-A4A9E9682F0E}"/>
    <cellStyle name="Normal 21 2 4" xfId="893" xr:uid="{E1611F16-469A-4800-9847-0C8FA4A3A888}"/>
    <cellStyle name="Normal 21 3" xfId="894" xr:uid="{8E4A3587-C9C6-409C-988B-EF4C3F3424AA}"/>
    <cellStyle name="Normal 21 3 2" xfId="895" xr:uid="{375F5679-9BC8-40B7-8285-A0AEE70FA6E7}"/>
    <cellStyle name="Normal 21 3 2 2" xfId="896" xr:uid="{B995321B-3751-415E-BEAA-B11A983E7775}"/>
    <cellStyle name="Normal 21 3 2 3" xfId="897" xr:uid="{71D4BB08-166C-4F35-BB34-AC7E1CE9716F}"/>
    <cellStyle name="Normal 21 3 2 4" xfId="898" xr:uid="{BAD9B20A-58D9-404B-A553-3F6B20A4F34E}"/>
    <cellStyle name="Normal 21 3 3" xfId="899" xr:uid="{E8E7D35F-D751-4037-927E-C5BA80223080}"/>
    <cellStyle name="Normal 21 3 4" xfId="900" xr:uid="{B0426875-FA65-46C5-BCCD-F18579DE57A5}"/>
    <cellStyle name="Normal 21 3 5" xfId="901" xr:uid="{7585EFE4-081F-4FBC-92E6-B905DDFEDCDB}"/>
    <cellStyle name="Normal 21 4" xfId="902" xr:uid="{61A3E51D-35AE-41CE-867B-F54F52F5D6F6}"/>
    <cellStyle name="Normal 21 5" xfId="903" xr:uid="{9DCD8B8B-4528-4B25-8575-5EF4957D3142}"/>
    <cellStyle name="Normal 21 6" xfId="904" xr:uid="{AB8536A4-766A-41EF-A8C9-1BCEDD20D81A}"/>
    <cellStyle name="Normal 22" xfId="30" xr:uid="{EB482CD0-C36D-4429-9EE7-C2BEC488D9EF}"/>
    <cellStyle name="Normal 23" xfId="905" xr:uid="{209BB1FD-3F56-4AC8-BB93-BE649ADDBE23}"/>
    <cellStyle name="Normal 23 2" xfId="906" xr:uid="{4DACB353-3205-4607-9627-115344E94936}"/>
    <cellStyle name="Normal 23 3" xfId="907" xr:uid="{F99EDC13-4ED1-4826-A6FD-86C38362B1F3}"/>
    <cellStyle name="Normal 23 4" xfId="908" xr:uid="{31650B4C-9BE3-4134-A9B2-D29FB91DD315}"/>
    <cellStyle name="Normal 23 5" xfId="909" xr:uid="{B570AE66-CF52-46F3-AF86-A01F31BB175F}"/>
    <cellStyle name="Normal 24" xfId="910" xr:uid="{0E4A7695-E63D-42F3-9F2E-670EC29A63C3}"/>
    <cellStyle name="Normal 24 2" xfId="911" xr:uid="{994BD4F2-D740-42CC-A813-55F99CAAAADE}"/>
    <cellStyle name="Normal 24 2 2" xfId="912" xr:uid="{BF35745F-2014-4D09-8150-EF55C55687DF}"/>
    <cellStyle name="Normal 24 2 3" xfId="913" xr:uid="{D80D2087-38D1-4797-99CE-DCD829070C97}"/>
    <cellStyle name="Normal 24 2 4" xfId="914" xr:uid="{5DBBD2A3-AAA5-483A-AE80-20A072C93D73}"/>
    <cellStyle name="Normal 24 3" xfId="915" xr:uid="{FB1208A0-1330-41B1-B213-A9F383CD6DFB}"/>
    <cellStyle name="Normal 24 3 2" xfId="916" xr:uid="{B1B03E01-4663-406F-9107-E93F8C48D16D}"/>
    <cellStyle name="Normal 24 3 2 2" xfId="917" xr:uid="{419E92B5-B672-4C47-97FE-687D6C71FD9E}"/>
    <cellStyle name="Normal 24 3 2 3" xfId="918" xr:uid="{69E742DB-9F90-447F-AF54-575F8E462BFC}"/>
    <cellStyle name="Normal 24 3 2 4" xfId="919" xr:uid="{2C939929-4F7A-407C-B86D-B2AE51DC66FE}"/>
    <cellStyle name="Normal 24 3 3" xfId="920" xr:uid="{75AC3A67-C745-452C-A489-5ABDF70525BF}"/>
    <cellStyle name="Normal 24 3 4" xfId="921" xr:uid="{C062B580-4E23-4429-B575-4DBF9BF41F61}"/>
    <cellStyle name="Normal 24 3 5" xfId="922" xr:uid="{D14666D8-E56B-4741-951A-42DAD041B7E2}"/>
    <cellStyle name="Normal 24 4" xfId="923" xr:uid="{90532502-BE0A-4486-8DAB-4AC07AA80E79}"/>
    <cellStyle name="Normal 24 5" xfId="924" xr:uid="{8963627D-E91E-4F1F-8FDD-DC16DABA03C3}"/>
    <cellStyle name="Normal 24 6" xfId="925" xr:uid="{8447B0ED-0483-49D2-BE6D-27E606F773DA}"/>
    <cellStyle name="Normal 25" xfId="926" xr:uid="{6A095F08-5679-43DB-A9A3-96D222722B03}"/>
    <cellStyle name="Normal 25 2" xfId="927" xr:uid="{F56CA5C3-5370-4180-8DCE-9EB9C7DC18F7}"/>
    <cellStyle name="Normal 25 2 2" xfId="928" xr:uid="{E9D41F5C-547D-4C79-9539-38B6317E1378}"/>
    <cellStyle name="Normal 25 2 3" xfId="929" xr:uid="{7ADA6CBC-A9C7-4293-B6E0-32CC6C67C771}"/>
    <cellStyle name="Normal 25 2 4" xfId="930" xr:uid="{EEDF7ECD-165A-45E7-9065-0F83C75C4C76}"/>
    <cellStyle name="Normal 25 3" xfId="931" xr:uid="{5AD44D8A-882B-4801-A536-A592F3EF0ABE}"/>
    <cellStyle name="Normal 25 3 2" xfId="932" xr:uid="{DC651ED4-471E-44B3-9092-8CB63FDF62B4}"/>
    <cellStyle name="Normal 25 3 2 2" xfId="933" xr:uid="{0D23B17A-1ABB-4123-BE4C-8901096E1944}"/>
    <cellStyle name="Normal 25 3 2 3" xfId="934" xr:uid="{933AF475-E931-49BE-9E79-121E73A4EB22}"/>
    <cellStyle name="Normal 25 3 2 4" xfId="935" xr:uid="{2FB04EFC-B26E-4485-84AE-35097C21D237}"/>
    <cellStyle name="Normal 25 3 3" xfId="936" xr:uid="{8592E67A-C95B-482F-8482-E455997483A8}"/>
    <cellStyle name="Normal 25 3 4" xfId="937" xr:uid="{00826794-48D6-4F3E-A645-E167D88BE269}"/>
    <cellStyle name="Normal 25 3 5" xfId="938" xr:uid="{DECE9CE9-CB32-4BBC-B4DF-E241BDB2301F}"/>
    <cellStyle name="Normal 25 4" xfId="939" xr:uid="{DF602B7F-CD3B-4F05-B0E3-D9B902694FF7}"/>
    <cellStyle name="Normal 25 5" xfId="940" xr:uid="{1DD73658-AA84-4EBD-B009-6571AEC96E6C}"/>
    <cellStyle name="Normal 25 6" xfId="941" xr:uid="{9FD25C82-B7AB-40EB-94F9-3CE411A87785}"/>
    <cellStyle name="Normal 25 6 2" xfId="56" xr:uid="{84568818-0BC7-4B12-A657-90340925A943}"/>
    <cellStyle name="Normal 25 6 2 2" xfId="57" xr:uid="{792CDC5A-D3BD-46AD-B1AC-5DB511A5F5B8}"/>
    <cellStyle name="Normal 26" xfId="942" xr:uid="{F3E2DB6B-5D97-4D2A-B930-05EEFF7E7D8F}"/>
    <cellStyle name="Normal 26 2" xfId="943" xr:uid="{D8976F0D-0AB6-4637-88DF-AEF8F6A5653D}"/>
    <cellStyle name="Normal 26 2 2" xfId="944" xr:uid="{58741E98-1D08-439A-8159-9A55E115BF3C}"/>
    <cellStyle name="Normal 26 3" xfId="945" xr:uid="{BAC44D98-C260-4B79-BD17-D6BE0E8A8F3E}"/>
    <cellStyle name="Normal 26 4" xfId="946" xr:uid="{ABEF59B8-6E1C-4C10-972E-B042C2AC4DD6}"/>
    <cellStyle name="Normal 26 5" xfId="947" xr:uid="{C8AD8C93-151E-45AF-B6E0-0B1BE1BD7BE7}"/>
    <cellStyle name="Normal 27" xfId="948" xr:uid="{8EAB7347-6EA6-46B0-82FC-988B283E1F32}"/>
    <cellStyle name="Normal 27 2" xfId="949" xr:uid="{75C48DB7-2070-45F9-97FE-28CECF7A0C65}"/>
    <cellStyle name="Normal 27 2 2" xfId="950" xr:uid="{3386E7E4-56F5-4DFA-9DDF-3BEC7296B155}"/>
    <cellStyle name="Normal 27 2 3" xfId="951" xr:uid="{DFB47B60-0F1E-4872-B80F-67A82E17416A}"/>
    <cellStyle name="Normal 27 2 4" xfId="952" xr:uid="{BD6EF248-0122-4BB7-B5D2-38D7A317C4BD}"/>
    <cellStyle name="Normal 27 3" xfId="953" xr:uid="{7A82E749-6D6E-4043-952C-042D9FFBB4A9}"/>
    <cellStyle name="Normal 27 3 2" xfId="954" xr:uid="{FE59FA4C-FF57-435D-BAAA-42B10EB9F255}"/>
    <cellStyle name="Normal 27 3 2 2" xfId="955" xr:uid="{DED11119-4DB4-4A36-8F78-A927C77027B7}"/>
    <cellStyle name="Normal 27 3 2 3" xfId="956" xr:uid="{D9686EFD-F467-470D-A854-9C8125A133C1}"/>
    <cellStyle name="Normal 27 3 2 4" xfId="957" xr:uid="{A6193852-75F7-4554-AD57-50AD114B2958}"/>
    <cellStyle name="Normal 27 3 3" xfId="958" xr:uid="{3065C894-9879-4287-BD3C-B6E2EB22B9FC}"/>
    <cellStyle name="Normal 27 3 4" xfId="959" xr:uid="{617E936D-49E5-4494-AA75-47C043EA1DFB}"/>
    <cellStyle name="Normal 27 3 5" xfId="960" xr:uid="{0E32C5BE-17D5-48E6-8E12-89681B37D347}"/>
    <cellStyle name="Normal 27 4" xfId="961" xr:uid="{30FA11EF-EDC0-4735-B646-8639983E33F7}"/>
    <cellStyle name="Normal 27 5" xfId="962" xr:uid="{2393D04A-B57C-48AE-9AAE-4908676D1259}"/>
    <cellStyle name="Normal 27 6" xfId="963" xr:uid="{ED7B260C-6182-4D84-A40A-398DFD6FF8E7}"/>
    <cellStyle name="Normal 29" xfId="964" xr:uid="{1A3524F5-4375-4C20-8FC3-015FCDBFAA75}"/>
    <cellStyle name="Normal 29 2" xfId="965" xr:uid="{69650849-7194-4A25-BA1B-0586BF53DA3A}"/>
    <cellStyle name="Normal 29 2 2" xfId="966" xr:uid="{58C41CD1-36E6-476B-9BC0-89BABD8923FA}"/>
    <cellStyle name="Normal 29 2 3" xfId="967" xr:uid="{AAD04B48-8E78-44F3-8AE8-E425319FB3FF}"/>
    <cellStyle name="Normal 29 2 4" xfId="968" xr:uid="{F8B673DE-1651-496B-9529-80F37744AA4B}"/>
    <cellStyle name="Normal 29 3" xfId="969" xr:uid="{29D0FB41-113D-4F97-AB53-29B4438497F8}"/>
    <cellStyle name="Normal 29 3 2" xfId="970" xr:uid="{0546D7AB-4AE2-41E8-BD9D-171A2A131215}"/>
    <cellStyle name="Normal 29 3 2 2" xfId="971" xr:uid="{F0DC1846-079C-497B-8179-1A631077AC46}"/>
    <cellStyle name="Normal 29 3 2 3" xfId="972" xr:uid="{A52DAECC-D6AA-45CB-8108-75C7F06E6522}"/>
    <cellStyle name="Normal 29 3 2 4" xfId="973" xr:uid="{0DCD44F7-5774-42D9-A7AC-9038DBED4071}"/>
    <cellStyle name="Normal 29 3 3" xfId="974" xr:uid="{F9DC4DDC-39BD-41F5-A542-71D9019D4A61}"/>
    <cellStyle name="Normal 29 3 4" xfId="975" xr:uid="{65B0DEF3-E9BE-4CAF-A665-CF1F697DF759}"/>
    <cellStyle name="Normal 29 3 5" xfId="976" xr:uid="{EFE5BE8A-26A6-4ED3-B726-0FCE52B577B8}"/>
    <cellStyle name="Normal 29 4" xfId="977" xr:uid="{2A8A6D75-6E62-4B18-A5EC-BC49AF1CBF8C}"/>
    <cellStyle name="Normal 29 5" xfId="978" xr:uid="{5170A318-6CFD-46CE-9EA7-6BD26CA621BA}"/>
    <cellStyle name="Normal 29 6" xfId="979" xr:uid="{F9BC31FC-AB00-4BB6-A16E-AB91132F877B}"/>
    <cellStyle name="Normal 3" xfId="2" xr:uid="{2DFF8984-1463-4BCC-913B-9C5D2F34E7E5}"/>
    <cellStyle name="Normal 3 10" xfId="980" xr:uid="{5D8C0AA4-D64B-400D-99DD-1C5B20986F38}"/>
    <cellStyle name="Normal 3 10 2" xfId="981" xr:uid="{002177F4-916D-4F7F-82EC-B13CEFFB1C48}"/>
    <cellStyle name="Normal 3 10 3" xfId="982" xr:uid="{D84D26F7-58E5-47A4-80D0-76522FF5C611}"/>
    <cellStyle name="Normal 3 10 4" xfId="983" xr:uid="{BA83E5A4-E8B8-4D3B-9CAD-D58C81F8B2E5}"/>
    <cellStyle name="Normal 3 11" xfId="984" xr:uid="{42D0D0C5-4395-4979-B74C-F34BA474AF38}"/>
    <cellStyle name="Normal 3 11 2" xfId="985" xr:uid="{040FAF1C-92A4-44D9-AC4B-E5FA2DE8A18B}"/>
    <cellStyle name="Normal 3 11 3" xfId="986" xr:uid="{7339F443-0E3B-4E57-A6D7-2736938124BE}"/>
    <cellStyle name="Normal 3 11 4" xfId="987" xr:uid="{50F77AA5-2B8C-40CC-B391-CB3BAF16C3E8}"/>
    <cellStyle name="Normal 3 12" xfId="988" xr:uid="{C7B4B1CE-7EA7-4867-A601-CE7E6520D16B}"/>
    <cellStyle name="Normal 3 12 2" xfId="989" xr:uid="{3EBEF302-F4E2-4505-BAB5-CA48A3C1B7DC}"/>
    <cellStyle name="Normal 3 12 3" xfId="990" xr:uid="{B52CECF5-7E52-4244-B190-BAAF17BBDD06}"/>
    <cellStyle name="Normal 3 12 4" xfId="991" xr:uid="{2BC8FAD4-F3F5-4FE3-A021-8982DD585421}"/>
    <cellStyle name="Normal 3 13" xfId="992" xr:uid="{3C25AE34-7F35-4F54-8282-13BA50CEBF68}"/>
    <cellStyle name="Normal 3 13 2" xfId="993" xr:uid="{D92A19D2-5C7E-4DF0-9026-23479B7FC8E7}"/>
    <cellStyle name="Normal 3 13 3" xfId="994" xr:uid="{843EABCF-48A9-46F4-AB59-D6ADA3F3CB9B}"/>
    <cellStyle name="Normal 3 13 4" xfId="995" xr:uid="{D22A08BE-0F21-4B03-A94E-95BEE26F640E}"/>
    <cellStyle name="Normal 3 14" xfId="996" xr:uid="{050FD061-1BFF-4F4E-8430-239EDA8E2299}"/>
    <cellStyle name="Normal 3 14 2" xfId="997" xr:uid="{2AAEB83A-C504-4BE1-B863-86C7B6DFAC29}"/>
    <cellStyle name="Normal 3 14 3" xfId="998" xr:uid="{CDBD585D-EA07-489D-9ECB-0C63B7FD2C8D}"/>
    <cellStyle name="Normal 3 14 4" xfId="999" xr:uid="{4DFE8990-D8EE-47DD-9677-95BD9FCF74D2}"/>
    <cellStyle name="Normal 3 15" xfId="1000" xr:uid="{2951637E-D226-4602-8B0E-340D8A95747E}"/>
    <cellStyle name="Normal 3 15 2" xfId="1001" xr:uid="{262FB924-0C31-4CC5-92B2-3C9DD167536C}"/>
    <cellStyle name="Normal 3 15 3" xfId="1002" xr:uid="{07B02C6A-A5CE-41E0-8BBE-5ED42F70380B}"/>
    <cellStyle name="Normal 3 15 4" xfId="1003" xr:uid="{E591BF29-83F4-4D0F-85FD-B36851D2122F}"/>
    <cellStyle name="Normal 3 16" xfId="1004" xr:uid="{D34C26A2-3C4C-43B3-8A52-0DF6D87AD09A}"/>
    <cellStyle name="Normal 3 16 2" xfId="1005" xr:uid="{E2FC660F-9A76-4D16-8874-D1B4493D6322}"/>
    <cellStyle name="Normal 3 16 3" xfId="1006" xr:uid="{64E8F015-6CD2-417A-BED1-0332BD5D78B2}"/>
    <cellStyle name="Normal 3 16 4" xfId="1007" xr:uid="{80077414-2B5A-494F-9665-E48A45A5FE09}"/>
    <cellStyle name="Normal 3 17" xfId="1008" xr:uid="{F93A4A57-0567-41B6-8D1F-BF6C1AE86ADA}"/>
    <cellStyle name="Normal 3 17 2" xfId="1009" xr:uid="{842827D2-B7E9-46AF-9BC7-7A89F19599A2}"/>
    <cellStyle name="Normal 3 17 3" xfId="1010" xr:uid="{801040F9-FCA6-4738-8CB7-03D8335D625F}"/>
    <cellStyle name="Normal 3 17 4" xfId="1011" xr:uid="{87C007A1-4C57-4962-982C-2B265E50F047}"/>
    <cellStyle name="Normal 3 18" xfId="1012" xr:uid="{B17E4BCD-06DB-43A4-920B-D8B318FC6B7A}"/>
    <cellStyle name="Normal 3 18 2" xfId="1013" xr:uid="{62C1EE9B-7322-4635-925E-F586F00B6763}"/>
    <cellStyle name="Normal 3 18 3" xfId="1014" xr:uid="{80EAA515-B7B4-4D82-B343-3E455B7161C3}"/>
    <cellStyle name="Normal 3 18 4" xfId="1015" xr:uid="{3BF67907-201B-48C4-8369-BDB3B63DCCBC}"/>
    <cellStyle name="Normal 3 19" xfId="1016" xr:uid="{B13FA4F1-069A-49EB-A53A-68EF0143EAFC}"/>
    <cellStyle name="Normal 3 19 2" xfId="1017" xr:uid="{A1835B24-5FAD-4599-A972-0B9526D3C426}"/>
    <cellStyle name="Normal 3 19 3" xfId="1018" xr:uid="{78702D60-6182-462A-98BC-19FFC66D93D5}"/>
    <cellStyle name="Normal 3 19 4" xfId="1019" xr:uid="{33B91982-36BE-405B-AA09-AD28886F1B10}"/>
    <cellStyle name="Normal 3 2" xfId="128" xr:uid="{77DD441A-00AD-4FE5-BA27-ADB556AD442F}"/>
    <cellStyle name="Normal 3 2 10" xfId="1021" xr:uid="{1A14AACB-7C0B-4312-9A1C-36B294C12179}"/>
    <cellStyle name="Normal 3 2 10 2" xfId="1022" xr:uid="{EF19E99A-B4F2-485A-A97E-76D56D9414AC}"/>
    <cellStyle name="Normal 3 2 10 3" xfId="1023" xr:uid="{813FF272-6FD9-4932-8091-CB383B3FC09E}"/>
    <cellStyle name="Normal 3 2 11" xfId="1024" xr:uid="{E321291A-F964-4665-9485-D337A36FCA50}"/>
    <cellStyle name="Normal 3 2 11 2" xfId="1025" xr:uid="{B3449129-9C65-4180-857C-020CDAF27191}"/>
    <cellStyle name="Normal 3 2 11 3" xfId="1026" xr:uid="{C75CF062-C0AC-4D67-BB73-4D0C84A2BBCB}"/>
    <cellStyle name="Normal 3 2 12" xfId="1027" xr:uid="{2BD4D83A-9908-455F-BCA1-DDCC3FB51451}"/>
    <cellStyle name="Normal 3 2 12 2" xfId="1028" xr:uid="{3EF9B855-2D9E-4760-8D62-A30D78ED42BB}"/>
    <cellStyle name="Normal 3 2 12 3" xfId="1029" xr:uid="{E58E48A0-FEA1-4189-A8E7-CF301420200A}"/>
    <cellStyle name="Normal 3 2 13" xfId="1030" xr:uid="{87534D76-5BD1-475A-80B5-091BCC80CEC8}"/>
    <cellStyle name="Normal 3 2 13 2" xfId="1031" xr:uid="{3CCC64CB-045E-4612-ACA4-3D79AC41A39E}"/>
    <cellStyle name="Normal 3 2 13 3" xfId="1032" xr:uid="{59859DCF-5D51-4959-A3F8-3FC595BE1FB4}"/>
    <cellStyle name="Normal 3 2 14" xfId="1033" xr:uid="{7E5D8E14-0F03-4BDD-8C5D-902C60EE70CE}"/>
    <cellStyle name="Normal 3 2 14 2" xfId="1034" xr:uid="{BF1E02FA-1BFE-4B31-86FD-9E96C4FFD1D9}"/>
    <cellStyle name="Normal 3 2 14 3" xfId="1035" xr:uid="{AC0A2FB3-6F7B-40EA-AE1D-3030350A0B8F}"/>
    <cellStyle name="Normal 3 2 15" xfId="1036" xr:uid="{ACE82C1E-FDEF-4051-BA4B-3430D245EC22}"/>
    <cellStyle name="Normal 3 2 15 2" xfId="1037" xr:uid="{0D44B352-07C8-45D4-9504-67DF5ACF0A02}"/>
    <cellStyle name="Normal 3 2 15 3" xfId="1038" xr:uid="{C92760CE-CEE9-4CDF-92EF-C4EF26D21F69}"/>
    <cellStyle name="Normal 3 2 16" xfId="1039" xr:uid="{76A414B1-27E7-4612-B4AD-954B901B4F58}"/>
    <cellStyle name="Normal 3 2 16 2" xfId="1040" xr:uid="{51E8E3B2-C59B-49A4-9B36-AC9E99AB5DEF}"/>
    <cellStyle name="Normal 3 2 16 3" xfId="1041" xr:uid="{4F301EEF-E28E-4FE1-AB53-4AC83788419B}"/>
    <cellStyle name="Normal 3 2 17" xfId="1042" xr:uid="{8E4CD33B-0B7C-4228-9396-32D75D1ADBE3}"/>
    <cellStyle name="Normal 3 2 17 2" xfId="1043" xr:uid="{5EB60CCF-F1B1-49DE-B419-F6593330EFFB}"/>
    <cellStyle name="Normal 3 2 17 3" xfId="1044" xr:uid="{2A57D13F-33E9-45A3-A0C8-3E680D2CD5FD}"/>
    <cellStyle name="Normal 3 2 18" xfId="1045" xr:uid="{125D93B0-F28A-481F-8AE1-6E95E8A39465}"/>
    <cellStyle name="Normal 3 2 18 2" xfId="1046" xr:uid="{1D260C1B-569F-4B70-9EB3-92EBF5C902DD}"/>
    <cellStyle name="Normal 3 2 18 3" xfId="1047" xr:uid="{CB1F70A0-2261-4A31-A499-1FF6C6F4BF80}"/>
    <cellStyle name="Normal 3 2 19" xfId="1048" xr:uid="{8E89B09E-204C-4AA1-BA86-BFA8D7E665F8}"/>
    <cellStyle name="Normal 3 2 19 2" xfId="1049" xr:uid="{354F6594-9F78-4008-B33A-7496E8ADB1AC}"/>
    <cellStyle name="Normal 3 2 19 3" xfId="1050" xr:uid="{0819AF29-1D7D-44C9-8B13-BCE822EDC343}"/>
    <cellStyle name="Normal 3 2 2" xfId="10" xr:uid="{1E84F218-6A38-4F2D-85B9-26FF2A19DE04}"/>
    <cellStyle name="Normal 3 2 2 10" xfId="1052" xr:uid="{6CCEB8E6-B074-416A-85AF-22E5EFEF6D73}"/>
    <cellStyle name="Normal 3 2 2 10 2" xfId="1053" xr:uid="{5B5986F4-A058-4E24-983D-C7D42E26B37F}"/>
    <cellStyle name="Normal 3 2 2 10 3" xfId="1054" xr:uid="{311D7B3D-3300-4598-8CD5-1D91A0298FBB}"/>
    <cellStyle name="Normal 3 2 2 10 4" xfId="1055" xr:uid="{6026EFCD-1FB8-4AE0-83C2-280615194F60}"/>
    <cellStyle name="Normal 3 2 2 11" xfId="1056" xr:uid="{3E17EBA6-A56A-44BF-9188-BE2EAC27DD0E}"/>
    <cellStyle name="Normal 3 2 2 11 2" xfId="1057" xr:uid="{B2E88544-1163-459C-883B-14278295E1F9}"/>
    <cellStyle name="Normal 3 2 2 11 3" xfId="1058" xr:uid="{2E0D7F34-1791-47E4-B491-EEBD6BE6F0BA}"/>
    <cellStyle name="Normal 3 2 2 11 4" xfId="1059" xr:uid="{87BDEEF5-5CD5-497D-83D7-828AD0382601}"/>
    <cellStyle name="Normal 3 2 2 12" xfId="1060" xr:uid="{3CED5DC0-1EE5-45C5-871E-F59193A1FE17}"/>
    <cellStyle name="Normal 3 2 2 12 2" xfId="1061" xr:uid="{20844C55-76C6-41F0-8480-9671FDC979D7}"/>
    <cellStyle name="Normal 3 2 2 12 3" xfId="1062" xr:uid="{EF10C650-D28A-4662-AC05-823CD64A502A}"/>
    <cellStyle name="Normal 3 2 2 12 4" xfId="1063" xr:uid="{B4DFFB7B-7678-4605-98F4-DF5557ACA35D}"/>
    <cellStyle name="Normal 3 2 2 13" xfId="1064" xr:uid="{10E7FA4B-3199-4179-BD3B-C3137DC8352D}"/>
    <cellStyle name="Normal 3 2 2 13 2" xfId="1065" xr:uid="{C16CFF78-6382-43E7-AAAE-6AC891DC4FF1}"/>
    <cellStyle name="Normal 3 2 2 13 3" xfId="1066" xr:uid="{DEFF5F4C-40DD-4E93-9B3E-51D57042F50B}"/>
    <cellStyle name="Normal 3 2 2 13 4" xfId="1067" xr:uid="{57F6978E-3625-4504-87F6-3E0AAA9A03C4}"/>
    <cellStyle name="Normal 3 2 2 14" xfId="1068" xr:uid="{DFCAD2EA-35FF-47FD-9275-A8814A18667C}"/>
    <cellStyle name="Normal 3 2 2 14 2" xfId="1069" xr:uid="{AED6F1E8-A3E6-4055-92BA-898CB4BA9CA5}"/>
    <cellStyle name="Normal 3 2 2 14 3" xfId="1070" xr:uid="{14BD50D5-40D2-4941-BEF2-DCAEF8A2279E}"/>
    <cellStyle name="Normal 3 2 2 14 4" xfId="1071" xr:uid="{EDC7D60E-D4BD-4FEE-85DA-3D6DC59524F3}"/>
    <cellStyle name="Normal 3 2 2 15" xfId="1072" xr:uid="{ADC3B507-8C4E-4951-ACEB-4BAD30F9B7A4}"/>
    <cellStyle name="Normal 3 2 2 15 2" xfId="1073" xr:uid="{886FA727-7A50-4D0F-A7BB-762DA2CD7570}"/>
    <cellStyle name="Normal 3 2 2 15 3" xfId="1074" xr:uid="{79006F51-458B-48A1-9057-0B5EC10EADA5}"/>
    <cellStyle name="Normal 3 2 2 15 4" xfId="1075" xr:uid="{AE3052CA-DB5D-487B-B218-77502288CD06}"/>
    <cellStyle name="Normal 3 2 2 16" xfId="1076" xr:uid="{2FB5EA4C-CA2D-4586-A64D-498D8A69CA88}"/>
    <cellStyle name="Normal 3 2 2 16 2" xfId="1077" xr:uid="{1B4AA6B8-02A0-488E-BB54-D6B2945EDB27}"/>
    <cellStyle name="Normal 3 2 2 16 3" xfId="1078" xr:uid="{DBE109A0-2C20-479E-BA77-E0D1E91AA537}"/>
    <cellStyle name="Normal 3 2 2 16 4" xfId="1079" xr:uid="{5534A350-C151-4591-876C-884E3FD0E043}"/>
    <cellStyle name="Normal 3 2 2 17" xfId="1080" xr:uid="{32A48106-644B-4AED-BA65-54C057978030}"/>
    <cellStyle name="Normal 3 2 2 17 2" xfId="1081" xr:uid="{5DA65FCE-5ECF-4E21-B1D6-0CC862F54251}"/>
    <cellStyle name="Normal 3 2 2 17 3" xfId="1082" xr:uid="{FC6D15ED-18E2-43D4-8889-32E7134645B7}"/>
    <cellStyle name="Normal 3 2 2 17 4" xfId="1083" xr:uid="{5A695BAF-102C-4BED-B31C-D1C2B751DF81}"/>
    <cellStyle name="Normal 3 2 2 18" xfId="1084" xr:uid="{1E1FEC86-CBC2-4AD9-9555-8ED04BD232C3}"/>
    <cellStyle name="Normal 3 2 2 18 2" xfId="1085" xr:uid="{EFC874A2-9E27-42EA-8520-729D46BCAF86}"/>
    <cellStyle name="Normal 3 2 2 18 3" xfId="1086" xr:uid="{61A6C626-2C9F-4F44-AFCE-E8DCDC3AE450}"/>
    <cellStyle name="Normal 3 2 2 18 4" xfId="1087" xr:uid="{8F4FF87D-CCEC-4D32-A0E4-4D3927E459FD}"/>
    <cellStyle name="Normal 3 2 2 19" xfId="1088" xr:uid="{548CBCE6-5951-417C-B30C-72860C6C0B64}"/>
    <cellStyle name="Normal 3 2 2 19 2" xfId="1089" xr:uid="{DDA7F1CF-9A02-482D-BBBE-8A067FD0E84A}"/>
    <cellStyle name="Normal 3 2 2 19 3" xfId="1090" xr:uid="{9F8B3EAC-0946-4155-9208-E7B77A930ECB}"/>
    <cellStyle name="Normal 3 2 2 19 4" xfId="1091" xr:uid="{2B292430-8C36-4FD3-9F06-45B2F7947887}"/>
    <cellStyle name="Normal 3 2 2 2" xfId="21" xr:uid="{88520D55-6E84-4A6D-963C-C770D3798059}"/>
    <cellStyle name="Normal 3 2 2 2 2" xfId="1093" xr:uid="{211E2652-D51E-4D30-8614-610F77EF23DB}"/>
    <cellStyle name="Normal 3 2 2 2 3" xfId="1094" xr:uid="{62498942-6DE4-44DB-A971-F7988FF9E610}"/>
    <cellStyle name="Normal 3 2 2 2 4" xfId="1095" xr:uid="{DA499935-E442-4708-A29E-0A42314DB997}"/>
    <cellStyle name="Normal 3 2 2 2 5" xfId="1092" xr:uid="{95994E21-0A8A-419A-BF78-97F4252B5380}"/>
    <cellStyle name="Normal 3 2 2 2 6" xfId="2241" xr:uid="{9B63B0B8-2A13-4F97-BFE6-C06DF6ED24B9}"/>
    <cellStyle name="Normal 3 2 2 2 6 2" xfId="2247" xr:uid="{2E6FD2D3-4511-425B-A83C-ECF4C69F82EF}"/>
    <cellStyle name="Normal 3 2 2 20" xfId="1096" xr:uid="{034EF84D-C92C-4D17-B706-88709BA55EAD}"/>
    <cellStyle name="Normal 3 2 2 20 2" xfId="1097" xr:uid="{B75C5867-58DE-4FA5-847B-AE5C49C2E501}"/>
    <cellStyle name="Normal 3 2 2 20 3" xfId="1098" xr:uid="{D4A04CD3-DA45-4363-B613-FE526ABF7172}"/>
    <cellStyle name="Normal 3 2 2 20 4" xfId="1099" xr:uid="{3C97F5F7-385C-448E-BF0D-780D02F66332}"/>
    <cellStyle name="Normal 3 2 2 21" xfId="1100" xr:uid="{38BA1269-C1B5-48B3-85C6-639D7791EA14}"/>
    <cellStyle name="Normal 3 2 2 21 2" xfId="1101" xr:uid="{2D19A153-A4E2-483B-8234-0A049BC1153C}"/>
    <cellStyle name="Normal 3 2 2 21 3" xfId="1102" xr:uid="{AFE3E8EC-4B25-4870-8165-8ADA636CEEF3}"/>
    <cellStyle name="Normal 3 2 2 21 4" xfId="1103" xr:uid="{8F2AE07E-AE87-473B-808C-4F865A961DC1}"/>
    <cellStyle name="Normal 3 2 2 22" xfId="1104" xr:uid="{0CED7EE9-8B67-4397-94FC-C3399813B662}"/>
    <cellStyle name="Normal 3 2 2 22 2" xfId="1105" xr:uid="{BBFFAEA0-9BC7-4FBA-A806-1BCF73D56B7F}"/>
    <cellStyle name="Normal 3 2 2 22 3" xfId="1106" xr:uid="{8451E374-D6D7-4C80-9F37-9CDFE980B334}"/>
    <cellStyle name="Normal 3 2 2 22 4" xfId="1107" xr:uid="{B4FAEC47-43D7-465E-BD20-0CD3A8F70C88}"/>
    <cellStyle name="Normal 3 2 2 23" xfId="1108" xr:uid="{AFB73989-FC5B-49E1-9571-5486575FD5AC}"/>
    <cellStyle name="Normal 3 2 2 23 2" xfId="1109" xr:uid="{B24B8D4A-A888-4879-9432-77156A8F05FA}"/>
    <cellStyle name="Normal 3 2 2 23 3" xfId="1110" xr:uid="{A1764E59-6D80-41CE-95DF-2D07952085CC}"/>
    <cellStyle name="Normal 3 2 2 23 4" xfId="1111" xr:uid="{DAA7A3AC-BAA4-444F-B141-BD1481F6AA06}"/>
    <cellStyle name="Normal 3 2 2 24" xfId="1112" xr:uid="{24E7DC7E-1BB9-4D75-BE0C-C5070A4CEF2F}"/>
    <cellStyle name="Normal 3 2 2 24 2" xfId="1113" xr:uid="{4128A20C-CBAA-4328-8149-822CD165FCDE}"/>
    <cellStyle name="Normal 3 2 2 24 3" xfId="1114" xr:uid="{DDCBC3D5-EDE8-4B82-BC7A-0BFDEF027261}"/>
    <cellStyle name="Normal 3 2 2 24 4" xfId="1115" xr:uid="{1A406070-D0CA-4885-8DD3-8A1B6CB97625}"/>
    <cellStyle name="Normal 3 2 2 25" xfId="1116" xr:uid="{7A3A688B-7D59-46C4-BDA0-4C2F9B9945A4}"/>
    <cellStyle name="Normal 3 2 2 25 2" xfId="1117" xr:uid="{4867B2D8-9D2E-4DC3-8686-3A96246E69F0}"/>
    <cellStyle name="Normal 3 2 2 25 3" xfId="1118" xr:uid="{F5DCDF2B-60FE-4612-8317-81E822EFC68F}"/>
    <cellStyle name="Normal 3 2 2 25 4" xfId="1119" xr:uid="{D671B2CE-E615-4496-A031-B472C3B0CFDF}"/>
    <cellStyle name="Normal 3 2 2 26" xfId="1120" xr:uid="{065BBE4C-1CC7-4962-BB1A-BA654ADAF9BF}"/>
    <cellStyle name="Normal 3 2 2 26 2" xfId="1121" xr:uid="{E01B8B2C-5AE5-4A30-9CF1-C1795F5600E1}"/>
    <cellStyle name="Normal 3 2 2 26 3" xfId="1122" xr:uid="{94BD2ECC-C483-4B77-A7C7-681CEF9023A5}"/>
    <cellStyle name="Normal 3 2 2 26 4" xfId="1123" xr:uid="{3E587A04-A574-4983-9EA3-A50CFB1DA229}"/>
    <cellStyle name="Normal 3 2 2 27" xfId="1124" xr:uid="{B2384386-0257-4F0B-90FF-69CFCB2D96F5}"/>
    <cellStyle name="Normal 3 2 2 27 2" xfId="1125" xr:uid="{87777798-B537-4D26-8678-434B6C78E3C0}"/>
    <cellStyle name="Normal 3 2 2 27 3" xfId="1126" xr:uid="{DA77AB90-C9A7-4D4F-BD62-60EF4CEE1E77}"/>
    <cellStyle name="Normal 3 2 2 27 4" xfId="1127" xr:uid="{8BD2E47A-5EB0-4EC5-8792-6AAB41D45655}"/>
    <cellStyle name="Normal 3 2 2 28" xfId="1128" xr:uid="{00778E42-0DAB-412F-B4EF-0F0E506E871B}"/>
    <cellStyle name="Normal 3 2 2 28 2" xfId="1129" xr:uid="{D5D5956B-0BF6-4F65-A78F-695DFD98AF0D}"/>
    <cellStyle name="Normal 3 2 2 28 3" xfId="1130" xr:uid="{2BB67083-58A2-4880-BF91-DDB2135C96A5}"/>
    <cellStyle name="Normal 3 2 2 28 4" xfId="1131" xr:uid="{95938E3E-5126-4C09-B0F1-9B2CD5B524FA}"/>
    <cellStyle name="Normal 3 2 2 29" xfId="1132" xr:uid="{DB04D124-784C-4B0C-8557-69A726B11250}"/>
    <cellStyle name="Normal 3 2 2 29 2" xfId="1133" xr:uid="{6EBE5AE7-800C-4302-982C-9ECC69CE3471}"/>
    <cellStyle name="Normal 3 2 2 29 3" xfId="1134" xr:uid="{73DA5E59-9CEC-4CCD-91E3-1BB3F7A25505}"/>
    <cellStyle name="Normal 3 2 2 29 4" xfId="1135" xr:uid="{D4DDECB8-CCAA-4E98-A1C7-94E721A28D67}"/>
    <cellStyle name="Normal 3 2 2 3" xfId="24" xr:uid="{D5F39ED5-70E4-4FBB-B261-50F286506580}"/>
    <cellStyle name="Normal 3 2 2 3 2" xfId="1137" xr:uid="{E6D173B0-1B71-47AE-9411-1BF320F52D56}"/>
    <cellStyle name="Normal 3 2 2 3 3" xfId="1138" xr:uid="{A64169F6-62A1-4C88-8F13-B5481B8B0AE3}"/>
    <cellStyle name="Normal 3 2 2 3 4" xfId="1139" xr:uid="{0A4D4492-9CC0-4F0B-9FD0-2E923AAA1E34}"/>
    <cellStyle name="Normal 3 2 2 3 5" xfId="1136" xr:uid="{708E1FC5-C6A2-4168-9649-C2F23696553E}"/>
    <cellStyle name="Normal 3 2 2 3 6" xfId="2243" xr:uid="{8431E1A7-006B-497B-BF01-006F7CF99F2E}"/>
    <cellStyle name="Normal 3 2 2 3 7" xfId="2250" xr:uid="{009B710B-2720-40F4-811A-8B84A275F14F}"/>
    <cellStyle name="Normal 3 2 2 30" xfId="1140" xr:uid="{F9F8F3A5-C94B-49DD-AF5B-C871C6CE440A}"/>
    <cellStyle name="Normal 3 2 2 30 2" xfId="1141" xr:uid="{4C484E8B-4ABC-43A8-94B8-BAE1C6F4F487}"/>
    <cellStyle name="Normal 3 2 2 30 3" xfId="1142" xr:uid="{B9961720-A42C-404B-A212-0BFAFF74B162}"/>
    <cellStyle name="Normal 3 2 2 30 4" xfId="1143" xr:uid="{405FF497-64FF-4739-92D3-9F85E605CB2F}"/>
    <cellStyle name="Normal 3 2 2 31" xfId="1144" xr:uid="{59071CD2-5D82-409F-B281-307339B3D44E}"/>
    <cellStyle name="Normal 3 2 2 31 2" xfId="1145" xr:uid="{9A90F3AD-D9EA-4534-9FE7-2CDE65CCD1B9}"/>
    <cellStyle name="Normal 3 2 2 31 3" xfId="1146" xr:uid="{BF360025-42A1-43CF-8293-F4DBE07ABB37}"/>
    <cellStyle name="Normal 3 2 2 31 4" xfId="1147" xr:uid="{CB225798-0CE7-424B-9048-7AF070C30707}"/>
    <cellStyle name="Normal 3 2 2 32" xfId="1148" xr:uid="{15C75A2A-51D1-4726-BA69-14B6200C4A46}"/>
    <cellStyle name="Normal 3 2 2 32 2" xfId="1149" xr:uid="{16C784AF-4FD2-4AD3-9FBD-070C90143F52}"/>
    <cellStyle name="Normal 3 2 2 32 3" xfId="1150" xr:uid="{E7E40192-90D8-42BF-95B6-3C7D6BEAE475}"/>
    <cellStyle name="Normal 3 2 2 32 4" xfId="1151" xr:uid="{18F8A584-7351-452F-97E3-36A536CD004F}"/>
    <cellStyle name="Normal 3 2 2 33" xfId="1152" xr:uid="{70EC1BEF-B74C-41D9-8A27-66D0DB4BF76E}"/>
    <cellStyle name="Normal 3 2 2 33 2" xfId="1153" xr:uid="{71A9330C-64DC-43E9-932B-5F852A27E13D}"/>
    <cellStyle name="Normal 3 2 2 33 3" xfId="1154" xr:uid="{9821777F-5C1B-4EC6-8ADE-DD7D10EC0F13}"/>
    <cellStyle name="Normal 3 2 2 33 4" xfId="1155" xr:uid="{154DCA2D-1D34-44F0-ACE4-EFC1923EF638}"/>
    <cellStyle name="Normal 3 2 2 34" xfId="1156" xr:uid="{3B0DCF05-48C9-47C1-B76B-1859A93F970C}"/>
    <cellStyle name="Normal 3 2 2 34 2" xfId="1157" xr:uid="{0EE200D6-FD3A-4CE3-9EFE-B178A94F9682}"/>
    <cellStyle name="Normal 3 2 2 34 3" xfId="1158" xr:uid="{424D0708-2787-43EF-BBE0-20B853763809}"/>
    <cellStyle name="Normal 3 2 2 34 4" xfId="1159" xr:uid="{461510E0-7B86-4A97-ACE5-1C34F0C77054}"/>
    <cellStyle name="Normal 3 2 2 35" xfId="1160" xr:uid="{7F6DDB78-2EB7-477E-91DE-2E4BA4251455}"/>
    <cellStyle name="Normal 3 2 2 35 2" xfId="1161" xr:uid="{604E9D2A-509D-445A-8013-80C8E122D9DF}"/>
    <cellStyle name="Normal 3 2 2 35 3" xfId="1162" xr:uid="{4512F1BB-4FD5-4304-9067-C4DFE85863DF}"/>
    <cellStyle name="Normal 3 2 2 35 4" xfId="1163" xr:uid="{7D7BFC68-AA75-4D18-AEF2-0755855A5DD6}"/>
    <cellStyle name="Normal 3 2 2 36" xfId="1164" xr:uid="{4E4DA36A-EDC4-4BBA-A3E2-71A27CEDDA4A}"/>
    <cellStyle name="Normal 3 2 2 36 2" xfId="1165" xr:uid="{658FF89F-9A82-44B0-8DE1-1D5FD9965E11}"/>
    <cellStyle name="Normal 3 2 2 36 3" xfId="1166" xr:uid="{459BE645-D80C-47D9-843D-386A4DA4CE05}"/>
    <cellStyle name="Normal 3 2 2 36 4" xfId="1167" xr:uid="{846ED390-A995-4E91-9237-710FF63FDC15}"/>
    <cellStyle name="Normal 3 2 2 37" xfId="1168" xr:uid="{0CD420BF-E728-4CE6-A43C-EF34FEECA5A5}"/>
    <cellStyle name="Normal 3 2 2 37 2" xfId="1169" xr:uid="{DA8FA5BE-7FF1-415B-96FB-A4D6DB312562}"/>
    <cellStyle name="Normal 3 2 2 37 3" xfId="1170" xr:uid="{20B73AE9-A4D0-4338-B09C-097B81A69598}"/>
    <cellStyle name="Normal 3 2 2 37 4" xfId="1171" xr:uid="{2B731B7E-19AA-483A-A64C-21F044C496BA}"/>
    <cellStyle name="Normal 3 2 2 38" xfId="1172" xr:uid="{8C58B4E6-B018-41C8-B5F8-4E343A1214E9}"/>
    <cellStyle name="Normal 3 2 2 38 2" xfId="1173" xr:uid="{407F5401-C0EC-4A64-BF23-33F8577150DC}"/>
    <cellStyle name="Normal 3 2 2 38 3" xfId="1174" xr:uid="{B9788150-CEE5-4C70-9D5E-EB55E7117DB9}"/>
    <cellStyle name="Normal 3 2 2 38 4" xfId="1175" xr:uid="{C5A91FC2-6D1C-4F39-AEA8-6263C0811186}"/>
    <cellStyle name="Normal 3 2 2 39" xfId="1176" xr:uid="{5F3352D5-2EF3-485C-9710-FA1DAF35F5EA}"/>
    <cellStyle name="Normal 3 2 2 39 2" xfId="1177" xr:uid="{42BAB022-997A-4B87-AEA7-0EAF8339FB8B}"/>
    <cellStyle name="Normal 3 2 2 39 3" xfId="1178" xr:uid="{FCA35386-4CFE-44AE-A2F7-BA2F493CE2E4}"/>
    <cellStyle name="Normal 3 2 2 39 4" xfId="1179" xr:uid="{00322BF0-ED9D-4FCD-BC21-2354CCA7FF43}"/>
    <cellStyle name="Normal 3 2 2 4" xfId="1180" xr:uid="{FFB640B5-5F36-4D77-8856-2C2B2300CC23}"/>
    <cellStyle name="Normal 3 2 2 4 2" xfId="1181" xr:uid="{8DD0F0C7-DFBB-47F1-9459-93B94CE75ADD}"/>
    <cellStyle name="Normal 3 2 2 4 3" xfId="1182" xr:uid="{4070B3E7-C458-4E9E-A76A-C73F900F0848}"/>
    <cellStyle name="Normal 3 2 2 4 4" xfId="1183" xr:uid="{8D69A803-1A00-4933-A38F-C2FBF19DADB1}"/>
    <cellStyle name="Normal 3 2 2 40" xfId="1184" xr:uid="{4500F8B8-D24A-49D7-A6D0-0FD50573B473}"/>
    <cellStyle name="Normal 3 2 2 40 2" xfId="1185" xr:uid="{3CCB0E6D-70F9-4172-977B-C019500AD289}"/>
    <cellStyle name="Normal 3 2 2 40 3" xfId="1186" xr:uid="{D81635E2-A858-4B3F-9496-C84BCEDF0767}"/>
    <cellStyle name="Normal 3 2 2 40 4" xfId="1187" xr:uid="{D5E265E3-99BF-4808-B22B-6B4026E46727}"/>
    <cellStyle name="Normal 3 2 2 41" xfId="1188" xr:uid="{E7CF1A63-3572-436A-B572-98AB0E940A19}"/>
    <cellStyle name="Normal 3 2 2 41 2" xfId="1189" xr:uid="{5EB10ED8-D563-4EB6-B15A-5F1D0C32DA10}"/>
    <cellStyle name="Normal 3 2 2 41 3" xfId="1190" xr:uid="{10FAB95D-1476-4BB3-96F2-D889FC6DC00E}"/>
    <cellStyle name="Normal 3 2 2 41 4" xfId="1191" xr:uid="{AB909FEF-501F-4A69-B270-5E7D0FA54CD9}"/>
    <cellStyle name="Normal 3 2 2 42" xfId="1192" xr:uid="{2762CE07-A6BE-4F77-9060-9D8137C5C625}"/>
    <cellStyle name="Normal 3 2 2 42 2" xfId="1193" xr:uid="{583BF958-5E79-4AA6-BCA1-373E8281AC5B}"/>
    <cellStyle name="Normal 3 2 2 42 3" xfId="1194" xr:uid="{36B529F2-2AA1-42AB-B4D5-F6EA430339BB}"/>
    <cellStyle name="Normal 3 2 2 42 4" xfId="1195" xr:uid="{EAA8C752-6A34-4EAA-B3EB-756AD62B82FC}"/>
    <cellStyle name="Normal 3 2 2 43" xfId="1196" xr:uid="{52BEDD7D-01E2-44A7-83DE-CC9D247260D6}"/>
    <cellStyle name="Normal 3 2 2 43 2" xfId="1197" xr:uid="{E9EF972D-EB59-4F3D-A2A8-6B4FAA22FB29}"/>
    <cellStyle name="Normal 3 2 2 43 3" xfId="1198" xr:uid="{E82BE0D1-72E0-465E-9E6C-8FBABA334DCF}"/>
    <cellStyle name="Normal 3 2 2 43 4" xfId="1199" xr:uid="{B9EFECFB-982E-458C-9B46-8DE440A7F0E8}"/>
    <cellStyle name="Normal 3 2 2 44" xfId="1200" xr:uid="{C5FA6A22-44A9-4F05-A167-B2B670BE86F5}"/>
    <cellStyle name="Normal 3 2 2 44 2" xfId="1201" xr:uid="{0518CA30-2801-4308-B8AB-5AC7D6E90EAE}"/>
    <cellStyle name="Normal 3 2 2 44 3" xfId="1202" xr:uid="{10C538F7-C4E3-431C-88B5-67CBB485A6A0}"/>
    <cellStyle name="Normal 3 2 2 44 4" xfId="1203" xr:uid="{BC48103C-A2D0-4B6F-901E-1694770BC83B}"/>
    <cellStyle name="Normal 3 2 2 45" xfId="1204" xr:uid="{A231F188-2DE0-40AF-AB9B-0F6F5997DFE9}"/>
    <cellStyle name="Normal 3 2 2 45 2" xfId="1205" xr:uid="{12EFF505-64E3-4E1C-A815-2C00DC68BC48}"/>
    <cellStyle name="Normal 3 2 2 45 3" xfId="1206" xr:uid="{BA9B89D1-45A5-4911-89DE-2D651AE97986}"/>
    <cellStyle name="Normal 3 2 2 45 4" xfId="1207" xr:uid="{CFD4F4F0-A839-40F8-B3FA-C6E1455B2753}"/>
    <cellStyle name="Normal 3 2 2 46" xfId="1208" xr:uid="{3F8C49AD-BEFA-4C89-922A-693CF6FE0CCC}"/>
    <cellStyle name="Normal 3 2 2 46 2" xfId="1209" xr:uid="{687E9BB6-1DA6-4BE9-8374-5A1F6CCDDE26}"/>
    <cellStyle name="Normal 3 2 2 46 3" xfId="1210" xr:uid="{525543EC-BE6F-46C0-BD3E-EE0FE2136C34}"/>
    <cellStyle name="Normal 3 2 2 46 4" xfId="1211" xr:uid="{07920171-AC58-460E-A323-9D3555C81326}"/>
    <cellStyle name="Normal 3 2 2 47" xfId="1212" xr:uid="{FEFBF207-4A0E-485D-8277-EBF31E35EC3F}"/>
    <cellStyle name="Normal 3 2 2 47 2" xfId="1213" xr:uid="{CDACB4CC-D705-42D3-8767-C4B51E30E5E7}"/>
    <cellStyle name="Normal 3 2 2 47 3" xfId="1214" xr:uid="{21EAA29C-4322-47A6-8618-8D3D7280A941}"/>
    <cellStyle name="Normal 3 2 2 47 4" xfId="1215" xr:uid="{C1A1C4A7-29F5-44B1-83CE-85A43F021A57}"/>
    <cellStyle name="Normal 3 2 2 48" xfId="1216" xr:uid="{93A71506-6527-4212-A929-87B75AA01AB0}"/>
    <cellStyle name="Normal 3 2 2 49" xfId="1217" xr:uid="{2486522F-E4AA-45F4-A346-B25B834303BF}"/>
    <cellStyle name="Normal 3 2 2 5" xfId="1218" xr:uid="{DF8DA294-9085-4701-89EC-5FC45CDDE01F}"/>
    <cellStyle name="Normal 3 2 2 5 2" xfId="1219" xr:uid="{B8598A30-03EB-4B79-A27A-7453B2F6AA25}"/>
    <cellStyle name="Normal 3 2 2 5 3" xfId="1220" xr:uid="{6754FA24-4C65-48CD-BCE8-01B5BB611828}"/>
    <cellStyle name="Normal 3 2 2 5 4" xfId="1221" xr:uid="{D70E708C-9D8F-4BDF-AACB-90DFD90D3606}"/>
    <cellStyle name="Normal 3 2 2 50" xfId="1051" xr:uid="{A0F2F936-C24E-42EF-8DFD-0590761678AB}"/>
    <cellStyle name="Normal 3 2 2 51" xfId="2235" xr:uid="{674C956C-899F-4FB5-A3C9-1C4982953C38}"/>
    <cellStyle name="Normal 3 2 2 52" xfId="2246" xr:uid="{32A36E2B-5EE6-40D1-8840-9843A8D3A8F6}"/>
    <cellStyle name="Normal 3 2 2 6" xfId="1222" xr:uid="{355673A9-AB68-4BE8-A5E0-50E7566E82A9}"/>
    <cellStyle name="Normal 3 2 2 6 2" xfId="1223" xr:uid="{A380506F-C67C-4831-A4E2-96F7FD40F9EB}"/>
    <cellStyle name="Normal 3 2 2 6 3" xfId="1224" xr:uid="{7C6AAF04-E1C8-4F3D-B150-DCB49F7C0E51}"/>
    <cellStyle name="Normal 3 2 2 6 4" xfId="1225" xr:uid="{02586601-B854-4E4C-BD12-F705D243D17D}"/>
    <cellStyle name="Normal 3 2 2 7" xfId="1226" xr:uid="{F32D2ABF-CEE8-4FF6-9851-5142D82ED8E7}"/>
    <cellStyle name="Normal 3 2 2 7 2" xfId="1227" xr:uid="{7AFC2FE4-6EE6-4A5A-9B26-46FC0605AFEC}"/>
    <cellStyle name="Normal 3 2 2 7 3" xfId="1228" xr:uid="{C7DCCFFA-12E5-411B-980C-7DDB6EC28C32}"/>
    <cellStyle name="Normal 3 2 2 7 4" xfId="1229" xr:uid="{3931471D-05D3-4A43-9AFD-09738B9D2D40}"/>
    <cellStyle name="Normal 3 2 2 8" xfId="1230" xr:uid="{669E7D5C-DF46-4954-8B85-91DD7F12F6FD}"/>
    <cellStyle name="Normal 3 2 2 8 2" xfId="1231" xr:uid="{810AB964-04FD-4AED-A40F-C9569134CF54}"/>
    <cellStyle name="Normal 3 2 2 8 3" xfId="1232" xr:uid="{FA7F9ADB-FF30-4A09-A6DD-82E3BD5087E6}"/>
    <cellStyle name="Normal 3 2 2 8 4" xfId="1233" xr:uid="{41671C5B-9EB7-4F1D-930E-269CF0277FBE}"/>
    <cellStyle name="Normal 3 2 2 9" xfId="1234" xr:uid="{F09C9730-083E-4AA0-A53E-46B8C2E0A03A}"/>
    <cellStyle name="Normal 3 2 2 9 2" xfId="1235" xr:uid="{41598AE4-0AD2-4C42-BE73-EB1711A77271}"/>
    <cellStyle name="Normal 3 2 2 9 3" xfId="1236" xr:uid="{AC625F1C-54D8-43DC-B0A9-70FB977C91A3}"/>
    <cellStyle name="Normal 3 2 2 9 4" xfId="1237" xr:uid="{6199CCFB-6D58-4969-99AE-1BA8A7C61749}"/>
    <cellStyle name="Normal 3 2 20" xfId="1238" xr:uid="{6F478B0D-8302-4673-B47F-FD6D07BE7E1F}"/>
    <cellStyle name="Normal 3 2 20 2" xfId="1239" xr:uid="{18C16F92-59F2-4013-9144-20B25277E6EF}"/>
    <cellStyle name="Normal 3 2 20 3" xfId="1240" xr:uid="{22FBD4D8-5D44-430B-83A5-BCB51DEC9F7C}"/>
    <cellStyle name="Normal 3 2 21" xfId="1241" xr:uid="{EF8B227D-FD0C-4063-9111-76942EF7FDE7}"/>
    <cellStyle name="Normal 3 2 21 2" xfId="1242" xr:uid="{8437E616-DA5A-4E1E-A726-E8DABDEBAB10}"/>
    <cellStyle name="Normal 3 2 21 3" xfId="1243" xr:uid="{E43E6A8C-BDFE-4648-981C-D630D3750139}"/>
    <cellStyle name="Normal 3 2 22" xfId="1244" xr:uid="{0B15CBCF-8DD1-4EE6-8872-005B841429CD}"/>
    <cellStyle name="Normal 3 2 22 2" xfId="1245" xr:uid="{5A3A51AD-8941-42E4-9404-F385B528AA6A}"/>
    <cellStyle name="Normal 3 2 22 3" xfId="1246" xr:uid="{3941D184-6E34-4697-AA4C-FD9AAC8653F0}"/>
    <cellStyle name="Normal 3 2 23" xfId="1247" xr:uid="{B9C077A3-1A78-4EEB-A85D-6E48783A8A87}"/>
    <cellStyle name="Normal 3 2 23 2" xfId="1248" xr:uid="{C34E6A2A-B138-403F-9B03-257C67430C21}"/>
    <cellStyle name="Normal 3 2 23 3" xfId="1249" xr:uid="{5AD2E333-1B33-4F8E-925D-326913E180D3}"/>
    <cellStyle name="Normal 3 2 24" xfId="1250" xr:uid="{82049867-EA49-4818-A674-0D80714C68E8}"/>
    <cellStyle name="Normal 3 2 24 2" xfId="1251" xr:uid="{B5AE004E-14FF-40C7-AAB5-1E1159B0EEF2}"/>
    <cellStyle name="Normal 3 2 24 3" xfId="1252" xr:uid="{05C6379C-4D46-4273-A90C-EAB3506401A6}"/>
    <cellStyle name="Normal 3 2 25" xfId="1253" xr:uid="{4BE33445-7548-4994-BC26-937EE2F861CF}"/>
    <cellStyle name="Normal 3 2 25 2" xfId="1254" xr:uid="{892CCAEB-F414-4B6B-AAD0-70C9E9B21860}"/>
    <cellStyle name="Normal 3 2 25 3" xfId="1255" xr:uid="{C2AEC91E-4B41-471D-97B9-7531692D9784}"/>
    <cellStyle name="Normal 3 2 26" xfId="1256" xr:uid="{08995E5C-DDAC-4088-9EF0-D195716581AA}"/>
    <cellStyle name="Normal 3 2 26 2" xfId="1257" xr:uid="{3DA661A0-949E-4C2B-B811-839C6ABC6693}"/>
    <cellStyle name="Normal 3 2 26 3" xfId="1258" xr:uid="{1ADD902A-0926-4466-A4A5-03D56FDDC48F}"/>
    <cellStyle name="Normal 3 2 27" xfId="1259" xr:uid="{4056533D-A951-4F1E-A5C3-F08DFE4BB2D9}"/>
    <cellStyle name="Normal 3 2 27 2" xfId="1260" xr:uid="{D999DFC5-AFC5-4D69-9EBC-F5037937AC6F}"/>
    <cellStyle name="Normal 3 2 27 3" xfId="1261" xr:uid="{D0A557B0-58CA-48AF-8CCF-CBF932D4578A}"/>
    <cellStyle name="Normal 3 2 28" xfId="1262" xr:uid="{A4957921-38D6-4D34-8BF5-37D3321E688B}"/>
    <cellStyle name="Normal 3 2 28 2" xfId="1263" xr:uid="{1A046DB0-B104-4901-A6A5-1A909E7701BB}"/>
    <cellStyle name="Normal 3 2 28 3" xfId="1264" xr:uid="{2B286DBE-FE4E-4EE8-95A0-27E1F8FE2135}"/>
    <cellStyle name="Normal 3 2 29" xfId="1265" xr:uid="{8BF650B6-BF88-416B-A0F7-4F5D4E81A7D3}"/>
    <cellStyle name="Normal 3 2 29 2" xfId="1266" xr:uid="{F1EEDF56-6BFC-4567-88BD-0CBDFEC7BDBF}"/>
    <cellStyle name="Normal 3 2 29 3" xfId="1267" xr:uid="{9EE1594E-AADE-4CCF-8D3D-2D2AD9ACA233}"/>
    <cellStyle name="Normal 3 2 3" xfId="1268" xr:uid="{ED57D70E-D245-4625-AD66-9BBADD1E12BB}"/>
    <cellStyle name="Normal 3 2 3 2" xfId="1269" xr:uid="{4ED09A6A-60A0-4C25-BF18-7D25E5D90B82}"/>
    <cellStyle name="Normal 3 2 3 3" xfId="1270" xr:uid="{922035F7-C00D-4731-B421-F0015D31E576}"/>
    <cellStyle name="Normal 3 2 30" xfId="1271" xr:uid="{6B8E6CDC-5215-4EEF-BDA0-8C80A226DF75}"/>
    <cellStyle name="Normal 3 2 30 2" xfId="1272" xr:uid="{6A5B5A95-A956-437D-9F51-0ED6D478F012}"/>
    <cellStyle name="Normal 3 2 30 3" xfId="1273" xr:uid="{CE03561D-6A1F-463B-A1C3-FB6FF8CFE14F}"/>
    <cellStyle name="Normal 3 2 31" xfId="1274" xr:uid="{9A25471A-1B10-4187-9849-DFE3B5579FAE}"/>
    <cellStyle name="Normal 3 2 31 2" xfId="1275" xr:uid="{B4095AAA-A37E-4FAA-BB79-2BD9FF1E1D40}"/>
    <cellStyle name="Normal 3 2 31 3" xfId="1276" xr:uid="{DA2CFB66-150C-4DA4-8233-FA24EC537BC7}"/>
    <cellStyle name="Normal 3 2 32" xfId="1277" xr:uid="{300469EA-F8D6-42E0-9184-0226D26F2398}"/>
    <cellStyle name="Normal 3 2 32 2" xfId="1278" xr:uid="{B1406686-5381-4410-990D-C6F317952ED0}"/>
    <cellStyle name="Normal 3 2 32 3" xfId="1279" xr:uid="{6AB4CC00-CB04-42CC-8623-607DD3608F68}"/>
    <cellStyle name="Normal 3 2 33" xfId="1280" xr:uid="{A306C34F-B0B4-45F9-AF44-65AEDE9190AA}"/>
    <cellStyle name="Normal 3 2 33 2" xfId="1281" xr:uid="{F9224DBB-E2D3-4609-A00D-E4B554CFD298}"/>
    <cellStyle name="Normal 3 2 33 3" xfId="1282" xr:uid="{77B103D7-8BDB-495F-94B4-4B7054AEE760}"/>
    <cellStyle name="Normal 3 2 34" xfId="1283" xr:uid="{76B34311-D381-4F42-9B08-CFA7AC87BD90}"/>
    <cellStyle name="Normal 3 2 34 2" xfId="1284" xr:uid="{18797658-8679-4E5B-8117-5A9C4748841F}"/>
    <cellStyle name="Normal 3 2 34 3" xfId="1285" xr:uid="{5B9E1B3D-1B85-4EB3-BAED-71AD95FE8843}"/>
    <cellStyle name="Normal 3 2 35" xfId="1286" xr:uid="{9A18C0D0-758D-468C-931D-1EA597E76F0A}"/>
    <cellStyle name="Normal 3 2 35 2" xfId="1287" xr:uid="{CDAA5BB1-D58E-46EA-991B-6D961B7D382C}"/>
    <cellStyle name="Normal 3 2 35 3" xfId="1288" xr:uid="{00F8AB6C-EF21-4375-B016-0232C9E8F8C8}"/>
    <cellStyle name="Normal 3 2 36" xfId="1289" xr:uid="{5C52A191-43FB-4A3F-B565-ACFFF59401D4}"/>
    <cellStyle name="Normal 3 2 36 2" xfId="1290" xr:uid="{1B9654F6-32E6-4B82-ABED-249C52BBD6C3}"/>
    <cellStyle name="Normal 3 2 36 3" xfId="1291" xr:uid="{A2251567-4224-425C-8543-3C21D335ACAA}"/>
    <cellStyle name="Normal 3 2 37" xfId="1292" xr:uid="{84E08087-5738-470E-8B78-91DDC7E79C24}"/>
    <cellStyle name="Normal 3 2 37 2" xfId="1293" xr:uid="{52F9D8DC-5223-4F8E-A106-B9DD004D4624}"/>
    <cellStyle name="Normal 3 2 37 3" xfId="1294" xr:uid="{3D391276-80F7-404A-A06D-A52CC153C92E}"/>
    <cellStyle name="Normal 3 2 38" xfId="1295" xr:uid="{B7D5ED91-FA31-4BAD-B430-1FB748F1C867}"/>
    <cellStyle name="Normal 3 2 38 2" xfId="1296" xr:uid="{BC7D9E4E-0099-428F-8553-15225CB3B22C}"/>
    <cellStyle name="Normal 3 2 38 3" xfId="1297" xr:uid="{65C534F9-FEB5-43C6-89A9-F774F0472FF1}"/>
    <cellStyle name="Normal 3 2 39" xfId="1298" xr:uid="{5D2EB4E6-7AA5-4839-A390-6023AE0954F4}"/>
    <cellStyle name="Normal 3 2 39 2" xfId="1299" xr:uid="{B0D47C45-1F94-4E14-82CD-967C9E2DF3C5}"/>
    <cellStyle name="Normal 3 2 39 3" xfId="1300" xr:uid="{48C3A183-95FB-44A1-829A-8A9CEBDDFF80}"/>
    <cellStyle name="Normal 3 2 4" xfId="1301" xr:uid="{79B38EC1-5708-4697-A4BF-2BBC61F0D69B}"/>
    <cellStyle name="Normal 3 2 4 2" xfId="1302" xr:uid="{8E628D2D-67CB-40F4-88CA-5B2D74855E83}"/>
    <cellStyle name="Normal 3 2 4 3" xfId="1303" xr:uid="{67E01A69-4F83-43DB-BCF1-908059658565}"/>
    <cellStyle name="Normal 3 2 40" xfId="1304" xr:uid="{E0BC2445-8081-411A-AFAB-1698C14ECD2D}"/>
    <cellStyle name="Normal 3 2 40 2" xfId="1305" xr:uid="{25A67241-F160-423C-8FE5-BF4F6FBCC232}"/>
    <cellStyle name="Normal 3 2 40 3" xfId="1306" xr:uid="{CE958A81-A53E-4CC0-8370-71727FB6E69C}"/>
    <cellStyle name="Normal 3 2 41" xfId="1307" xr:uid="{161FF723-1DAF-4C5B-ABDA-DE4445D58FCA}"/>
    <cellStyle name="Normal 3 2 41 2" xfId="1308" xr:uid="{6986F72C-8ADC-4D5B-8C1B-18360CCE1A16}"/>
    <cellStyle name="Normal 3 2 41 3" xfId="1309" xr:uid="{84A995B0-8B96-47D9-8209-1D5A3EB7F3E7}"/>
    <cellStyle name="Normal 3 2 42" xfId="1310" xr:uid="{4B219E93-FE57-4EDD-A073-36FE2BF64CF6}"/>
    <cellStyle name="Normal 3 2 42 2" xfId="1311" xr:uid="{FCF78A53-8382-407B-94CB-7C96B725B822}"/>
    <cellStyle name="Normal 3 2 42 3" xfId="1312" xr:uid="{3A924397-D85C-4280-809C-FD10C771BF5A}"/>
    <cellStyle name="Normal 3 2 43" xfId="1313" xr:uid="{AAEAB1D3-DA5E-4093-889D-B909A0B96DC5}"/>
    <cellStyle name="Normal 3 2 43 2" xfId="1314" xr:uid="{2E048064-2306-4605-95CA-5B6833B6DD81}"/>
    <cellStyle name="Normal 3 2 43 3" xfId="1315" xr:uid="{44CED30C-9B95-400C-8AEA-E88697058B17}"/>
    <cellStyle name="Normal 3 2 44" xfId="1316" xr:uid="{13A7756F-77A3-459B-99E2-7AE9663B590B}"/>
    <cellStyle name="Normal 3 2 44 2" xfId="1317" xr:uid="{11647908-520A-40FA-8879-139575F72E02}"/>
    <cellStyle name="Normal 3 2 44 3" xfId="1318" xr:uid="{BE69ABCA-6763-4F36-9B53-F5587331DEA2}"/>
    <cellStyle name="Normal 3 2 45" xfId="1319" xr:uid="{28D61A0F-3620-4DC2-A15F-1308B28DEEE6}"/>
    <cellStyle name="Normal 3 2 45 2" xfId="1320" xr:uid="{79B3D341-BF35-4558-94CB-B7F25819F95E}"/>
    <cellStyle name="Normal 3 2 45 3" xfId="1321" xr:uid="{11ACFA2A-A78D-4962-84D9-57387E8B736A}"/>
    <cellStyle name="Normal 3 2 46" xfId="1322" xr:uid="{F589CC34-C173-4109-974F-0858E7A67983}"/>
    <cellStyle name="Normal 3 2 46 2" xfId="1323" xr:uid="{5F24999E-04F8-47AE-BB7F-81DEF2A4EE50}"/>
    <cellStyle name="Normal 3 2 46 3" xfId="1324" xr:uid="{A8848D95-AA91-4218-B07A-FEB2605A2B03}"/>
    <cellStyle name="Normal 3 2 47" xfId="1325" xr:uid="{530A3E2F-B674-4ED0-B3BB-D7842B6C6977}"/>
    <cellStyle name="Normal 3 2 47 2" xfId="1326" xr:uid="{0C0831C4-2941-4AD1-BBA2-28A82A5B5025}"/>
    <cellStyle name="Normal 3 2 47 3" xfId="1327" xr:uid="{F61D23F6-47E4-4797-BDFE-E04C5D46FBD0}"/>
    <cellStyle name="Normal 3 2 48" xfId="1328" xr:uid="{643B0E96-0CFB-4BB1-A331-851E1EF94712}"/>
    <cellStyle name="Normal 3 2 48 3 4" xfId="97" xr:uid="{000F5FD6-B97B-46CF-860F-FEAFBB172350}"/>
    <cellStyle name="Normal 3 2 49" xfId="1329" xr:uid="{B1445DB3-4F99-439C-BE70-3811222E7343}"/>
    <cellStyle name="Normal 3 2 5" xfId="1330" xr:uid="{853C871A-BE2D-4972-B4E7-3A8C29C55FCD}"/>
    <cellStyle name="Normal 3 2 5 2" xfId="1331" xr:uid="{613BC2D4-DA90-4583-94D7-163787C2F7C9}"/>
    <cellStyle name="Normal 3 2 5 3" xfId="1332" xr:uid="{436D69EA-6726-4C15-AFB3-FEA085B8E16F}"/>
    <cellStyle name="Normal 3 2 50" xfId="1333" xr:uid="{881590B2-9D81-40B6-90DC-0E47334E3FB9}"/>
    <cellStyle name="Normal 3 2 51" xfId="1020" xr:uid="{4BD5F049-F6D0-4392-A851-009F78F2A03A}"/>
    <cellStyle name="Normal 3 2 51 4" xfId="99" xr:uid="{BE65B30B-824B-4F83-990A-81A45FE0B014}"/>
    <cellStyle name="Normal 3 2 6" xfId="1334" xr:uid="{D5440474-398D-48DD-9989-CAC0E71593B8}"/>
    <cellStyle name="Normal 3 2 6 2" xfId="1335" xr:uid="{2A684348-29BB-4075-9FCA-E1EFB49F518C}"/>
    <cellStyle name="Normal 3 2 6 3" xfId="1336" xr:uid="{06536141-6401-470E-8765-65E44F83CEDC}"/>
    <cellStyle name="Normal 3 2 7" xfId="1337" xr:uid="{ED9A5FCA-37F3-4638-9109-1C0FA867C62F}"/>
    <cellStyle name="Normal 3 2 7 2" xfId="1338" xr:uid="{3BA1757D-AF32-48A4-98E8-E2FBE2A963B9}"/>
    <cellStyle name="Normal 3 2 7 3" xfId="1339" xr:uid="{279BF652-1698-49DB-A665-140A4A3E98EC}"/>
    <cellStyle name="Normal 3 2 8" xfId="1340" xr:uid="{4E43992F-9B7A-404B-8332-F52A4B68130A}"/>
    <cellStyle name="Normal 3 2 8 2" xfId="1341" xr:uid="{4FD67C12-86B5-406E-A388-3F3D68D7A1A7}"/>
    <cellStyle name="Normal 3 2 8 3" xfId="1342" xr:uid="{80EC1B6C-F11A-47AB-A4AA-65E26D233AB8}"/>
    <cellStyle name="Normal 3 2 9" xfId="1343" xr:uid="{F2AA8D23-C1D2-479F-8D79-352D90279FAE}"/>
    <cellStyle name="Normal 3 2 9 2" xfId="1344" xr:uid="{40B7D024-A8A6-4376-96D5-8364678A754F}"/>
    <cellStyle name="Normal 3 2 9 3" xfId="1345" xr:uid="{DEBF93CC-3EED-4BEE-A32E-C22DB12FBD1C}"/>
    <cellStyle name="Normal 3 20" xfId="1346" xr:uid="{FF276C50-8CED-44A5-90B5-539B20B5272B}"/>
    <cellStyle name="Normal 3 20 2" xfId="1347" xr:uid="{7E843DE6-097B-4186-A6F1-08ED09DF4700}"/>
    <cellStyle name="Normal 3 20 3" xfId="1348" xr:uid="{3A441D33-4638-4AD1-A409-5B27AB3CC483}"/>
    <cellStyle name="Normal 3 20 4" xfId="1349" xr:uid="{A5394EB1-8B85-47C0-91B0-30940A4FB99E}"/>
    <cellStyle name="Normal 3 21" xfId="1350" xr:uid="{7EB861DA-A0A0-46B4-85D2-1C014264C71A}"/>
    <cellStyle name="Normal 3 21 2" xfId="1351" xr:uid="{2F5BB35A-954E-4E29-B946-D545D582B08E}"/>
    <cellStyle name="Normal 3 21 3" xfId="1352" xr:uid="{E67AFDF4-1A98-4DC7-8787-EA32E571A37B}"/>
    <cellStyle name="Normal 3 21 4" xfId="1353" xr:uid="{68FCCCCE-A3F4-4C44-80DD-CB8AAA475AC6}"/>
    <cellStyle name="Normal 3 22" xfId="1354" xr:uid="{85161999-683C-4445-B2EF-7C7CDC69D102}"/>
    <cellStyle name="Normal 3 22 2" xfId="1355" xr:uid="{91051EC8-8196-4CF1-AF93-4D1E01F11752}"/>
    <cellStyle name="Normal 3 22 3" xfId="1356" xr:uid="{DCCD5AB2-39AE-4DC7-A70F-8F606FB7DB0B}"/>
    <cellStyle name="Normal 3 22 4" xfId="1357" xr:uid="{52BD2501-3ED8-4952-98D5-969448F7AF84}"/>
    <cellStyle name="Normal 3 23" xfId="1358" xr:uid="{DA47E122-3031-4A9A-9081-E53704119ECE}"/>
    <cellStyle name="Normal 3 23 2" xfId="1359" xr:uid="{00B966D7-58F5-4F2A-B5B8-668AFA68C67E}"/>
    <cellStyle name="Normal 3 23 3" xfId="1360" xr:uid="{5CA202B2-FDED-493D-96E2-C720F65C998C}"/>
    <cellStyle name="Normal 3 23 4" xfId="1361" xr:uid="{7D15398A-5894-4895-AF30-E7BC1D435176}"/>
    <cellStyle name="Normal 3 24" xfId="1362" xr:uid="{BE43CEB6-6AF8-4EE1-AE05-E8CF201B4066}"/>
    <cellStyle name="Normal 3 24 2" xfId="1363" xr:uid="{FA4E617F-7B08-41A1-89BF-B9607E89BFEB}"/>
    <cellStyle name="Normal 3 24 3" xfId="1364" xr:uid="{E63E82DF-2F0C-4D4D-9E55-C898A0C5CB13}"/>
    <cellStyle name="Normal 3 24 4" xfId="1365" xr:uid="{C405B8ED-FB4F-414A-8616-DEA9AF4E72AF}"/>
    <cellStyle name="Normal 3 25" xfId="1366" xr:uid="{6C5B0033-BDA5-40AD-A76A-425A8425A55A}"/>
    <cellStyle name="Normal 3 25 2" xfId="1367" xr:uid="{F6D82059-6CEA-4E3C-B4B1-FFAA112CC64B}"/>
    <cellStyle name="Normal 3 25 3" xfId="1368" xr:uid="{F4E28BB5-F3F9-4E29-9A7B-7238A0E850A6}"/>
    <cellStyle name="Normal 3 25 4" xfId="1369" xr:uid="{2688A424-B42E-44C6-81E7-68BDEBCC71FC}"/>
    <cellStyle name="Normal 3 26" xfId="1370" xr:uid="{DF040D99-6643-4017-BB26-33AC84B782FF}"/>
    <cellStyle name="Normal 3 26 2" xfId="1371" xr:uid="{08E6DF16-7B16-44E5-A922-05E1A4DFDDEA}"/>
    <cellStyle name="Normal 3 26 3" xfId="1372" xr:uid="{08A1151D-9A05-4045-AE99-414E24F002FD}"/>
    <cellStyle name="Normal 3 26 4" xfId="1373" xr:uid="{5CC6EF1A-8815-4F01-BF18-9F98F5816A3A}"/>
    <cellStyle name="Normal 3 27" xfId="1374" xr:uid="{8ED1EE07-AFC4-4C59-A734-52788F516479}"/>
    <cellStyle name="Normal 3 27 2" xfId="1375" xr:uid="{60020E3D-51CC-4BB1-A74C-A90A8686EEE7}"/>
    <cellStyle name="Normal 3 27 3" xfId="1376" xr:uid="{13F3929A-6B61-4BF6-8681-4960B5B8A84E}"/>
    <cellStyle name="Normal 3 27 4" xfId="1377" xr:uid="{6B425C1D-BEA0-4BA3-892D-81CE0260DA1F}"/>
    <cellStyle name="Normal 3 28" xfId="1378" xr:uid="{511769F5-896E-4DA6-94B7-7EBA0A29E462}"/>
    <cellStyle name="Normal 3 28 2" xfId="1379" xr:uid="{F5A25FB9-216E-46F7-9199-BB069679FBBC}"/>
    <cellStyle name="Normal 3 28 3" xfId="1380" xr:uid="{3352437F-B99F-4FE9-A3DC-41A1FE50C53F}"/>
    <cellStyle name="Normal 3 28 4" xfId="1381" xr:uid="{095682AD-C799-428F-8D98-B992706833ED}"/>
    <cellStyle name="Normal 3 29" xfId="1382" xr:uid="{DA3EE9FD-A1CD-43CB-9891-97E9013F3E39}"/>
    <cellStyle name="Normal 3 29 2" xfId="1383" xr:uid="{8D73D67E-AE6A-4E27-8E88-7A5F97C56FF3}"/>
    <cellStyle name="Normal 3 29 3" xfId="1384" xr:uid="{0B065C20-436E-4925-902D-7C0FDA0C48EA}"/>
    <cellStyle name="Normal 3 29 4" xfId="1385" xr:uid="{92DAB90B-F7D5-4E85-BC47-CD7C45B5F891}"/>
    <cellStyle name="Normal 3 3" xfId="1386" xr:uid="{1A24BE20-6176-48D7-9CE3-5AD69CEF34E0}"/>
    <cellStyle name="Normal 3 3 2" xfId="1387" xr:uid="{5E3E1203-3100-4618-852B-E3E73055EFD8}"/>
    <cellStyle name="Normal 3 3 3" xfId="1388" xr:uid="{1BC6ED0B-4647-407A-AC82-7D140CA5DFFA}"/>
    <cellStyle name="Normal 3 3 4" xfId="1389" xr:uid="{ED70A245-8A41-4592-9B01-C61AC2A8A22F}"/>
    <cellStyle name="Normal 3 30" xfId="1390" xr:uid="{258D3907-5EF5-44CF-8C59-A5BBCE4E124B}"/>
    <cellStyle name="Normal 3 30 2" xfId="1391" xr:uid="{BF7D88D1-B29F-414F-B17F-9CB13AFEF7AC}"/>
    <cellStyle name="Normal 3 30 3" xfId="1392" xr:uid="{DA486C67-7875-4F57-B93E-4AEC1A9713DC}"/>
    <cellStyle name="Normal 3 30 4" xfId="1393" xr:uid="{10268B9E-E5B3-4B08-91DA-79AB44C48DA1}"/>
    <cellStyle name="Normal 3 31" xfId="1394" xr:uid="{5A58BF24-E718-4D80-AC19-A8F61D5B1506}"/>
    <cellStyle name="Normal 3 31 2" xfId="1395" xr:uid="{93FCDB24-D6AF-4E71-A870-7385D589F936}"/>
    <cellStyle name="Normal 3 31 3" xfId="1396" xr:uid="{B09C19F1-C328-4467-BD5D-36F1C7476496}"/>
    <cellStyle name="Normal 3 31 4" xfId="1397" xr:uid="{559F61D6-D9D0-4026-92D5-C41922495FDE}"/>
    <cellStyle name="Normal 3 32" xfId="1398" xr:uid="{80F887EF-BCF7-4B41-946C-7407156D2176}"/>
    <cellStyle name="Normal 3 32 2" xfId="1399" xr:uid="{1FFED6B8-7586-438D-A60A-2C50EEB4C624}"/>
    <cellStyle name="Normal 3 32 3" xfId="1400" xr:uid="{B3E0A28A-9CF2-485B-A517-DB1253396CF3}"/>
    <cellStyle name="Normal 3 32 4" xfId="1401" xr:uid="{19AB5B88-302A-4EAE-8C8D-12C63C19EF75}"/>
    <cellStyle name="Normal 3 33" xfId="1402" xr:uid="{2EA8F8D5-88F8-43F1-8B33-41F9C58509BC}"/>
    <cellStyle name="Normal 3 33 2" xfId="1403" xr:uid="{F46056A0-21EA-4B40-8D9A-62760F039B22}"/>
    <cellStyle name="Normal 3 33 3" xfId="1404" xr:uid="{D08C6BD5-5C82-4F81-B4BF-9FA5C60CC1DA}"/>
    <cellStyle name="Normal 3 33 4" xfId="1405" xr:uid="{F644DE5D-A560-497B-A360-D7802EE4553E}"/>
    <cellStyle name="Normal 3 34" xfId="1406" xr:uid="{DFFD95EB-FE80-4E74-B472-CEEB96E5CAE1}"/>
    <cellStyle name="Normal 3 34 2" xfId="1407" xr:uid="{92A1E6A2-FC32-4CDA-95E5-81BED14AB011}"/>
    <cellStyle name="Normal 3 34 3" xfId="1408" xr:uid="{CCE03ED3-DB15-4B5C-8C3E-D4F3FDF66684}"/>
    <cellStyle name="Normal 3 34 4" xfId="1409" xr:uid="{13F5C117-8194-41CB-8EF3-1FABCAD165DD}"/>
    <cellStyle name="Normal 3 35" xfId="11" xr:uid="{F79E1617-8788-4DD7-B906-B625A9B9533D}"/>
    <cellStyle name="Normal 3 35 2" xfId="1411" xr:uid="{F59359CA-41D9-4F90-90C3-872EC4EC92CC}"/>
    <cellStyle name="Normal 3 35 3" xfId="1412" xr:uid="{1FD8D386-97EF-4C59-8746-D83FA3A59D9C}"/>
    <cellStyle name="Normal 3 35 4" xfId="1413" xr:uid="{6C5CD503-366E-47D9-8713-C458CF8A61FA}"/>
    <cellStyle name="Normal 3 35 5" xfId="1410" xr:uid="{8C7544C7-EEE0-4869-B9C8-B4701DD3899A}"/>
    <cellStyle name="Normal 3 36" xfId="1414" xr:uid="{07F7B7B2-E38F-4350-944F-8877515B15FC}"/>
    <cellStyle name="Normal 3 36 2" xfId="1415" xr:uid="{F8EBEF9A-B96C-4B52-BEC3-EB106669F4F7}"/>
    <cellStyle name="Normal 3 36 3" xfId="1416" xr:uid="{7F4767FA-44AB-4851-A5ED-942D737397EA}"/>
    <cellStyle name="Normal 3 36 4" xfId="1417" xr:uid="{86BBE707-432D-4577-A13C-EB0645AE586A}"/>
    <cellStyle name="Normal 3 37" xfId="1418" xr:uid="{0EA922A9-E59D-4F79-8F00-9CC48D4FFE89}"/>
    <cellStyle name="Normal 3 37 2" xfId="1419" xr:uid="{83E8508C-6B47-4796-B239-AD810A5DAA16}"/>
    <cellStyle name="Normal 3 37 3" xfId="1420" xr:uid="{EAF273F5-9D71-4CB9-BA05-B7108505400D}"/>
    <cellStyle name="Normal 3 37 4" xfId="1421" xr:uid="{83363925-CF03-42D1-AA35-FDAA9372D7F7}"/>
    <cellStyle name="Normal 3 38" xfId="1422" xr:uid="{D18FC359-0AC1-4075-925B-FAB0E87BF723}"/>
    <cellStyle name="Normal 3 38 2" xfId="1423" xr:uid="{B29254E9-D371-42EF-9322-C064092316DC}"/>
    <cellStyle name="Normal 3 38 3" xfId="1424" xr:uid="{665AB007-5059-41D4-9A66-FFD4D0C49E63}"/>
    <cellStyle name="Normal 3 38 4" xfId="1425" xr:uid="{83EE9662-73D4-4240-8324-8E5754E7E811}"/>
    <cellStyle name="Normal 3 39" xfId="1426" xr:uid="{79767259-5DED-42CD-B41A-CF442AF8BFEA}"/>
    <cellStyle name="Normal 3 39 2" xfId="1427" xr:uid="{E5889F96-A7E1-49EF-8B7B-8CE55B8AC385}"/>
    <cellStyle name="Normal 3 39 3" xfId="1428" xr:uid="{C387920C-487C-4E40-B3D2-680E51356122}"/>
    <cellStyle name="Normal 3 39 4" xfId="1429" xr:uid="{EEB470C0-5459-4D69-AEC4-1C23880F2609}"/>
    <cellStyle name="Normal 3 4" xfId="1430" xr:uid="{48E6532C-D850-433C-AC8B-6729C312D477}"/>
    <cellStyle name="Normal 3 4 2" xfId="1431" xr:uid="{B7661711-3CC8-4856-B725-EEED39DE8D5B}"/>
    <cellStyle name="Normal 3 4 3" xfId="1432" xr:uid="{B4BCAAD5-ACBD-4CAB-A629-A67366B1B9E1}"/>
    <cellStyle name="Normal 3 4 4" xfId="1433" xr:uid="{F949B37E-98B7-4BBB-BD33-74DE8AF262CA}"/>
    <cellStyle name="Normal 3 40" xfId="1434" xr:uid="{347140FE-1454-43F9-87AB-F4E0C71950B4}"/>
    <cellStyle name="Normal 3 40 2" xfId="1435" xr:uid="{F925E8D9-DD58-4F88-8967-FE713C1A117B}"/>
    <cellStyle name="Normal 3 40 3" xfId="1436" xr:uid="{AA30637E-20E3-4AE3-8C29-50A42D8DEB40}"/>
    <cellStyle name="Normal 3 40 4" xfId="1437" xr:uid="{2179347B-DA9B-49E9-A70F-23AB39B0E4C7}"/>
    <cellStyle name="Normal 3 41" xfId="1438" xr:uid="{B7228F12-8F30-42C8-8CD9-53CB6E11573E}"/>
    <cellStyle name="Normal 3 41 2" xfId="1439" xr:uid="{31B52C1B-6516-4236-AE27-4097380C802F}"/>
    <cellStyle name="Normal 3 41 3" xfId="1440" xr:uid="{4DB24DC0-2C4D-48AB-AD1D-31C5EE7FBC1F}"/>
    <cellStyle name="Normal 3 41 4" xfId="1441" xr:uid="{8B16B175-F54A-46DF-BA3F-3C6073F8955E}"/>
    <cellStyle name="Normal 3 42" xfId="1442" xr:uid="{FC94383D-6F7C-42F5-B486-119A8B8624F2}"/>
    <cellStyle name="Normal 3 42 2" xfId="1443" xr:uid="{3BF46A55-432F-4F80-9B0F-E29F8074C7C3}"/>
    <cellStyle name="Normal 3 42 3" xfId="1444" xr:uid="{73B45779-AB3E-4AA1-B8D8-9B03D8920E52}"/>
    <cellStyle name="Normal 3 42 4" xfId="1445" xr:uid="{072D667C-8C7E-4BCC-AC58-7ED5ED5886E6}"/>
    <cellStyle name="Normal 3 43" xfId="1446" xr:uid="{8C8CA970-8BC7-4930-B6EF-F078D42010CA}"/>
    <cellStyle name="Normal 3 43 2" xfId="1447" xr:uid="{17549DB9-C521-4ACC-B4B2-94F27C4696DB}"/>
    <cellStyle name="Normal 3 43 3" xfId="1448" xr:uid="{A879F893-1916-4062-B0B3-829F7146A2D5}"/>
    <cellStyle name="Normal 3 43 4" xfId="1449" xr:uid="{714A52BF-0B12-4C85-BDCB-6D0A729A5DB8}"/>
    <cellStyle name="Normal 3 44" xfId="1450" xr:uid="{601D796E-8066-4A00-A347-7DA4AD099578}"/>
    <cellStyle name="Normal 3 44 2" xfId="1451" xr:uid="{757E5E08-511B-49E8-9B5B-6DC644FFBB58}"/>
    <cellStyle name="Normal 3 44 3" xfId="1452" xr:uid="{629844EB-01BF-4256-9D8F-EBB6795463CE}"/>
    <cellStyle name="Normal 3 44 4" xfId="1453" xr:uid="{01CDF258-2DC4-4B3A-B8D8-160B704D7B21}"/>
    <cellStyle name="Normal 3 45" xfId="1454" xr:uid="{E6C55715-0283-4D76-BD5B-48EC09F4FA42}"/>
    <cellStyle name="Normal 3 45 2" xfId="1455" xr:uid="{B977B19C-E75B-433E-880A-8FA25883B8B3}"/>
    <cellStyle name="Normal 3 45 3" xfId="1456" xr:uid="{5D1F0B09-4586-4B08-948B-6BDD9F9FD231}"/>
    <cellStyle name="Normal 3 45 4" xfId="1457" xr:uid="{CEB13549-201B-4F56-BBA4-CDE6615E5EF8}"/>
    <cellStyle name="Normal 3 46" xfId="1458" xr:uid="{95C039DD-B781-4107-9BEE-0FCC8B590698}"/>
    <cellStyle name="Normal 3 46 2" xfId="1459" xr:uid="{B6042687-98DC-4C1B-AF62-F95BFFB92C55}"/>
    <cellStyle name="Normal 3 46 3" xfId="1460" xr:uid="{E224C298-2F81-4192-B909-98C14266A447}"/>
    <cellStyle name="Normal 3 46 4" xfId="1461" xr:uid="{EB0CAB62-1715-49C7-A160-98355AD1FAD8}"/>
    <cellStyle name="Normal 3 47" xfId="1462" xr:uid="{94239495-44F8-48D5-96F0-86E98C49A7DF}"/>
    <cellStyle name="Normal 3 47 2" xfId="1463" xr:uid="{6EF108C1-A89D-4071-AB15-A450BA7A4ED8}"/>
    <cellStyle name="Normal 3 47 3" xfId="1464" xr:uid="{AD819E3A-16F4-4700-BFB2-BFB1A2BF7EBB}"/>
    <cellStyle name="Normal 3 47 4" xfId="1465" xr:uid="{7CF85EBD-A403-4BA3-97CF-6CA2AD88FAFB}"/>
    <cellStyle name="Normal 3 48" xfId="1466" xr:uid="{57C7E0A8-947A-40B0-A99F-C5416FBC785F}"/>
    <cellStyle name="Normal 3 48 2" xfId="1467" xr:uid="{F5E97FA8-11DC-4C64-A345-3AD93052B971}"/>
    <cellStyle name="Normal 3 48 2 2" xfId="2234" xr:uid="{E9A90842-1064-45AF-97C0-0D98C705324A}"/>
    <cellStyle name="Normal 3 48 3" xfId="1468" xr:uid="{A9375164-3684-4D96-8336-C7A05B8A3788}"/>
    <cellStyle name="Normal 3 48 4" xfId="1469" xr:uid="{FA659E95-CA63-4903-8A11-96E2EA724338}"/>
    <cellStyle name="Normal 3 48 5" xfId="74" xr:uid="{106E49E9-0007-46CB-8117-B3DE484F02A2}"/>
    <cellStyle name="Normal 3 49" xfId="1470" xr:uid="{BAC5FBD9-8C9F-4BC8-B7D2-22CFA18ECAF8}"/>
    <cellStyle name="Normal 3 5" xfId="1471" xr:uid="{FA156322-4E05-44AB-8DB6-8D2E260FE761}"/>
    <cellStyle name="Normal 3 5 2" xfId="1472" xr:uid="{F31DD51B-3F68-47D1-9374-764B317B2D71}"/>
    <cellStyle name="Normal 3 5 2 2" xfId="82" xr:uid="{AD157090-A3B9-477B-8B6A-AC64A9881F7E}"/>
    <cellStyle name="Normal 3 5 3" xfId="1473" xr:uid="{EFE7A1D1-A605-4343-8591-AAD9D7122F2D}"/>
    <cellStyle name="Normal 3 5 4" xfId="1474" xr:uid="{044FB9E0-6AFD-4669-9F7E-E295AEAA8FEF}"/>
    <cellStyle name="Normal 3 50" xfId="1475" xr:uid="{92D6433F-8E9A-461E-A54D-5A17EEC4D96F}"/>
    <cellStyle name="Normal 3 51" xfId="1476" xr:uid="{56575457-D2C4-4EAF-8483-A2D152ED832B}"/>
    <cellStyle name="Normal 3 52" xfId="1477" xr:uid="{A0EB6825-34E9-482C-A185-1FA12E63F68F}"/>
    <cellStyle name="Normal 3 53" xfId="107" xr:uid="{F3B4642F-F258-4711-8199-5CAA20013014}"/>
    <cellStyle name="Normal 3 56" xfId="123" xr:uid="{994BDFC2-E607-4A9F-9992-F644D29971E3}"/>
    <cellStyle name="Normal 3 6" xfId="1478" xr:uid="{6C45C063-EE4E-4A73-BA20-359894A836C4}"/>
    <cellStyle name="Normal 3 6 2" xfId="1479" xr:uid="{E255A734-2EAF-44BF-93E2-9513777548EB}"/>
    <cellStyle name="Normal 3 6 3" xfId="1480" xr:uid="{382472C7-24D6-465B-8C60-EC9DD7EC6643}"/>
    <cellStyle name="Normal 3 6 4" xfId="1481" xr:uid="{09B97E75-8A7B-455D-BC0B-AB6AC699EDB4}"/>
    <cellStyle name="Normal 3 7" xfId="1482" xr:uid="{854475F0-4B4C-4CC5-ADB3-7D8A3DB01250}"/>
    <cellStyle name="Normal 3 7 2" xfId="1483" xr:uid="{5BA682F3-6BE0-4617-A269-38706177BB09}"/>
    <cellStyle name="Normal 3 7 3" xfId="1484" xr:uid="{01AE816A-BD6D-4156-8D8B-8AFF3315C037}"/>
    <cellStyle name="Normal 3 7 4" xfId="1485" xr:uid="{31E2B245-14CE-483C-B0F9-9157F395AC4F}"/>
    <cellStyle name="Normal 3 8" xfId="1486" xr:uid="{CB9F487A-1D34-4CDC-AC26-57D6A1CB8B4E}"/>
    <cellStyle name="Normal 3 8 2" xfId="1487" xr:uid="{34E67ACE-A682-4EF5-A6C8-2BFA3DDB21F5}"/>
    <cellStyle name="Normal 3 8 3" xfId="1488" xr:uid="{A319ABD0-12F2-458D-9DAE-8266F8CCC2B3}"/>
    <cellStyle name="Normal 3 8 4" xfId="1489" xr:uid="{85594AFD-C05C-4D29-BC12-F5ED78CF0428}"/>
    <cellStyle name="Normal 3 9" xfId="1490" xr:uid="{A0C31F11-D9EE-492D-AE2F-ACA11C2AEEE9}"/>
    <cellStyle name="Normal 3 9 2" xfId="1491" xr:uid="{5DE497DB-84FA-4372-89EC-B218F8E520C6}"/>
    <cellStyle name="Normal 3 9 3" xfId="1492" xr:uid="{022FC027-1FF6-4C13-A1A6-6ACAE6373223}"/>
    <cellStyle name="Normal 3 9 4" xfId="1493" xr:uid="{F55B35C0-1736-47EF-AAFF-2DE1F3EE5D7B}"/>
    <cellStyle name="Normal 31" xfId="1494" xr:uid="{7FDD63AE-3227-4766-8CE3-71A2D5B6F6CC}"/>
    <cellStyle name="Normal 31 2" xfId="1495" xr:uid="{1B7F65D6-C5B5-4E11-8B09-40323E65D1D3}"/>
    <cellStyle name="Normal 31 2 2" xfId="1496" xr:uid="{5EA66479-33F7-44B1-AA79-90D6E0931FFE}"/>
    <cellStyle name="Normal 31 2 3" xfId="1497" xr:uid="{0074CC54-07A6-4110-8F1C-F8D38E33D3BF}"/>
    <cellStyle name="Normal 31 2 4" xfId="1498" xr:uid="{82A3AD14-D906-49BC-9F9D-CFC4BA9A6EF2}"/>
    <cellStyle name="Normal 31 3" xfId="1499" xr:uid="{47189B73-CFBE-40E6-BF8A-FAF389C22B63}"/>
    <cellStyle name="Normal 31 3 2" xfId="1500" xr:uid="{1AB12C2A-26B6-4A98-B5F5-924E6659A4DA}"/>
    <cellStyle name="Normal 31 3 2 2" xfId="1501" xr:uid="{19CB1195-C7F6-4C13-8D6F-A0D2DBFBB3B9}"/>
    <cellStyle name="Normal 31 3 2 3" xfId="1502" xr:uid="{04886774-72D6-49C8-8B52-805C45A1F6BA}"/>
    <cellStyle name="Normal 31 3 2 4" xfId="1503" xr:uid="{3F0290B7-D38A-4E4A-818A-DD7D50F4654F}"/>
    <cellStyle name="Normal 31 3 3" xfId="1504" xr:uid="{FBDAE2FB-EDA3-43F5-B99F-1612CA619276}"/>
    <cellStyle name="Normal 31 3 4" xfId="1505" xr:uid="{5408733B-C6C8-4375-812B-B3522F3EFF80}"/>
    <cellStyle name="Normal 31 3 5" xfId="1506" xr:uid="{90508178-E407-408C-AB9F-EFAF133E63C0}"/>
    <cellStyle name="Normal 31 4" xfId="1507" xr:uid="{FF45DEE1-DF30-4B70-95BA-5B39C5A675D3}"/>
    <cellStyle name="Normal 31 5" xfId="1508" xr:uid="{B3FF75E6-EDCD-4BE4-BDF4-057D5F4D539C}"/>
    <cellStyle name="Normal 31 6" xfId="1509" xr:uid="{00AACA3B-F692-4A8C-8DE2-DD08F1EAF5EB}"/>
    <cellStyle name="Normal 33" xfId="1510" xr:uid="{DD458952-1D04-480C-AA67-FBD868C793F1}"/>
    <cellStyle name="Normal 33 2" xfId="1511" xr:uid="{6413E2BC-4688-482D-BA71-48717B2C5048}"/>
    <cellStyle name="Normal 33 2 2" xfId="1512" xr:uid="{775A087D-2520-4EA7-8671-C7924B0173CD}"/>
    <cellStyle name="Normal 33 2 3" xfId="1513" xr:uid="{656EA47C-C633-49BC-9346-4B57DA7D064D}"/>
    <cellStyle name="Normal 33 2 4" xfId="1514" xr:uid="{34995764-BDD5-45C8-A8DB-1DD27E8AF41D}"/>
    <cellStyle name="Normal 33 3" xfId="1515" xr:uid="{95F18A6F-5F10-4E9C-A734-F5EE87686B5B}"/>
    <cellStyle name="Normal 33 3 2" xfId="1516" xr:uid="{3659DBA7-9E10-452E-A5C6-0DEB1692B48B}"/>
    <cellStyle name="Normal 33 3 2 2" xfId="1517" xr:uid="{194FDB1E-ECED-48F3-8323-0E5C0A094239}"/>
    <cellStyle name="Normal 33 3 2 3" xfId="1518" xr:uid="{BC0D7D7B-F1B2-4E14-9CC0-4EB176B5B323}"/>
    <cellStyle name="Normal 33 3 2 4" xfId="1519" xr:uid="{7CB1EAC0-70B0-4FD0-9E2D-BB435B3B3C59}"/>
    <cellStyle name="Normal 33 3 3" xfId="1520" xr:uid="{4E14EB3D-9401-4A17-87C8-B4AFDD6071CD}"/>
    <cellStyle name="Normal 33 3 4" xfId="1521" xr:uid="{987423CB-6BEF-4B71-9545-4F1B5D435FD4}"/>
    <cellStyle name="Normal 33 3 5" xfId="1522" xr:uid="{BD78A12A-C110-4F5E-8C2F-C06D8E1D815A}"/>
    <cellStyle name="Normal 33 4" xfId="1523" xr:uid="{DEC67375-5ED2-4515-B416-A3242DC40976}"/>
    <cellStyle name="Normal 33 5" xfId="1524" xr:uid="{2C1C62E2-0DDB-473B-BD62-FC001919172C}"/>
    <cellStyle name="Normal 33 6" xfId="1525" xr:uid="{EEE454C7-3D08-4604-A0F9-2AFFFF05CF0A}"/>
    <cellStyle name="Normal 35" xfId="1526" xr:uid="{17C46298-A48C-4279-8664-77C27753A8D2}"/>
    <cellStyle name="Normal 35 2" xfId="1527" xr:uid="{B65C0F2D-11A5-4C51-AFD3-EF4EE98EAEB0}"/>
    <cellStyle name="Normal 35 2 2" xfId="1528" xr:uid="{DEB85338-D1D2-4AB4-B4CF-359F6A79D59A}"/>
    <cellStyle name="Normal 35 2 3" xfId="1529" xr:uid="{E0614282-62D2-498F-9E22-C7B3BBEDE510}"/>
    <cellStyle name="Normal 35 2 4" xfId="1530" xr:uid="{6F95FA5D-1E1F-4FA4-B5A1-4348156ABF58}"/>
    <cellStyle name="Normal 35 3" xfId="1531" xr:uid="{4D0B02D8-48C1-45CC-8772-48FBE68E041E}"/>
    <cellStyle name="Normal 35 3 2" xfId="1532" xr:uid="{F49E55F7-99C0-4426-ACCA-41528BE83735}"/>
    <cellStyle name="Normal 35 3 2 2" xfId="1533" xr:uid="{8555CD26-C943-46E1-B479-48C1A365A8C5}"/>
    <cellStyle name="Normal 35 3 2 3" xfId="1534" xr:uid="{2AC7827F-C49D-4D5B-9828-5EE33255FD24}"/>
    <cellStyle name="Normal 35 3 2 4" xfId="1535" xr:uid="{796A71C4-654D-476B-BF56-9C025C3DBD1E}"/>
    <cellStyle name="Normal 35 3 3" xfId="1536" xr:uid="{96B1D1A1-1CFC-427F-B119-B8E1BA781D23}"/>
    <cellStyle name="Normal 35 3 4" xfId="1537" xr:uid="{D3AA976F-379C-490D-A8CA-44732ADB009A}"/>
    <cellStyle name="Normal 35 3 5" xfId="1538" xr:uid="{8583BEC0-971D-4165-89B2-95B70BC92AF5}"/>
    <cellStyle name="Normal 35 4" xfId="1539" xr:uid="{0461FCEA-AE17-493D-8428-E5C5D717FA4F}"/>
    <cellStyle name="Normal 35 5" xfId="1540" xr:uid="{8CE58965-4F95-4598-82FA-84649FC7F192}"/>
    <cellStyle name="Normal 35 6" xfId="1541" xr:uid="{D4E1D3DA-C95B-4D89-BAF8-BA59B015EC61}"/>
    <cellStyle name="Normal 36" xfId="1542" xr:uid="{3AFC2459-8B65-4F1B-AD78-120AC917484B}"/>
    <cellStyle name="Normal 36 2" xfId="1543" xr:uid="{99EA4C4F-AB09-4E57-A18F-C7F33BD4ACB9}"/>
    <cellStyle name="Normal 36 2 2" xfId="1544" xr:uid="{626B3FBB-25D9-4D80-9E2C-5D7AAA294A01}"/>
    <cellStyle name="Normal 36 2 3" xfId="1545" xr:uid="{AC9FB00A-0A55-48AE-BAC5-ECDC7D499C87}"/>
    <cellStyle name="Normal 36 2 4" xfId="1546" xr:uid="{E7AABC3F-0FD9-4E70-B22A-E50B215B889D}"/>
    <cellStyle name="Normal 36 3" xfId="1547" xr:uid="{8780A737-256B-4E71-B3CD-E6C90FF17189}"/>
    <cellStyle name="Normal 36 3 2" xfId="1548" xr:uid="{1F2D2D21-6185-4BBE-BDD2-1E8184A1EF31}"/>
    <cellStyle name="Normal 36 3 2 2" xfId="1549" xr:uid="{61621A10-9DDE-4E64-AAE8-1FEA53F445B1}"/>
    <cellStyle name="Normal 36 3 2 3" xfId="1550" xr:uid="{165144C8-E2FB-4077-9904-55AB36A65C10}"/>
    <cellStyle name="Normal 36 3 2 4" xfId="1551" xr:uid="{EB4DA38E-BA22-4070-B730-272FD31C4128}"/>
    <cellStyle name="Normal 36 3 3" xfId="1552" xr:uid="{C0A3C7B8-A443-4D72-833C-CF88C9324367}"/>
    <cellStyle name="Normal 36 3 4" xfId="1553" xr:uid="{99329C37-7B5B-4298-9544-CFBCFFEEC598}"/>
    <cellStyle name="Normal 36 3 5" xfId="1554" xr:uid="{2193DF65-2F95-4DE1-A2ED-0CDCC5E3781E}"/>
    <cellStyle name="Normal 36 4" xfId="1555" xr:uid="{F7E781E8-9207-4E3B-8F31-DF5BF7F6471D}"/>
    <cellStyle name="Normal 36 5" xfId="1556" xr:uid="{8F6F9872-3435-4D68-BF41-292F1C79B833}"/>
    <cellStyle name="Normal 36 6" xfId="1557" xr:uid="{E17C7C2A-482B-492C-BD7F-EBBA456577DA}"/>
    <cellStyle name="Normal 38" xfId="1558" xr:uid="{7545E295-9F60-454C-A468-170C9667E87A}"/>
    <cellStyle name="Normal 38 2" xfId="1559" xr:uid="{9EB52128-709C-4B1D-8B1A-120AC4FE0565}"/>
    <cellStyle name="Normal 38 2 2" xfId="1560" xr:uid="{4633691F-6112-40C0-8417-943F4326C9CE}"/>
    <cellStyle name="Normal 38 2 3" xfId="1561" xr:uid="{1B02442F-6135-4315-ADFC-58CA26E871B5}"/>
    <cellStyle name="Normal 38 2 4" xfId="1562" xr:uid="{FF986B4A-D0E7-4EB6-A145-BB14941A517F}"/>
    <cellStyle name="Normal 38 3" xfId="1563" xr:uid="{FA8756A9-23B3-4C36-B927-F0F945D083CC}"/>
    <cellStyle name="Normal 38 3 2" xfId="1564" xr:uid="{A254286E-57AB-429B-83E5-CA9281CC3000}"/>
    <cellStyle name="Normal 38 3 2 2" xfId="1565" xr:uid="{A82C03CD-31B7-4FBE-81D2-E9FD8EE66432}"/>
    <cellStyle name="Normal 38 3 2 3" xfId="1566" xr:uid="{8E0531AC-E83D-4398-AE68-28A811876961}"/>
    <cellStyle name="Normal 38 3 2 4" xfId="1567" xr:uid="{2D672407-0E8F-4A14-8747-428B1A2E06F7}"/>
    <cellStyle name="Normal 38 3 3" xfId="1568" xr:uid="{19ABED21-A2A1-4B40-B909-C3B3DD957305}"/>
    <cellStyle name="Normal 38 3 4" xfId="1569" xr:uid="{7F494CC8-7098-435E-8FD2-4DB48698B75B}"/>
    <cellStyle name="Normal 38 3 5" xfId="1570" xr:uid="{D9ABBAA4-0E40-4A93-A11E-5701EEA0B6F2}"/>
    <cellStyle name="Normal 38 4" xfId="1571" xr:uid="{B6CC239F-9D9D-4881-B7C9-9C992A8EABAD}"/>
    <cellStyle name="Normal 38 5" xfId="1572" xr:uid="{6AF9D019-27A6-47E6-921E-0DC899845662}"/>
    <cellStyle name="Normal 38 6" xfId="1573" xr:uid="{441F73D3-9E07-4149-8456-3ED29C96B79C}"/>
    <cellStyle name="Normal 4" xfId="4" xr:uid="{06F82E82-DC1C-4857-8ABC-2200EA80F5F1}"/>
    <cellStyle name="Normal 4 10" xfId="1575" xr:uid="{37AB9A8B-8C69-47F7-87EC-147EFD40D318}"/>
    <cellStyle name="Normal 4 10 2" xfId="1576" xr:uid="{BFDD04FC-FF4E-4749-AE26-63218C349379}"/>
    <cellStyle name="Normal 4 10 3" xfId="1577" xr:uid="{53C8A7D5-49A1-4FED-A692-D34F48E2BCE9}"/>
    <cellStyle name="Normal 4 10 4" xfId="1578" xr:uid="{8393F2BA-35E5-41C3-BB68-C887D5D5FD42}"/>
    <cellStyle name="Normal 4 11" xfId="1579" xr:uid="{CF792B25-CD6D-4F5F-A477-BF5ABC47EA75}"/>
    <cellStyle name="Normal 4 11 2" xfId="1580" xr:uid="{A7A02285-3FFA-448D-9341-E5FF6AED6D07}"/>
    <cellStyle name="Normal 4 11 3" xfId="1581" xr:uid="{C063880A-1331-4F46-B7B1-A7BFF2E5B519}"/>
    <cellStyle name="Normal 4 11 4" xfId="1582" xr:uid="{603D0233-9FF6-433C-B430-0AA07898998C}"/>
    <cellStyle name="Normal 4 12" xfId="1583" xr:uid="{8AC645E5-6D7A-4242-8AC8-7C585B465685}"/>
    <cellStyle name="Normal 4 12 2" xfId="1584" xr:uid="{1038F36B-CB18-4925-AAE8-B058E60FF9E2}"/>
    <cellStyle name="Normal 4 12 3" xfId="1585" xr:uid="{45CFD9C7-81A2-4C16-AB31-C5572CF6E431}"/>
    <cellStyle name="Normal 4 12 4" xfId="1586" xr:uid="{3044FB29-209A-44B5-BD71-5CD230AA490D}"/>
    <cellStyle name="Normal 4 13" xfId="1587" xr:uid="{E2A0C8C3-651C-487D-9E64-6719EE35DFE4}"/>
    <cellStyle name="Normal 4 13 2" xfId="1588" xr:uid="{2F068F45-77D7-4016-95CE-B24DB316BE69}"/>
    <cellStyle name="Normal 4 13 3" xfId="1589" xr:uid="{F71DF614-3EBB-474E-BD7F-5F906BACD426}"/>
    <cellStyle name="Normal 4 13 4" xfId="1590" xr:uid="{C0E64DB7-08FB-4937-8F36-D7125A942244}"/>
    <cellStyle name="Normal 4 14" xfId="1591" xr:uid="{775B025A-9761-4A71-A172-11ECFE8E11EF}"/>
    <cellStyle name="Normal 4 14 2" xfId="1592" xr:uid="{AB1CE234-AB32-4EEF-A5C6-F2C43E168A5A}"/>
    <cellStyle name="Normal 4 14 3" xfId="1593" xr:uid="{B7C21282-242C-4AD9-9D6F-4891F5DDB916}"/>
    <cellStyle name="Normal 4 14 4" xfId="1594" xr:uid="{F0C0F7D3-C13C-4A65-8C7F-7B0C1D64DE06}"/>
    <cellStyle name="Normal 4 15" xfId="1595" xr:uid="{ABB75086-59E5-4CCC-8258-897C845C99EA}"/>
    <cellStyle name="Normal 4 15 2" xfId="1596" xr:uid="{958ECB59-646F-4F1B-A396-FCD304FBE24E}"/>
    <cellStyle name="Normal 4 15 3" xfId="1597" xr:uid="{2C491CFD-2C93-4BB2-A8DF-11E07B3E6A6E}"/>
    <cellStyle name="Normal 4 15 4" xfId="1598" xr:uid="{5CC3E386-E295-4BF4-8223-10187B39D5A0}"/>
    <cellStyle name="Normal 4 16" xfId="1599" xr:uid="{15EAB9E6-0A17-41F8-B28C-680B019862DC}"/>
    <cellStyle name="Normal 4 16 2" xfId="1600" xr:uid="{06FFD682-443B-4774-8CC1-8E612A43C791}"/>
    <cellStyle name="Normal 4 16 3" xfId="1601" xr:uid="{8FC6BFAD-98ED-4258-A85B-8214E0DD934B}"/>
    <cellStyle name="Normal 4 16 4" xfId="1602" xr:uid="{B9CBADAF-4713-4B79-875D-E412D6F81629}"/>
    <cellStyle name="Normal 4 17" xfId="1603" xr:uid="{9015823F-1D65-4A81-8C63-5A6C099B420B}"/>
    <cellStyle name="Normal 4 17 2" xfId="1604" xr:uid="{E06EE139-5E42-4A5D-ADD8-9175F0CADB6A}"/>
    <cellStyle name="Normal 4 17 3" xfId="1605" xr:uid="{61B66FE1-0965-4D94-90CA-913C5B67F245}"/>
    <cellStyle name="Normal 4 17 4" xfId="1606" xr:uid="{96FB3664-6984-48D6-BA6E-3FCB38B3FF6B}"/>
    <cellStyle name="Normal 4 18" xfId="1607" xr:uid="{CE1BD7EB-4A38-4296-947E-0A1AFBD6DF7F}"/>
    <cellStyle name="Normal 4 18 2" xfId="1608" xr:uid="{5491ACF9-ED3C-41DE-8822-8D60DA7EACE9}"/>
    <cellStyle name="Normal 4 18 3" xfId="1609" xr:uid="{EDF3107B-0EF1-46A5-81C8-07CF6E2F7C96}"/>
    <cellStyle name="Normal 4 18 4" xfId="1610" xr:uid="{D1629A55-B1DB-4AF4-BC42-477F8E5F48D2}"/>
    <cellStyle name="Normal 4 19" xfId="1611" xr:uid="{BAD45DE9-EDF6-455F-825B-BFC7E6040C0F}"/>
    <cellStyle name="Normal 4 19 2" xfId="1612" xr:uid="{E02376AA-FAA9-43E9-A407-6BD83A491731}"/>
    <cellStyle name="Normal 4 19 3" xfId="1613" xr:uid="{EF34AD8C-BEE4-4B84-89D4-1F82A5A40102}"/>
    <cellStyle name="Normal 4 19 4" xfId="1614" xr:uid="{E7C8182E-057F-48AC-B754-6ACDCC3C5E4B}"/>
    <cellStyle name="Normal 4 2" xfId="1615" xr:uid="{7C0B9AD5-DBE9-4140-9C59-A187D9352641}"/>
    <cellStyle name="Normal 4 2 2" xfId="1616" xr:uid="{99048B33-DC0D-4328-AEDE-EEA61B7B2AFD}"/>
    <cellStyle name="Normal 4 2 3" xfId="1617" xr:uid="{A21C2DBA-4C0A-427E-A7A9-FD2D464D3416}"/>
    <cellStyle name="Normal 4 2 4" xfId="1618" xr:uid="{736CA7D0-B222-4E8A-8833-20F3D6A81304}"/>
    <cellStyle name="Normal 4 20" xfId="1619" xr:uid="{408A4682-93FA-4D36-93E9-79143070C1FA}"/>
    <cellStyle name="Normal 4 20 2" xfId="1620" xr:uid="{0807F6F0-991A-4C62-B9ED-7DA33555950F}"/>
    <cellStyle name="Normal 4 20 3" xfId="1621" xr:uid="{FD7B7C71-FA87-4880-84C1-3617199D33E4}"/>
    <cellStyle name="Normal 4 20 4" xfId="1622" xr:uid="{B19CB6F7-772E-43C6-A2AE-742EA7D20E40}"/>
    <cellStyle name="Normal 4 21" xfId="1623" xr:uid="{78705269-7727-4BCB-9198-3F9402B52B5D}"/>
    <cellStyle name="Normal 4 21 2" xfId="1624" xr:uid="{2A9F602F-746E-4267-A35B-7DC2029059BB}"/>
    <cellStyle name="Normal 4 21 3" xfId="1625" xr:uid="{EF51DDFB-A77F-4D14-9FBE-1A732C959F6B}"/>
    <cellStyle name="Normal 4 21 4" xfId="1626" xr:uid="{CE3D602B-607A-401F-BE85-23AD0B7F7999}"/>
    <cellStyle name="Normal 4 22" xfId="1627" xr:uid="{A2EB42AE-0164-432F-88D7-828CB951E4BA}"/>
    <cellStyle name="Normal 4 22 2" xfId="1628" xr:uid="{F5427F22-365B-48EE-AFDC-821B67E22356}"/>
    <cellStyle name="Normal 4 22 3" xfId="1629" xr:uid="{40C8821C-5CCC-4300-80D1-F3F4FF19A978}"/>
    <cellStyle name="Normal 4 22 4" xfId="1630" xr:uid="{659BBBA2-C4CC-4E8E-A347-555400F44514}"/>
    <cellStyle name="Normal 4 23" xfId="1631" xr:uid="{3CEF719A-1B5B-4169-9B0D-1617DF68552D}"/>
    <cellStyle name="Normal 4 23 2" xfId="1632" xr:uid="{9B75F5D6-4903-4A31-A2F8-6D0630B8EBF4}"/>
    <cellStyle name="Normal 4 23 3" xfId="1633" xr:uid="{A9FA4C97-9D7C-44EA-ACF2-1B3D1B5FDDBA}"/>
    <cellStyle name="Normal 4 23 4" xfId="1634" xr:uid="{F951CEBC-F6BB-4B67-9F3D-F03AD90D1559}"/>
    <cellStyle name="Normal 4 24" xfId="1635" xr:uid="{BD944CF7-ECF6-4909-9CB5-EE338279D07F}"/>
    <cellStyle name="Normal 4 24 2" xfId="1636" xr:uid="{69A8092F-ACD5-40C3-BFCF-8B7778932883}"/>
    <cellStyle name="Normal 4 24 3" xfId="1637" xr:uid="{163D50D6-2D76-45C8-8EFF-4FCA947925AF}"/>
    <cellStyle name="Normal 4 24 4" xfId="1638" xr:uid="{AEBD1904-F8AA-4A94-A3FB-164B0B91D99B}"/>
    <cellStyle name="Normal 4 25" xfId="1639" xr:uid="{A2EAFD17-4EA5-48F7-BDD9-551F027E7B0C}"/>
    <cellStyle name="Normal 4 25 2" xfId="1640" xr:uid="{8C8C88FF-0B6B-45C1-B4FC-ABAC621E1A2B}"/>
    <cellStyle name="Normal 4 25 3" xfId="1641" xr:uid="{A843BD90-2B21-4336-BCD6-49A308BACBA9}"/>
    <cellStyle name="Normal 4 25 4" xfId="1642" xr:uid="{F1CF202D-0D2A-44AB-888F-7BC186D82DC5}"/>
    <cellStyle name="Normal 4 26" xfId="1643" xr:uid="{22953E9A-FD8B-4423-B38A-F9A7E1C9FCA0}"/>
    <cellStyle name="Normal 4 26 2" xfId="1644" xr:uid="{1D46548D-13C7-400B-93D8-CD395E44612D}"/>
    <cellStyle name="Normal 4 26 3" xfId="1645" xr:uid="{9796F913-53C3-4D4E-9899-3E8DD685E770}"/>
    <cellStyle name="Normal 4 26 4" xfId="1646" xr:uid="{4D6E2A34-0AFE-41FA-A3D4-B8E9CFA027B2}"/>
    <cellStyle name="Normal 4 27" xfId="1647" xr:uid="{23E495BF-7F9C-4EAF-9C1E-64AFECD2D1A3}"/>
    <cellStyle name="Normal 4 27 2" xfId="1648" xr:uid="{51CE6C99-5767-4929-8123-2596331ADC8C}"/>
    <cellStyle name="Normal 4 27 3" xfId="1649" xr:uid="{EC32E5CC-E63B-4E69-8A07-D318C7239A2F}"/>
    <cellStyle name="Normal 4 27 4" xfId="1650" xr:uid="{932C7B43-0A7B-41CF-8D64-E795FCE69B93}"/>
    <cellStyle name="Normal 4 28" xfId="1651" xr:uid="{50584030-403A-4829-AE2F-AB840E2AEEEA}"/>
    <cellStyle name="Normal 4 28 2" xfId="1652" xr:uid="{73C78624-3A67-463D-A36D-8B4B5B30736A}"/>
    <cellStyle name="Normal 4 28 3" xfId="1653" xr:uid="{BB39E696-3305-4D58-82A6-096FFE036F57}"/>
    <cellStyle name="Normal 4 28 4" xfId="1654" xr:uid="{264D6D74-CA09-4011-9598-5EC392952D24}"/>
    <cellStyle name="Normal 4 29" xfId="1655" xr:uid="{C3CD1A1B-F40F-46B4-9C1C-373588E0CFFE}"/>
    <cellStyle name="Normal 4 29 2" xfId="1656" xr:uid="{677FB50B-2FEA-4609-A954-76828635C832}"/>
    <cellStyle name="Normal 4 29 3" xfId="1657" xr:uid="{AE3AE1CB-0AAE-4A4E-AEC3-524A851C6E52}"/>
    <cellStyle name="Normal 4 29 4" xfId="1658" xr:uid="{097B1C8C-7F34-4E53-9918-AF7FE271A7FA}"/>
    <cellStyle name="Normal 4 3" xfId="1659" xr:uid="{9E268D13-57CC-42FD-89DC-9BE0504EF345}"/>
    <cellStyle name="Normal 4 3 2" xfId="1660" xr:uid="{1AD0AEFE-564A-4F34-A6D5-A09D9F895C50}"/>
    <cellStyle name="Normal 4 3 3" xfId="1661" xr:uid="{EAABCD36-AB83-4BB0-83BD-E1F2E5118085}"/>
    <cellStyle name="Normal 4 3 4" xfId="1662" xr:uid="{505EC795-F2C1-4D2B-9A3D-79826FE7FD70}"/>
    <cellStyle name="Normal 4 30" xfId="1663" xr:uid="{B890C2B5-8C61-4D97-BD03-DBA2C56601DC}"/>
    <cellStyle name="Normal 4 30 2" xfId="1664" xr:uid="{B799DD98-A9CC-4DFB-AB6D-5D32B7135E95}"/>
    <cellStyle name="Normal 4 30 3" xfId="1665" xr:uid="{7E6A76AB-F37F-4AE9-9773-60FC5939EB93}"/>
    <cellStyle name="Normal 4 30 4" xfId="1666" xr:uid="{856AE131-3321-4E85-A8A2-CE19612C4703}"/>
    <cellStyle name="Normal 4 31" xfId="1667" xr:uid="{36C62D16-9CC4-4EDF-8BEE-216C1418DA91}"/>
    <cellStyle name="Normal 4 31 2" xfId="1668" xr:uid="{224F190A-32D0-438C-AFD1-C0F829ECC653}"/>
    <cellStyle name="Normal 4 31 3" xfId="1669" xr:uid="{1030EAC4-2646-41DC-9103-753569DE3315}"/>
    <cellStyle name="Normal 4 31 4" xfId="1670" xr:uid="{8FE2CE91-06E0-460F-BAE4-3065E4EA023C}"/>
    <cellStyle name="Normal 4 32" xfId="1671" xr:uid="{34CC6BA0-67AF-435F-A7FA-9B190F9E400D}"/>
    <cellStyle name="Normal 4 32 2" xfId="1672" xr:uid="{C04F16C1-0F11-461B-83E1-05C820E429B2}"/>
    <cellStyle name="Normal 4 32 3" xfId="1673" xr:uid="{62C6D89E-3F63-48DE-8032-3D3F42DB417C}"/>
    <cellStyle name="Normal 4 32 4" xfId="1674" xr:uid="{9DAEFF42-8664-411E-ACEE-7F76A4B40F65}"/>
    <cellStyle name="Normal 4 33" xfId="1675" xr:uid="{3EAAD6B2-5C19-4719-9994-D1FDB604BB10}"/>
    <cellStyle name="Normal 4 33 2" xfId="1676" xr:uid="{E2301AF3-0546-49F1-8CF8-6CE0E7A170EB}"/>
    <cellStyle name="Normal 4 33 3" xfId="1677" xr:uid="{A58A99F0-53C0-42F1-8BE9-B5300CFCE3EF}"/>
    <cellStyle name="Normal 4 33 4" xfId="1678" xr:uid="{4D687FA7-FB8A-487E-A85B-2FE2C2AC9F24}"/>
    <cellStyle name="Normal 4 34" xfId="1679" xr:uid="{A3CEAC77-D137-473A-A444-B6337848389C}"/>
    <cellStyle name="Normal 4 34 2" xfId="1680" xr:uid="{AE2DB4D0-9E4D-4F1A-A030-E0E818FCDCCA}"/>
    <cellStyle name="Normal 4 34 3" xfId="1681" xr:uid="{E4CF47C8-F655-41B1-9E51-71DB59DAF8DF}"/>
    <cellStyle name="Normal 4 34 4" xfId="1682" xr:uid="{1506A603-26FC-46B2-9816-185D66E73762}"/>
    <cellStyle name="Normal 4 35" xfId="1683" xr:uid="{B348B184-15AB-4EE6-BF94-9EAE727A8942}"/>
    <cellStyle name="Normal 4 35 2" xfId="1684" xr:uid="{1EB94EFB-A5D2-49BE-8223-9F22F0A52A2E}"/>
    <cellStyle name="Normal 4 35 3" xfId="1685" xr:uid="{16353B9A-EEC9-4A50-B629-1153EA7065A7}"/>
    <cellStyle name="Normal 4 35 4" xfId="1686" xr:uid="{6F7BAAC1-AD69-46F0-AECC-50262CFC6D87}"/>
    <cellStyle name="Normal 4 36" xfId="1687" xr:uid="{3E0640A3-DE6A-49B0-BACF-F1B8C384D7C2}"/>
    <cellStyle name="Normal 4 36 2" xfId="1688" xr:uid="{DF2C713D-B7C7-4541-8E13-274AE34ACFCF}"/>
    <cellStyle name="Normal 4 36 3" xfId="1689" xr:uid="{859E82FD-2160-41A8-9C69-7D9BC90C66D8}"/>
    <cellStyle name="Normal 4 36 4" xfId="1690" xr:uid="{429C5698-3AD1-412B-8C38-EFD5EE2569E6}"/>
    <cellStyle name="Normal 4 37" xfId="1691" xr:uid="{43224E9A-DD6F-47E8-8603-23460FF9604B}"/>
    <cellStyle name="Normal 4 37 2" xfId="1692" xr:uid="{995A4D3F-1031-485D-8B58-864293DA4D15}"/>
    <cellStyle name="Normal 4 37 3" xfId="1693" xr:uid="{C9777227-502B-48E9-B34D-F12148BF008A}"/>
    <cellStyle name="Normal 4 37 4" xfId="1694" xr:uid="{C19C5896-959B-4007-83A3-051CA9EDDC28}"/>
    <cellStyle name="Normal 4 38" xfId="1695" xr:uid="{86F09C82-558C-4AB1-B93B-24A8A8313C7F}"/>
    <cellStyle name="Normal 4 38 2" xfId="1696" xr:uid="{F4EE8396-8943-41D7-A1BB-1B408DC529E0}"/>
    <cellStyle name="Normal 4 38 3" xfId="1697" xr:uid="{7D5DD43F-103A-4C7A-8B55-0C88F46A8B94}"/>
    <cellStyle name="Normal 4 38 4" xfId="1698" xr:uid="{B3E2F6C0-13DA-4ED3-A7CC-31BA8B1846C3}"/>
    <cellStyle name="Normal 4 39" xfId="1699" xr:uid="{E9411DD8-ABD8-4A3C-B408-23A9D97FEF96}"/>
    <cellStyle name="Normal 4 39 2" xfId="1700" xr:uid="{E01A8994-65DA-4814-AC82-9E3B4F5FA4FD}"/>
    <cellStyle name="Normal 4 39 3" xfId="1701" xr:uid="{B29B1C0E-A27A-4205-A086-C0138E9A0999}"/>
    <cellStyle name="Normal 4 39 4" xfId="1702" xr:uid="{802531FC-464D-4F73-A28F-EA5E7B10D84E}"/>
    <cellStyle name="Normal 4 4" xfId="1703" xr:uid="{66DF12BB-DAC5-4F76-9B33-FC887E845072}"/>
    <cellStyle name="Normal 4 4 2" xfId="1704" xr:uid="{E17E1143-B0E4-4946-AB24-9F9223148A72}"/>
    <cellStyle name="Normal 4 4 3" xfId="1705" xr:uid="{4A230842-1F13-4619-B3E5-4764F95A3960}"/>
    <cellStyle name="Normal 4 4 4" xfId="1706" xr:uid="{68735E00-A086-47EF-B6FE-4F46A299902C}"/>
    <cellStyle name="Normal 4 40" xfId="1707" xr:uid="{00792F35-7E73-49C7-9C2D-972C54441E91}"/>
    <cellStyle name="Normal 4 40 2" xfId="1708" xr:uid="{2EAE180B-A28F-41AD-8060-1225938FD6CB}"/>
    <cellStyle name="Normal 4 40 3" xfId="1709" xr:uid="{B7B3EE24-9FED-44FE-840C-3DF3B776F5DB}"/>
    <cellStyle name="Normal 4 40 4" xfId="1710" xr:uid="{BFA4D541-0F5B-4C0B-BD7D-8F23EE454D64}"/>
    <cellStyle name="Normal 4 41" xfId="1711" xr:uid="{051EBFDC-73BB-4393-BB60-EF1E08DF7124}"/>
    <cellStyle name="Normal 4 41 2" xfId="1712" xr:uid="{87326DA5-DC63-4EC0-95C9-606582FD424F}"/>
    <cellStyle name="Normal 4 41 3" xfId="1713" xr:uid="{468FF392-DEC6-4933-A8F2-ECAA166967E9}"/>
    <cellStyle name="Normal 4 41 4" xfId="1714" xr:uid="{442F6112-A521-4C32-812A-4EB36C334D9E}"/>
    <cellStyle name="Normal 4 42" xfId="1715" xr:uid="{3311D329-32E1-4F69-95C5-F6EA4377532E}"/>
    <cellStyle name="Normal 4 42 2" xfId="1716" xr:uid="{4FFFF3AD-5855-4F7B-9F77-7B0B8427745F}"/>
    <cellStyle name="Normal 4 42 3" xfId="1717" xr:uid="{49A2F887-65C4-40FB-8962-732429ABD219}"/>
    <cellStyle name="Normal 4 42 4" xfId="1718" xr:uid="{191D5142-79F2-4C31-95AC-73F77442C9C4}"/>
    <cellStyle name="Normal 4 43" xfId="1719" xr:uid="{6DF2C394-F6BA-4F67-9962-633920072CCE}"/>
    <cellStyle name="Normal 4 43 2" xfId="1720" xr:uid="{76AEDE64-699F-4201-AC7A-47C54786A11B}"/>
    <cellStyle name="Normal 4 43 3" xfId="1721" xr:uid="{D29C43CB-F2C8-401C-8D26-4E8013AEBD1D}"/>
    <cellStyle name="Normal 4 43 4" xfId="1722" xr:uid="{C2AE1F3E-D173-475D-83C2-C2A181CE9E15}"/>
    <cellStyle name="Normal 4 44" xfId="1723" xr:uid="{455A5D25-2621-4C93-AF88-5AB210845507}"/>
    <cellStyle name="Normal 4 44 2" xfId="1724" xr:uid="{D189C338-5B71-4A54-B0B9-5546EF666681}"/>
    <cellStyle name="Normal 4 44 3" xfId="1725" xr:uid="{028D2B58-20DC-48DA-8880-875131B2E56A}"/>
    <cellStyle name="Normal 4 44 4" xfId="1726" xr:uid="{3507EF19-6C87-441C-8EA3-A00529C680F9}"/>
    <cellStyle name="Normal 4 45" xfId="1727" xr:uid="{EE9F36E2-16CC-4720-8060-F4E674275BB0}"/>
    <cellStyle name="Normal 4 45 2" xfId="1728" xr:uid="{4EBFEF78-43D0-4C18-B909-D2F109CEDB50}"/>
    <cellStyle name="Normal 4 45 3" xfId="1729" xr:uid="{F0A432EA-A1B9-41DA-9754-E55F60ABFE56}"/>
    <cellStyle name="Normal 4 45 4" xfId="1730" xr:uid="{FB26E20E-5D59-4755-9A99-4AA6EF234725}"/>
    <cellStyle name="Normal 4 46" xfId="1731" xr:uid="{E5BDA411-871F-4333-B019-AEAD03218DF4}"/>
    <cellStyle name="Normal 4 46 2" xfId="1732" xr:uid="{095B3913-FC2B-40A4-AC13-63B3D6FEE406}"/>
    <cellStyle name="Normal 4 46 3" xfId="1733" xr:uid="{E9304BFD-C778-46E4-ADE1-1C10784D5B23}"/>
    <cellStyle name="Normal 4 46 4" xfId="1734" xr:uid="{DAFA980E-D603-44B9-8B44-31E9D3D6D575}"/>
    <cellStyle name="Normal 4 47" xfId="1735" xr:uid="{CB7439C8-AD29-4E6E-AD76-2AA67B7A3D66}"/>
    <cellStyle name="Normal 4 47 2" xfId="1736" xr:uid="{F8EBF10F-DB08-491A-9C77-E336249A7CB5}"/>
    <cellStyle name="Normal 4 47 3" xfId="1737" xr:uid="{3A4D5EEC-848A-4698-972A-9AD8ADC0DB97}"/>
    <cellStyle name="Normal 4 47 4" xfId="1738" xr:uid="{B410A87E-25AE-4071-9A88-9E471AA85DEB}"/>
    <cellStyle name="Normal 4 48" xfId="1739" xr:uid="{AA3DA8A9-511E-4DFC-9C6F-BFD18500A8BA}"/>
    <cellStyle name="Normal 4 49" xfId="1740" xr:uid="{7233733F-789B-4B4D-9450-A83B1D03950D}"/>
    <cellStyle name="Normal 4 5" xfId="1741" xr:uid="{26BEA749-07D9-4319-837D-5029EF596A47}"/>
    <cellStyle name="Normal 4 5 2" xfId="1742" xr:uid="{81DCA5F3-4485-41A7-AB30-0D50C9DD11A8}"/>
    <cellStyle name="Normal 4 5 3" xfId="1743" xr:uid="{84DD970F-CA52-40FD-86BA-62EE790A0C97}"/>
    <cellStyle name="Normal 4 5 4" xfId="1744" xr:uid="{EFC0EBFA-9F0E-47AC-9D32-DD65D4FF222D}"/>
    <cellStyle name="Normal 4 50" xfId="1745" xr:uid="{FB610E31-186E-4AA0-8FFD-D81279CEBB0E}"/>
    <cellStyle name="Normal 4 51" xfId="1746" xr:uid="{8F42AA7F-9A7D-4819-9493-1006A0BDC999}"/>
    <cellStyle name="Normal 4 52" xfId="1574" xr:uid="{85571A17-D4E6-4774-ACFD-501F306F70D0}"/>
    <cellStyle name="Normal 4 6" xfId="1747" xr:uid="{2F1698E2-1603-4C88-BC88-2439990B876E}"/>
    <cellStyle name="Normal 4 6 2" xfId="1748" xr:uid="{BF87F94B-4ED3-4D53-B9A8-2EB172F2EE2F}"/>
    <cellStyle name="Normal 4 6 3" xfId="1749" xr:uid="{5BA79A8D-7AC8-48DB-97E4-E90EBC74E088}"/>
    <cellStyle name="Normal 4 6 4" xfId="1750" xr:uid="{AFC17379-D24B-43BB-878D-C382523C630F}"/>
    <cellStyle name="Normal 4 7" xfId="1751" xr:uid="{5E1B9213-1364-4AFD-9E52-32088C7D098F}"/>
    <cellStyle name="Normal 4 7 2" xfId="1752" xr:uid="{4AC8860D-631B-45BB-9503-51C7B8196990}"/>
    <cellStyle name="Normal 4 7 3" xfId="1753" xr:uid="{99115228-A072-4B38-AAF7-1E9C88AF99D2}"/>
    <cellStyle name="Normal 4 7 4" xfId="1754" xr:uid="{F45A7F04-2489-4FED-98CC-5859D3F874B9}"/>
    <cellStyle name="Normal 4 8" xfId="1755" xr:uid="{01B069A0-8CC6-425A-A0FF-B8AEB3A6EF12}"/>
    <cellStyle name="Normal 4 8 2" xfId="1756" xr:uid="{5C7A876F-B537-41DA-A264-C3C6794E8BE4}"/>
    <cellStyle name="Normal 4 8 3" xfId="1757" xr:uid="{0B313130-0FA0-4250-9D73-17D802B1903E}"/>
    <cellStyle name="Normal 4 8 4" xfId="1758" xr:uid="{8CD623B9-C78D-4BD3-8D87-AAB90A6DD2FE}"/>
    <cellStyle name="Normal 4 9" xfId="1759" xr:uid="{3F856012-31B8-49A3-843E-DDE700AAA5D7}"/>
    <cellStyle name="Normal 4 9 2" xfId="1760" xr:uid="{50D32C2D-38DC-4115-A952-6A68BD4242B9}"/>
    <cellStyle name="Normal 4 9 3" xfId="1761" xr:uid="{BD958701-F0C7-4A69-85E7-19CE7FD75908}"/>
    <cellStyle name="Normal 4 9 4" xfId="1762" xr:uid="{69412B84-3419-4371-94AF-6E98A2C484F9}"/>
    <cellStyle name="Normal 40" xfId="1763" xr:uid="{3B93B624-2445-4305-A4B6-E1B3042A28A2}"/>
    <cellStyle name="Normal 40 2" xfId="1764" xr:uid="{3AB01F57-B238-4F25-BF00-EA5133270AE5}"/>
    <cellStyle name="Normal 40 2 2" xfId="1765" xr:uid="{6A4519CF-DAD5-47B7-9AB5-AF388B931EDE}"/>
    <cellStyle name="Normal 40 2 3" xfId="1766" xr:uid="{61375C96-888C-4C46-A2F1-5ABB747A80F2}"/>
    <cellStyle name="Normal 40 2 4" xfId="1767" xr:uid="{BABCA9CF-7609-4EBD-9DAF-C42B1C448FF4}"/>
    <cellStyle name="Normal 40 3" xfId="1768" xr:uid="{FE9455B8-7A94-419F-AC18-A8D6B70CBE20}"/>
    <cellStyle name="Normal 40 3 2" xfId="1769" xr:uid="{0BFC083C-0498-4179-9263-550B266456E2}"/>
    <cellStyle name="Normal 40 3 2 2" xfId="1770" xr:uid="{40F43EB2-58F6-4B47-B8FC-E9DC17F2D3BD}"/>
    <cellStyle name="Normal 40 3 2 3" xfId="1771" xr:uid="{2597CE93-3D18-4FC6-824B-EFE7F8113243}"/>
    <cellStyle name="Normal 40 3 2 4" xfId="1772" xr:uid="{7E14363A-4D43-4492-973C-28AD2FD4766E}"/>
    <cellStyle name="Normal 40 3 3" xfId="1773" xr:uid="{7FB93E08-369D-4C5A-891A-49E82B92B7EF}"/>
    <cellStyle name="Normal 40 3 4" xfId="1774" xr:uid="{E71C7CAD-B541-4F5A-A597-BCB1A657859F}"/>
    <cellStyle name="Normal 40 3 5" xfId="1775" xr:uid="{9B8DA4D6-EB0B-489E-B48C-D3973E9B198D}"/>
    <cellStyle name="Normal 40 4" xfId="1776" xr:uid="{3DE0564A-0B0C-420F-AE96-F581986C3B12}"/>
    <cellStyle name="Normal 40 5" xfId="1777" xr:uid="{B0AFDC02-004B-4B63-A72D-1A7334F2F469}"/>
    <cellStyle name="Normal 40 6" xfId="1778" xr:uid="{B6C9E749-B3C1-463F-8304-AAE01D102ECD}"/>
    <cellStyle name="Normal 42" xfId="1779" xr:uid="{463BAC12-6DA1-4924-9C82-5A1E197E1A34}"/>
    <cellStyle name="Normal 42 2" xfId="1780" xr:uid="{0DAEAE3B-D4DD-49F1-A760-6D35D54B4CC3}"/>
    <cellStyle name="Normal 42 2 2" xfId="1781" xr:uid="{3349A671-AD7C-4BC6-927A-31BDB704F7D1}"/>
    <cellStyle name="Normal 42 2 3" xfId="1782" xr:uid="{1CF69BDC-D4F5-4936-8356-6BD463EBEF43}"/>
    <cellStyle name="Normal 42 2 4" xfId="1783" xr:uid="{E9C9DC79-55D0-48B9-B1BC-A5D51E08E19A}"/>
    <cellStyle name="Normal 42 3" xfId="1784" xr:uid="{C78DD4C1-EE00-4754-8C92-1C007D8AA4EB}"/>
    <cellStyle name="Normal 42 3 2" xfId="1785" xr:uid="{531EE447-9156-4D4B-A90B-B5A1072C4AD2}"/>
    <cellStyle name="Normal 42 3 2 2" xfId="1786" xr:uid="{AF790EE8-CEFF-49B8-8C47-21257403C852}"/>
    <cellStyle name="Normal 42 3 2 3" xfId="1787" xr:uid="{0E233527-8168-42AE-89C1-B236A4F825B5}"/>
    <cellStyle name="Normal 42 3 2 4" xfId="1788" xr:uid="{EAB37875-FF7F-4790-8985-FE761DC8900F}"/>
    <cellStyle name="Normal 42 3 3" xfId="1789" xr:uid="{6DA2398F-E100-4A5C-A1D2-0DEA06E9982E}"/>
    <cellStyle name="Normal 42 3 4" xfId="1790" xr:uid="{B873CDE9-F531-489F-8827-32269BC8ABAF}"/>
    <cellStyle name="Normal 42 3 5" xfId="1791" xr:uid="{F286733B-81EF-4B9A-8A28-4DE223A054ED}"/>
    <cellStyle name="Normal 42 4" xfId="1792" xr:uid="{160B6F14-8396-446E-9C1C-60BBF39D62AF}"/>
    <cellStyle name="Normal 42 5" xfId="1793" xr:uid="{E5A1191A-E430-47A9-8A1A-26F3297EDD5F}"/>
    <cellStyle name="Normal 42 6" xfId="1794" xr:uid="{FAA2EE3F-7EAD-46BE-8B68-2FD04954BC7B}"/>
    <cellStyle name="Normal 43" xfId="1795" xr:uid="{0154C527-187A-408F-9F1A-A2307A7ABF54}"/>
    <cellStyle name="Normal 43 2" xfId="1796" xr:uid="{1094D732-6284-4AD4-AA01-AA7602D8F2E2}"/>
    <cellStyle name="Normal 43 2 2" xfId="1797" xr:uid="{FA0C5623-32A3-48FE-BAEA-86FF5E02120D}"/>
    <cellStyle name="Normal 43 2 3" xfId="1798" xr:uid="{ADB57ABA-04F9-4BEF-817F-BAED30462294}"/>
    <cellStyle name="Normal 43 2 4" xfId="1799" xr:uid="{697161B2-0BD3-4462-86DE-7B36A9BE8C51}"/>
    <cellStyle name="Normal 43 3" xfId="1800" xr:uid="{09A807F7-75EF-4572-B992-0BFD137262A2}"/>
    <cellStyle name="Normal 43 3 2" xfId="1801" xr:uid="{791670C5-74E4-4407-A5ED-F0F4C062F99B}"/>
    <cellStyle name="Normal 43 3 2 2" xfId="1802" xr:uid="{3324B85D-0B51-40F3-AF75-579260C34436}"/>
    <cellStyle name="Normal 43 3 2 3" xfId="1803" xr:uid="{2B7069DA-1D73-4DE1-BA9E-5B99845E1B21}"/>
    <cellStyle name="Normal 43 3 2 4" xfId="1804" xr:uid="{8C76B8C7-1BA0-4789-9185-416767C0A8BD}"/>
    <cellStyle name="Normal 43 3 3" xfId="1805" xr:uid="{A920FE73-8FB5-494B-9A6D-53105D30C121}"/>
    <cellStyle name="Normal 43 3 4" xfId="1806" xr:uid="{E50624E8-8AC2-436B-BEAA-E59FBE0C73DB}"/>
    <cellStyle name="Normal 43 3 5" xfId="1807" xr:uid="{667589DA-65BC-45A2-AEB6-F162E8E2C838}"/>
    <cellStyle name="Normal 43 4" xfId="1808" xr:uid="{0B0A472F-0D37-48D0-ACA7-4DD8A87FE8E4}"/>
    <cellStyle name="Normal 43 5" xfId="1809" xr:uid="{05ACDCBE-AB36-41CA-AF59-856D15B2147B}"/>
    <cellStyle name="Normal 43 6" xfId="1810" xr:uid="{E7CCE58D-D994-4211-AE91-5385A34D9E27}"/>
    <cellStyle name="Normal 45" xfId="1811" xr:uid="{AD2D5F3B-5D6F-42EF-8F9F-7AE167FE05BA}"/>
    <cellStyle name="Normal 45 2" xfId="1812" xr:uid="{48CA38F3-2413-4817-8BFB-482F2C2A593F}"/>
    <cellStyle name="Normal 45 3" xfId="1813" xr:uid="{829949D7-CE82-4331-8D69-FE24E10A385D}"/>
    <cellStyle name="Normal 45 4" xfId="1814" xr:uid="{040D02DB-4C74-4DE6-A04B-FECD5E4687E2}"/>
    <cellStyle name="Normal 47" xfId="1815" xr:uid="{AD534CA2-682C-4834-8195-63AFF03089B5}"/>
    <cellStyle name="Normal 47 2" xfId="1816" xr:uid="{B58B58A2-BA7E-4C22-85AC-D240B3A90CAB}"/>
    <cellStyle name="Normal 47 3" xfId="1817" xr:uid="{29897C07-AF7C-402D-8A7D-D896D4B997BE}"/>
    <cellStyle name="Normal 47 4" xfId="1818" xr:uid="{B9025959-6081-4652-B613-CEB547337471}"/>
    <cellStyle name="Normal 49" xfId="1819" xr:uid="{B469BFCF-1ABD-403E-8AD7-6D5570BA3AE0}"/>
    <cellStyle name="Normal 49 2" xfId="1820" xr:uid="{4C0A327F-BE01-41E7-B61E-E5C7B9F617A6}"/>
    <cellStyle name="Normal 49 3" xfId="1821" xr:uid="{CC98706C-460D-4214-A95F-BE93316F07A0}"/>
    <cellStyle name="Normal 49 4" xfId="1822" xr:uid="{8E42B72E-9DA3-4DDA-BFF8-79432B717CE8}"/>
    <cellStyle name="Normal 5" xfId="15" xr:uid="{6A3E487E-4C0A-4261-B3B6-AE5DADC9C8F7}"/>
    <cellStyle name="Normal 5 2" xfId="9" xr:uid="{8453E32C-F30C-4F60-A2C6-FB628620683C}"/>
    <cellStyle name="Normal 5 2 13" xfId="112" xr:uid="{D89CC9B8-A90F-407A-A6D3-612952692934}"/>
    <cellStyle name="Normal 5 2 2" xfId="46" xr:uid="{5295CAAA-C846-4746-BD88-3F6ECFC531EB}"/>
    <cellStyle name="Normal 5 2 2 2" xfId="121" xr:uid="{77DA4EAE-58E3-4CFF-ACA6-82AA0398DFFA}"/>
    <cellStyle name="Normal 5 2 3" xfId="115" xr:uid="{32FF3D8A-EA43-4861-81B3-C4158AFBE49C}"/>
    <cellStyle name="Normal 5 2 4" xfId="49" xr:uid="{74E2FEFF-3224-4364-94A7-A7CDD088665B}"/>
    <cellStyle name="Normal 5 2 5" xfId="1824" xr:uid="{A18E478B-9133-4C83-A15A-753A2982FDF7}"/>
    <cellStyle name="Normal 5 3" xfId="20" xr:uid="{38EA3891-301A-4CF0-A256-34060CE36744}"/>
    <cellStyle name="Normal 5 3 2" xfId="1825" xr:uid="{D76BAB5B-BC57-41CE-B841-B231D7B1B4F4}"/>
    <cellStyle name="Normal 5 3 3" xfId="2240" xr:uid="{C917E52D-29DA-428D-B628-A5CBCBA52B9C}"/>
    <cellStyle name="Normal 5 4" xfId="25" xr:uid="{BFC6394A-6F12-467C-B6A4-AE7808FEB991}"/>
    <cellStyle name="Normal 5 4 2" xfId="1826" xr:uid="{5C414E56-9C2E-43F7-A3F8-57FED3FC1625}"/>
    <cellStyle name="Normal 5 4 3" xfId="2244" xr:uid="{7AA77739-2675-48D6-BDDD-9FD08CEC17D0}"/>
    <cellStyle name="Normal 5 5" xfId="1827" xr:uid="{5E11279C-E47B-4D19-A59E-423D72A04F06}"/>
    <cellStyle name="Normal 5 6" xfId="1823" xr:uid="{BC11A06B-CF02-4593-A9C1-E5ED799E2EBB}"/>
    <cellStyle name="Normal 5 7" xfId="2238" xr:uid="{2B07063B-B454-4E8E-9F23-6F6F96BE1AAB}"/>
    <cellStyle name="Normal 6" xfId="19" xr:uid="{51DF592E-18B5-4392-B0FC-86292BC9575E}"/>
    <cellStyle name="Normal 6 10" xfId="1829" xr:uid="{610A764B-5289-4B54-96DA-87ACDA2E8FE9}"/>
    <cellStyle name="Normal 6 10 2" xfId="1830" xr:uid="{21C23E7E-A1F4-4BB8-A8DA-CE26F9490C2A}"/>
    <cellStyle name="Normal 6 10 3" xfId="1831" xr:uid="{309C369D-9C54-4A35-8D13-005FF6466664}"/>
    <cellStyle name="Normal 6 10 4" xfId="1832" xr:uid="{4A3CBEF3-AC67-4179-848D-34870AF39A92}"/>
    <cellStyle name="Normal 6 11" xfId="1833" xr:uid="{932B2DF4-0F73-428F-AC99-F047A94CE0E0}"/>
    <cellStyle name="Normal 6 11 2" xfId="1834" xr:uid="{A2D125C2-A9E0-4FD8-A6BF-682BB15CAB8F}"/>
    <cellStyle name="Normal 6 11 3" xfId="1835" xr:uid="{3EF171F9-35B3-46B7-8A8F-244BC7C02099}"/>
    <cellStyle name="Normal 6 11 4" xfId="1836" xr:uid="{B00107D4-5FC2-4808-902A-822AD2B8F1F3}"/>
    <cellStyle name="Normal 6 12" xfId="1837" xr:uid="{FAB27B3C-B29C-416C-9C88-924D6D50668A}"/>
    <cellStyle name="Normal 6 12 2" xfId="1838" xr:uid="{5E83EBA2-E81C-47C3-922A-6B50CAF65C6D}"/>
    <cellStyle name="Normal 6 12 3" xfId="1839" xr:uid="{EEE9A764-3443-434D-BEE6-FF0D5256A188}"/>
    <cellStyle name="Normal 6 12 4" xfId="1840" xr:uid="{14112903-AD95-48F2-9D3B-B5ABDCAE8F43}"/>
    <cellStyle name="Normal 6 13" xfId="1841" xr:uid="{7B0B415C-93A1-49CF-A016-4D4CFB53DFF5}"/>
    <cellStyle name="Normal 6 13 2" xfId="1842" xr:uid="{8510A785-092C-4122-96D2-EEDEA754E83E}"/>
    <cellStyle name="Normal 6 13 3" xfId="1843" xr:uid="{9ABAA1D8-9E57-4676-A5D4-8DFD23249503}"/>
    <cellStyle name="Normal 6 13 4" xfId="1844" xr:uid="{35153EBA-49C4-47E6-9F52-EB7845E30F41}"/>
    <cellStyle name="Normal 6 14" xfId="1845" xr:uid="{39E177B7-7538-432E-8D59-11197DC82F3C}"/>
    <cellStyle name="Normal 6 14 2" xfId="1846" xr:uid="{8D395CB2-D9E5-49A8-9DC7-9EBDF20DE9C6}"/>
    <cellStyle name="Normal 6 14 3" xfId="1847" xr:uid="{8F67BF5A-32CB-40DF-B207-F37E002FBC13}"/>
    <cellStyle name="Normal 6 14 4" xfId="1848" xr:uid="{E8F07B0B-9EC8-4CF5-88FB-A1AF43AA23AD}"/>
    <cellStyle name="Normal 6 15" xfId="1849" xr:uid="{638DFBCE-C12C-4246-B20D-9FF904D4DAF5}"/>
    <cellStyle name="Normal 6 15 2" xfId="1850" xr:uid="{24B6E86E-5105-4BEC-BF29-E1D7ABB93076}"/>
    <cellStyle name="Normal 6 15 3" xfId="1851" xr:uid="{3B52BB8C-CB74-4542-9D21-A0E754858294}"/>
    <cellStyle name="Normal 6 15 4" xfId="1852" xr:uid="{17482FDF-FFBE-4BB4-8F97-0A13EB0DB592}"/>
    <cellStyle name="Normal 6 16" xfId="1853" xr:uid="{427C6A31-6827-4137-8145-BE1964C531C9}"/>
    <cellStyle name="Normal 6 16 2" xfId="1854" xr:uid="{AFC84F91-49CA-42BB-8D49-151D9F06878D}"/>
    <cellStyle name="Normal 6 16 3" xfId="1855" xr:uid="{8D85A2DF-6559-4561-A2E3-57A6DE1439B7}"/>
    <cellStyle name="Normal 6 16 4" xfId="1856" xr:uid="{1DCB8EA0-362E-4E29-A18E-4006B38B6903}"/>
    <cellStyle name="Normal 6 17" xfId="1857" xr:uid="{E01910EC-0612-40AA-8997-8109ECB08592}"/>
    <cellStyle name="Normal 6 17 2" xfId="1858" xr:uid="{FA625A8F-71F6-49BA-AC36-6D36EA5DA079}"/>
    <cellStyle name="Normal 6 17 3" xfId="1859" xr:uid="{253A5369-C26C-4B23-A4D3-2A40540BC07C}"/>
    <cellStyle name="Normal 6 17 4" xfId="1860" xr:uid="{37F2B6A9-94BB-4EE3-B3BF-90D70197FEDD}"/>
    <cellStyle name="Normal 6 18" xfId="1861" xr:uid="{D7A757F3-5372-45F1-B8B8-EC9EACCE89FF}"/>
    <cellStyle name="Normal 6 18 2" xfId="1862" xr:uid="{8670E2AF-3D78-4A86-A3B2-34DED265B26D}"/>
    <cellStyle name="Normal 6 18 3" xfId="1863" xr:uid="{FFC4372B-1914-4E21-A060-15DEA1FE6148}"/>
    <cellStyle name="Normal 6 18 4" xfId="1864" xr:uid="{FF4BBF49-4C60-4695-B4BF-9E8EB1DE5537}"/>
    <cellStyle name="Normal 6 19" xfId="1865" xr:uid="{D5A745D7-8E77-43BA-BDB1-3BAA9E366C13}"/>
    <cellStyle name="Normal 6 19 2" xfId="1866" xr:uid="{B73FC1F9-ACB7-4B9E-B737-3F466363EDC8}"/>
    <cellStyle name="Normal 6 19 3" xfId="1867" xr:uid="{B652E69B-251E-4AEE-AB5C-557F0EBC33A1}"/>
    <cellStyle name="Normal 6 19 4" xfId="1868" xr:uid="{9468E593-671E-40E9-95E9-464F537B82F5}"/>
    <cellStyle name="Normal 6 2" xfId="1869" xr:uid="{9A4CC8F5-E40C-42D5-BCCE-0D32014FF244}"/>
    <cellStyle name="Normal 6 2 2" xfId="1870" xr:uid="{1621B4C6-BC33-4101-8CE5-B5CF0963598C}"/>
    <cellStyle name="Normal 6 2 3" xfId="1871" xr:uid="{95420296-8AF7-40E8-9DE1-81767B3FD2D8}"/>
    <cellStyle name="Normal 6 2 4" xfId="1872" xr:uid="{23BABD26-08E0-413A-8522-4C40DB0E1081}"/>
    <cellStyle name="Normal 6 2 5" xfId="1873" xr:uid="{D7EBF303-56DB-4360-82B1-22AA5AD70FF1}"/>
    <cellStyle name="Normal 6 20" xfId="1874" xr:uid="{ABB8C61E-BDE8-458A-8D86-8B0DD00D2349}"/>
    <cellStyle name="Normal 6 20 2" xfId="1875" xr:uid="{5E7D8915-8D51-4285-B084-78951A377AC4}"/>
    <cellStyle name="Normal 6 20 3" xfId="1876" xr:uid="{50B14DD6-97D6-45F3-A34B-ACB1C0BC3754}"/>
    <cellStyle name="Normal 6 20 4" xfId="1877" xr:uid="{685ED7A3-0984-4BC2-BD5E-36C352ABD2B1}"/>
    <cellStyle name="Normal 6 21" xfId="1878" xr:uid="{3A5F2C55-ACEE-49D6-8C13-5144390A68AE}"/>
    <cellStyle name="Normal 6 21 2" xfId="1879" xr:uid="{72E851B6-EE60-4FEA-868D-154BD09985C3}"/>
    <cellStyle name="Normal 6 21 3" xfId="1880" xr:uid="{D2D12A5A-2143-46D6-8227-4F59C6B90D01}"/>
    <cellStyle name="Normal 6 21 4" xfId="1881" xr:uid="{9B1D2E7C-5687-43AF-82AD-7D6DF5D1E49C}"/>
    <cellStyle name="Normal 6 22" xfId="1882" xr:uid="{29405C63-9E79-4F6F-AF1B-15AD11ECA656}"/>
    <cellStyle name="Normal 6 22 2" xfId="1883" xr:uid="{0D10EE48-DB73-414A-91A3-D785CC1325E8}"/>
    <cellStyle name="Normal 6 22 3" xfId="1884" xr:uid="{D18E8CA2-A5F6-4B18-9FF3-EE06630DC436}"/>
    <cellStyle name="Normal 6 22 4" xfId="1885" xr:uid="{392D6B44-FD61-4D29-87B4-1060A2826955}"/>
    <cellStyle name="Normal 6 23" xfId="1886" xr:uid="{30750D9E-D472-4EB2-ADA7-9238CD8529AB}"/>
    <cellStyle name="Normal 6 23 2" xfId="1887" xr:uid="{917CD64C-D03E-414B-80FA-85FBD6A7245F}"/>
    <cellStyle name="Normal 6 23 3" xfId="1888" xr:uid="{C323853D-3920-4CA1-80E1-7B4A2AC6D1AE}"/>
    <cellStyle name="Normal 6 23 4" xfId="1889" xr:uid="{E5A1DE18-D838-4606-BD1C-21CA31E63E7A}"/>
    <cellStyle name="Normal 6 24" xfId="1890" xr:uid="{A848DEF8-99AA-4C5E-A83E-99CA2EAF539C}"/>
    <cellStyle name="Normal 6 24 2" xfId="1891" xr:uid="{DA46EFCB-CD3F-4EA3-8D15-28D28A6460E6}"/>
    <cellStyle name="Normal 6 24 3" xfId="1892" xr:uid="{7CAC9D2D-CADA-4D78-9B34-4704DBF8F65F}"/>
    <cellStyle name="Normal 6 24 4" xfId="1893" xr:uid="{A98F91B5-7123-448A-BDAB-D8661DB1FF74}"/>
    <cellStyle name="Normal 6 25" xfId="1894" xr:uid="{6C81D58E-E260-40F5-8D58-FE94FBD46247}"/>
    <cellStyle name="Normal 6 25 2" xfId="1895" xr:uid="{F5445F32-84CC-407E-8404-3494D4746D17}"/>
    <cellStyle name="Normal 6 25 3" xfId="1896" xr:uid="{C8F1DAA1-7887-430F-91A3-B69E024CD1F9}"/>
    <cellStyle name="Normal 6 25 4" xfId="1897" xr:uid="{A4DCAE78-CA91-41B2-8FE1-7ACA6E089D51}"/>
    <cellStyle name="Normal 6 26" xfId="1898" xr:uid="{32A4F6E2-AF66-41F3-9542-248B0F087388}"/>
    <cellStyle name="Normal 6 26 2" xfId="1899" xr:uid="{262463C5-1EB4-47FA-950A-807784B59ABE}"/>
    <cellStyle name="Normal 6 26 3" xfId="1900" xr:uid="{5CA32819-9835-45E8-A129-AE1FE9754BF2}"/>
    <cellStyle name="Normal 6 26 4" xfId="1901" xr:uid="{F9AAB5DA-DDBF-4191-B150-87F3B10F95F5}"/>
    <cellStyle name="Normal 6 27" xfId="1902" xr:uid="{1ABB488A-0574-4BDD-A70E-44B002C00B16}"/>
    <cellStyle name="Normal 6 27 2" xfId="1903" xr:uid="{7489F011-CED7-46B6-882D-F25A70824646}"/>
    <cellStyle name="Normal 6 27 3" xfId="1904" xr:uid="{C4A54014-4B1C-45D2-82D8-D6F7BDF64131}"/>
    <cellStyle name="Normal 6 27 4" xfId="1905" xr:uid="{7A59C8FF-716D-497D-8815-D0F9D9B0305E}"/>
    <cellStyle name="Normal 6 28" xfId="1906" xr:uid="{31B794AE-B130-414E-9E40-BDE4C42C9895}"/>
    <cellStyle name="Normal 6 28 2" xfId="1907" xr:uid="{C1127044-EED3-4A19-B9C1-E65251F27F3B}"/>
    <cellStyle name="Normal 6 28 3" xfId="1908" xr:uid="{FB290358-E521-457A-B7B8-52CCE8F91B17}"/>
    <cellStyle name="Normal 6 28 4" xfId="1909" xr:uid="{29DD9A5C-0226-4EC7-93E4-FDC6225FC001}"/>
    <cellStyle name="Normal 6 29" xfId="1910" xr:uid="{FACCD055-4880-4AE3-84C4-CF9E4EE9F1A4}"/>
    <cellStyle name="Normal 6 29 2" xfId="1911" xr:uid="{1D379EAF-426B-4C59-BCC7-183DA19991C1}"/>
    <cellStyle name="Normal 6 29 3" xfId="1912" xr:uid="{43F797B0-CF15-4762-BCCF-131BC1340D0A}"/>
    <cellStyle name="Normal 6 29 4" xfId="1913" xr:uid="{F7F24949-597A-44FA-B2F2-AE27B275D31D}"/>
    <cellStyle name="Normal 6 3" xfId="1914" xr:uid="{AFE17821-B4D7-448F-B033-1AA961D6FED9}"/>
    <cellStyle name="Normal 6 3 2" xfId="1915" xr:uid="{B9C8569A-C5E7-46DC-95A7-6E4096414A7C}"/>
    <cellStyle name="Normal 6 3 3" xfId="1916" xr:uid="{E1F7F5A3-8AB2-4C3D-8FB0-AC2348D2DD37}"/>
    <cellStyle name="Normal 6 3 4" xfId="1917" xr:uid="{ACB83168-CFC5-4285-B622-6DE5D065A2DF}"/>
    <cellStyle name="Normal 6 30" xfId="1918" xr:uid="{D6FB7E35-AAC6-45B9-B1E2-CE77E980A4B8}"/>
    <cellStyle name="Normal 6 30 2" xfId="1919" xr:uid="{86D48F0F-C6D6-4590-90B3-BE363FCB07FB}"/>
    <cellStyle name="Normal 6 30 3" xfId="1920" xr:uid="{19313B73-8248-4D28-A4F7-AFC62FD41BD7}"/>
    <cellStyle name="Normal 6 30 4" xfId="1921" xr:uid="{AA1375D8-154F-4FD8-9F92-6A850870BFAF}"/>
    <cellStyle name="Normal 6 31" xfId="1922" xr:uid="{3B67ED2C-FFB2-418C-8EBF-5980786AF0A7}"/>
    <cellStyle name="Normal 6 31 2" xfId="1923" xr:uid="{9CD0024D-BD82-493A-B621-3A11562A9925}"/>
    <cellStyle name="Normal 6 31 3" xfId="1924" xr:uid="{C64E48F9-9974-413F-A7F8-1AF2FCD9903A}"/>
    <cellStyle name="Normal 6 31 4" xfId="1925" xr:uid="{99EF784B-4D24-4F23-889C-39A224F5F2F1}"/>
    <cellStyle name="Normal 6 32" xfId="1926" xr:uid="{B7DFF76F-630B-43ED-B124-D5B11F0B3671}"/>
    <cellStyle name="Normal 6 32 2" xfId="1927" xr:uid="{68834E9D-D454-495D-B436-A7CC55931618}"/>
    <cellStyle name="Normal 6 32 3" xfId="1928" xr:uid="{65B7A333-3648-45F6-BE83-C0A75FEEDF2A}"/>
    <cellStyle name="Normal 6 32 4" xfId="1929" xr:uid="{03B84D24-466C-4A45-A5B1-42DC973AB01B}"/>
    <cellStyle name="Normal 6 33" xfId="1930" xr:uid="{9FA5F0E7-0AA0-43CD-B467-8E4308FECB7A}"/>
    <cellStyle name="Normal 6 33 2" xfId="1931" xr:uid="{1DEE1FA4-A5A8-4CFF-9610-507A80DB593E}"/>
    <cellStyle name="Normal 6 33 3" xfId="1932" xr:uid="{AF233AD8-86E4-4283-94C9-598C25C3A807}"/>
    <cellStyle name="Normal 6 33 4" xfId="1933" xr:uid="{9E895A8A-FF35-4CB9-89AA-B5C826B56023}"/>
    <cellStyle name="Normal 6 34" xfId="1934" xr:uid="{E70FD6C4-D953-4D99-B59A-E570BD29B93A}"/>
    <cellStyle name="Normal 6 34 2" xfId="1935" xr:uid="{0B06E55A-4BA0-46C8-9FBC-D7ADC22B0D64}"/>
    <cellStyle name="Normal 6 34 3" xfId="1936" xr:uid="{FEC4AE2D-3A5D-4F93-9319-DA99C2188FB4}"/>
    <cellStyle name="Normal 6 34 4" xfId="1937" xr:uid="{3AD40F11-9EAF-4211-8AEC-24E5E77BF94E}"/>
    <cellStyle name="Normal 6 35" xfId="1938" xr:uid="{2C430B6B-4ECB-4708-A2D8-4D1919CE8CC1}"/>
    <cellStyle name="Normal 6 35 2" xfId="1939" xr:uid="{97D5C026-5855-439C-8019-54FB3E6F7CC4}"/>
    <cellStyle name="Normal 6 35 3" xfId="1940" xr:uid="{D6A5DA0D-5E59-4F24-B8A1-A0A8AC27C556}"/>
    <cellStyle name="Normal 6 35 4" xfId="1941" xr:uid="{EB7137CD-BD1C-4E89-8774-147F908873D3}"/>
    <cellStyle name="Normal 6 36" xfId="1942" xr:uid="{983614F0-6F10-4209-B984-DC6071690542}"/>
    <cellStyle name="Normal 6 36 2" xfId="1943" xr:uid="{48775528-B653-4172-813C-5FDEF79CDC24}"/>
    <cellStyle name="Normal 6 36 3" xfId="1944" xr:uid="{0A397437-C8F8-4919-84B2-AC8C427D47EF}"/>
    <cellStyle name="Normal 6 36 4" xfId="1945" xr:uid="{B5394FB7-B8A1-4F96-B7E8-25567FFC7258}"/>
    <cellStyle name="Normal 6 37" xfId="1946" xr:uid="{865DE3F7-95E1-4DF6-9C1E-AC150DD493F9}"/>
    <cellStyle name="Normal 6 37 2" xfId="1947" xr:uid="{85C6BD37-7134-44A3-98C6-FF50F1D52A9E}"/>
    <cellStyle name="Normal 6 37 3" xfId="1948" xr:uid="{5B107C98-0D41-4D92-BA7C-4062C2CD57ED}"/>
    <cellStyle name="Normal 6 37 4" xfId="1949" xr:uid="{D738B4CF-669B-4DEB-BBED-A1EB0D0FC63C}"/>
    <cellStyle name="Normal 6 38" xfId="1950" xr:uid="{15C1DEB4-133C-4B32-B8FA-113DA57F1226}"/>
    <cellStyle name="Normal 6 38 2" xfId="1951" xr:uid="{CF312862-2A4F-427A-A149-C134FF37FEE0}"/>
    <cellStyle name="Normal 6 38 3" xfId="1952" xr:uid="{7DAD2EE4-865F-4A74-8F29-7EE2FB4D29BE}"/>
    <cellStyle name="Normal 6 38 4" xfId="1953" xr:uid="{7C2E9DA8-5BF6-48AA-9C43-0E0758A2628A}"/>
    <cellStyle name="Normal 6 39" xfId="1954" xr:uid="{B4ED0034-A392-4F81-8172-6AAFDE00DE2E}"/>
    <cellStyle name="Normal 6 39 2" xfId="1955" xr:uid="{2C8F028E-C2D4-47A4-8858-393BFDF7BB2D}"/>
    <cellStyle name="Normal 6 39 3" xfId="1956" xr:uid="{4170AA11-CF80-4F0B-91FD-0CB2B776A6BD}"/>
    <cellStyle name="Normal 6 39 4" xfId="1957" xr:uid="{61159269-346D-4306-8885-FE6B53EE2402}"/>
    <cellStyle name="Normal 6 4" xfId="1958" xr:uid="{29A3E0BF-7902-4366-9940-A099DDBE4713}"/>
    <cellStyle name="Normal 6 4 2" xfId="1959" xr:uid="{3B6DE461-D2EC-4D4C-848C-BB94E86A5E32}"/>
    <cellStyle name="Normal 6 4 3" xfId="1960" xr:uid="{669D6012-38B4-43B0-8758-3FC0C0FAA6F3}"/>
    <cellStyle name="Normal 6 4 4" xfId="1961" xr:uid="{F7A316E6-80EB-4342-8038-D2973743EABD}"/>
    <cellStyle name="Normal 6 4 5" xfId="1962" xr:uid="{CA2A81BE-D8DF-497D-BB0A-CF4533599C4A}"/>
    <cellStyle name="Normal 6 40" xfId="1963" xr:uid="{DDD5EFB6-F4C4-4AE6-B6B3-1DB399521344}"/>
    <cellStyle name="Normal 6 40 2" xfId="1964" xr:uid="{DAD84DF9-4C42-486E-A824-384D3A1C227E}"/>
    <cellStyle name="Normal 6 40 3" xfId="1965" xr:uid="{FE8089B5-1242-4AF9-AC2C-A67C55DEC2A6}"/>
    <cellStyle name="Normal 6 40 4" xfId="1966" xr:uid="{DF3107AE-3A85-41E5-ABA9-0A816A7E097E}"/>
    <cellStyle name="Normal 6 41" xfId="1967" xr:uid="{5D0B8BB5-F8F1-46D7-93AD-3BDEEC7BC2C2}"/>
    <cellStyle name="Normal 6 41 2" xfId="1968" xr:uid="{C87DB997-3D30-4DDE-B546-EF1F7E369FF4}"/>
    <cellStyle name="Normal 6 41 3" xfId="1969" xr:uid="{5424EC47-DD89-47F3-B607-6C75527843CD}"/>
    <cellStyle name="Normal 6 41 4" xfId="1970" xr:uid="{A09332D1-2D9E-4069-8FFB-D59EAB33E4FC}"/>
    <cellStyle name="Normal 6 42" xfId="1971" xr:uid="{CAF6FDCE-1A8A-4EA1-B9C1-E6DABB8C8B5E}"/>
    <cellStyle name="Normal 6 42 2" xfId="1972" xr:uid="{04ED6077-40DE-448B-8C42-829E520C0C86}"/>
    <cellStyle name="Normal 6 42 3" xfId="1973" xr:uid="{AF0B4158-5D34-438E-AE33-62D6FEF2CD1E}"/>
    <cellStyle name="Normal 6 42 4" xfId="1974" xr:uid="{97CCE0F9-62C2-47BB-AD68-A8A097A1050D}"/>
    <cellStyle name="Normal 6 43" xfId="1975" xr:uid="{A5C97012-8C94-428B-9C3C-EC1EE909E403}"/>
    <cellStyle name="Normal 6 43 2" xfId="1976" xr:uid="{0274ED7C-E06F-42F0-9FF7-76C3AEB478E7}"/>
    <cellStyle name="Normal 6 43 3" xfId="1977" xr:uid="{64ECB4CA-FA94-4F67-9518-7ACA7C5AD070}"/>
    <cellStyle name="Normal 6 43 4" xfId="1978" xr:uid="{5E76330C-16E8-4A18-B835-1AEA8F279AC0}"/>
    <cellStyle name="Normal 6 44" xfId="1979" xr:uid="{2BA79576-02CE-441F-922C-98856393B418}"/>
    <cellStyle name="Normal 6 44 2" xfId="1980" xr:uid="{4229449F-EA98-4C84-BEA1-F134846D9364}"/>
    <cellStyle name="Normal 6 44 3" xfId="1981" xr:uid="{17A46A0A-E466-4CBC-93FF-049591C07B40}"/>
    <cellStyle name="Normal 6 44 4" xfId="1982" xr:uid="{7ADC0455-9C1F-41E2-A378-9318F3D41435}"/>
    <cellStyle name="Normal 6 45" xfId="1983" xr:uid="{3B1F9A63-BF52-42CD-AC70-D8BEF104C3D3}"/>
    <cellStyle name="Normal 6 45 2" xfId="1984" xr:uid="{9EBF69C6-7DCF-456B-BC53-0F764CC0EC73}"/>
    <cellStyle name="Normal 6 45 3" xfId="1985" xr:uid="{220A826D-E88A-4E55-9F85-90E47A3BAD19}"/>
    <cellStyle name="Normal 6 45 4" xfId="1986" xr:uid="{6C93264B-8B24-423B-BAB8-189544CEF921}"/>
    <cellStyle name="Normal 6 46" xfId="1828" xr:uid="{81B05649-68FC-45BD-AEC8-F1AEE48B947B}"/>
    <cellStyle name="Normal 6 47" xfId="2239" xr:uid="{D8DB8EFC-47D2-4F2E-8390-2F6E2134BFDD}"/>
    <cellStyle name="Normal 6 47 2" xfId="2249" xr:uid="{40C851A4-2873-4B4E-BF37-CE85F8E6E560}"/>
    <cellStyle name="Normal 6 48" xfId="2248" xr:uid="{1BE8A8C1-5B0C-4CE0-A176-1065324A1B74}"/>
    <cellStyle name="Normal 6 5" xfId="1987" xr:uid="{21401A32-A8D7-4BA2-99C5-1696B2EAF1C4}"/>
    <cellStyle name="Normal 6 5 2" xfId="1988" xr:uid="{5455D263-273C-434F-8A81-593039E59F22}"/>
    <cellStyle name="Normal 6 5 3" xfId="1989" xr:uid="{23E3690C-CB89-410D-A5C8-9FE4D68100D3}"/>
    <cellStyle name="Normal 6 5 4" xfId="1990" xr:uid="{1B419586-E76A-4D2A-B7F5-6BC44049C9B5}"/>
    <cellStyle name="Normal 6 50 2" xfId="76" xr:uid="{706A8DEE-CF98-4E8F-9A82-768DB7469E69}"/>
    <cellStyle name="Normal 6 6" xfId="1991" xr:uid="{09261540-7925-4621-87F1-465D4C946678}"/>
    <cellStyle name="Normal 6 6 2" xfId="1992" xr:uid="{2716584B-DA44-4243-ACC9-29C823821013}"/>
    <cellStyle name="Normal 6 6 3" xfId="1993" xr:uid="{7B7C48CB-D1C7-466A-8537-102D0E985669}"/>
    <cellStyle name="Normal 6 6 4" xfId="1994" xr:uid="{B7D9A005-DB46-489A-98D1-329DE0D2516F}"/>
    <cellStyle name="Normal 6 7" xfId="1995" xr:uid="{46CBD290-6861-4F1F-8E62-BB34694AF9C7}"/>
    <cellStyle name="Normal 6 7 2" xfId="1996" xr:uid="{1FC5A917-3160-402B-9880-1E90703E04DA}"/>
    <cellStyle name="Normal 6 7 3" xfId="1997" xr:uid="{99549484-4F96-4D4E-8F26-12D39BA01F0F}"/>
    <cellStyle name="Normal 6 7 4" xfId="1998" xr:uid="{ECCAEF95-186F-4159-9B31-336E8C8C11FF}"/>
    <cellStyle name="Normal 6 8" xfId="1999" xr:uid="{2850946A-D97F-411F-BFD9-F36504CA89B3}"/>
    <cellStyle name="Normal 6 8 2" xfId="2000" xr:uid="{FD01E0A8-D219-4611-A356-ACAD67406305}"/>
    <cellStyle name="Normal 6 8 3" xfId="2001" xr:uid="{34D4A7E8-96F4-48CB-ADAA-81AB3A98023B}"/>
    <cellStyle name="Normal 6 8 4" xfId="2002" xr:uid="{6E6E67C4-41F4-49A2-8CFC-44E38D3F6547}"/>
    <cellStyle name="Normal 6 9" xfId="2003" xr:uid="{CBD4F256-C09B-4AAC-89E0-A5844FD2037B}"/>
    <cellStyle name="Normal 6 9 2" xfId="2004" xr:uid="{A6FB6E02-7905-4F18-B0B6-8B87EC5EE027}"/>
    <cellStyle name="Normal 6 9 3" xfId="2005" xr:uid="{878F868C-F5C7-4055-9CB7-BC2D428B5385}"/>
    <cellStyle name="Normal 6 9 4" xfId="2006" xr:uid="{33C8D6E6-B4A0-40B1-BCCD-D79F67B8CFC4}"/>
    <cellStyle name="Normal 60 2" xfId="67" xr:uid="{23DCFB56-F65F-49DC-BB34-57F16808F334}"/>
    <cellStyle name="Normal 62" xfId="63" xr:uid="{75EB9072-14AC-4EB6-82AE-494EE9E2C034}"/>
    <cellStyle name="Normal 62 2" xfId="61" xr:uid="{08D683A8-82F9-412B-A272-1B6D544D0EBF}"/>
    <cellStyle name="Normal 7" xfId="23" xr:uid="{EABBBD87-1D3F-4379-8250-1D356687CE6B}"/>
    <cellStyle name="Normal 7 10" xfId="2008" xr:uid="{288DB5C7-AB1C-4FC0-8A9A-EF9CA66B7D98}"/>
    <cellStyle name="Normal 7 10 2" xfId="2009" xr:uid="{3F30A5A2-4152-43F0-8041-797BBF1CE35F}"/>
    <cellStyle name="Normal 7 10 3" xfId="2010" xr:uid="{B82816C0-ED09-4CEC-8A45-95F51DB57757}"/>
    <cellStyle name="Normal 7 10 4" xfId="2011" xr:uid="{68D10360-92B4-45FC-AB98-1FFA8580D149}"/>
    <cellStyle name="Normal 7 11" xfId="2012" xr:uid="{14659999-75D7-4DA8-B0F2-9B32C279B551}"/>
    <cellStyle name="Normal 7 11 2" xfId="2013" xr:uid="{1A2443CC-D07B-4E2B-8086-34DE681DB140}"/>
    <cellStyle name="Normal 7 11 3" xfId="2014" xr:uid="{17643DC7-F5E1-499C-A94A-D3AA1F0A3785}"/>
    <cellStyle name="Normal 7 11 4" xfId="2015" xr:uid="{5589370F-7151-49C1-9156-946F16904C41}"/>
    <cellStyle name="Normal 7 12" xfId="2016" xr:uid="{2D462F5A-41B2-43B8-B668-F4DF6D16A29C}"/>
    <cellStyle name="Normal 7 12 2" xfId="2017" xr:uid="{C94F1F14-0E00-46B7-90A5-5FEAE742BE2D}"/>
    <cellStyle name="Normal 7 12 3" xfId="2018" xr:uid="{96D31697-52BD-4A16-AF58-A16DBD286BA9}"/>
    <cellStyle name="Normal 7 12 4" xfId="2019" xr:uid="{8C30055A-1762-47CD-ACED-5992A7344814}"/>
    <cellStyle name="Normal 7 13" xfId="2020" xr:uid="{A5F7B34C-27DE-4366-B67C-39F78C3E7047}"/>
    <cellStyle name="Normal 7 13 2" xfId="2021" xr:uid="{CA1F23AE-70B4-48F3-B723-1719029C8F69}"/>
    <cellStyle name="Normal 7 13 3" xfId="2022" xr:uid="{B30925C3-892E-4846-B98F-DB873BFA74C7}"/>
    <cellStyle name="Normal 7 13 4" xfId="2023" xr:uid="{4E32583B-B191-4A49-AB06-B2137AD78834}"/>
    <cellStyle name="Normal 7 14" xfId="2024" xr:uid="{FDB56D0B-0340-4C92-93A9-B1FAB04310FF}"/>
    <cellStyle name="Normal 7 14 2" xfId="2025" xr:uid="{93E61179-09A9-4844-BD12-F0E4F4F1216A}"/>
    <cellStyle name="Normal 7 14 3" xfId="2026" xr:uid="{FB6D7965-BFE6-4D6C-B018-FDF7A6D107E8}"/>
    <cellStyle name="Normal 7 14 4" xfId="2027" xr:uid="{BFDFE650-B1FB-44FB-918B-7A20AB4FF4DD}"/>
    <cellStyle name="Normal 7 15" xfId="2028" xr:uid="{EC512C2C-8D1A-4D31-9FE9-27B6D33C70EB}"/>
    <cellStyle name="Normal 7 15 2" xfId="2029" xr:uid="{C76644D3-0DA1-4DC7-A745-84FEA90097DC}"/>
    <cellStyle name="Normal 7 15 3" xfId="2030" xr:uid="{31DC7ADB-3DE0-4802-833C-58899E38A855}"/>
    <cellStyle name="Normal 7 15 4" xfId="2031" xr:uid="{0D1C669D-1737-44BC-814C-034715BC9C96}"/>
    <cellStyle name="Normal 7 16" xfId="2032" xr:uid="{D17A5EC5-0772-4D65-8C14-AF25926F8A3A}"/>
    <cellStyle name="Normal 7 16 2" xfId="2033" xr:uid="{C9BD65B1-8669-4739-8383-FE3BAB738EC6}"/>
    <cellStyle name="Normal 7 16 3" xfId="2034" xr:uid="{9B591420-116B-4E4E-839C-280A9B14EAB8}"/>
    <cellStyle name="Normal 7 16 4" xfId="2035" xr:uid="{CBB27C21-F97C-449B-80C2-2E9CC818EE08}"/>
    <cellStyle name="Normal 7 17" xfId="2036" xr:uid="{E7D00823-C730-4E37-8417-58C9D33CBBCF}"/>
    <cellStyle name="Normal 7 17 2" xfId="2037" xr:uid="{CA847D4F-6014-4869-800B-5A07BAD16784}"/>
    <cellStyle name="Normal 7 17 3" xfId="2038" xr:uid="{D329BD89-2C1C-492B-8533-99D7FC5F00F4}"/>
    <cellStyle name="Normal 7 17 4" xfId="2039" xr:uid="{B5A558F9-D356-4EB6-84A9-C30837BE75AD}"/>
    <cellStyle name="Normal 7 18" xfId="2040" xr:uid="{B9AD8468-FCAD-4FC8-A58F-BFF913C92BD9}"/>
    <cellStyle name="Normal 7 18 2" xfId="2041" xr:uid="{0534766E-1D82-42D6-938F-515D159FB61F}"/>
    <cellStyle name="Normal 7 18 3" xfId="2042" xr:uid="{93532F95-32AE-4E54-AAFB-146C0AE0F397}"/>
    <cellStyle name="Normal 7 18 4" xfId="2043" xr:uid="{0A1772E0-9EAD-4017-808F-48571DBF8EDA}"/>
    <cellStyle name="Normal 7 19" xfId="2044" xr:uid="{057CED70-5AA7-4C52-9631-8F544F815259}"/>
    <cellStyle name="Normal 7 19 2" xfId="2045" xr:uid="{8CE56A1F-6A33-4892-B85C-FBAC680FDFCF}"/>
    <cellStyle name="Normal 7 19 3" xfId="2046" xr:uid="{08B95725-7CC2-448F-BBE0-AAD29D5C53D5}"/>
    <cellStyle name="Normal 7 19 4" xfId="2047" xr:uid="{6E61D6F5-029F-414C-93A6-03FAD48D6262}"/>
    <cellStyle name="Normal 7 2" xfId="2048" xr:uid="{C45484AF-C502-4CF6-8A99-C6099E61217E}"/>
    <cellStyle name="Normal 7 2 2" xfId="2049" xr:uid="{470070CC-2588-4CB0-9440-41CF937C40FB}"/>
    <cellStyle name="Normal 7 2 3" xfId="2050" xr:uid="{332DF2FC-7664-460B-8BB0-B702B67AD96F}"/>
    <cellStyle name="Normal 7 2 4" xfId="2051" xr:uid="{341D0376-1510-4E39-9980-3998AB1F0D0F}"/>
    <cellStyle name="Normal 7 20" xfId="2052" xr:uid="{E422861C-E1AB-4C5B-810B-B9D2A1E63FCA}"/>
    <cellStyle name="Normal 7 20 2" xfId="2053" xr:uid="{488D8C88-CB93-4776-B68D-7583F1FCD1F4}"/>
    <cellStyle name="Normal 7 20 3" xfId="2054" xr:uid="{842A5CBF-AF8B-45CC-8E5C-251E9887BC93}"/>
    <cellStyle name="Normal 7 20 4" xfId="2055" xr:uid="{FF8EE073-79D1-4E7A-9E5A-9AFA3B54AEFE}"/>
    <cellStyle name="Normal 7 21" xfId="2056" xr:uid="{D3B780C4-CC79-4183-BCA3-0A9D515CAF99}"/>
    <cellStyle name="Normal 7 21 2" xfId="2057" xr:uid="{74334B5A-7DBA-470B-AA04-650195E867E0}"/>
    <cellStyle name="Normal 7 21 3" xfId="2058" xr:uid="{637D8463-B829-4C7D-935A-B3AD5228A960}"/>
    <cellStyle name="Normal 7 21 4" xfId="2059" xr:uid="{6A4AFB52-3FC4-4273-9BF8-68371A5370C1}"/>
    <cellStyle name="Normal 7 22" xfId="2060" xr:uid="{D2736439-1AA4-45DB-8D69-D93BBD91C7D7}"/>
    <cellStyle name="Normal 7 22 2" xfId="2061" xr:uid="{9EFBFA4D-AF95-40CC-B6DA-0E4032AD4204}"/>
    <cellStyle name="Normal 7 22 3" xfId="2062" xr:uid="{3441AF94-DCC0-42AA-88AE-ABA67B9A6234}"/>
    <cellStyle name="Normal 7 22 4" xfId="2063" xr:uid="{DAF57113-A229-4723-A662-9A2CA4B2B7A2}"/>
    <cellStyle name="Normal 7 23" xfId="2064" xr:uid="{0359BE10-40BF-45E4-927D-63E691743337}"/>
    <cellStyle name="Normal 7 23 2" xfId="2065" xr:uid="{44589005-6709-4055-B24D-4F72F3180E8B}"/>
    <cellStyle name="Normal 7 23 3" xfId="2066" xr:uid="{7666990B-4ADB-430C-81FD-2DA091392E87}"/>
    <cellStyle name="Normal 7 23 4" xfId="2067" xr:uid="{9C4048C2-16CB-4822-A82E-0DCA0A55F5A8}"/>
    <cellStyle name="Normal 7 24" xfId="2068" xr:uid="{EB87D9FB-C8BE-4AD5-8BC8-4B4A0FCBBD68}"/>
    <cellStyle name="Normal 7 24 2" xfId="2069" xr:uid="{AAF0543B-BD50-45F6-919C-9376304B24DF}"/>
    <cellStyle name="Normal 7 24 3" xfId="2070" xr:uid="{7EB909F4-F45E-4E87-BF92-281CC207EB7A}"/>
    <cellStyle name="Normal 7 24 4" xfId="2071" xr:uid="{FB5D00E0-81B9-47A1-853E-ABF8752F6C4C}"/>
    <cellStyle name="Normal 7 25" xfId="2072" xr:uid="{84C83C2B-8A2D-414D-96BB-A1DD404D3A41}"/>
    <cellStyle name="Normal 7 25 2" xfId="2073" xr:uid="{5CFE9726-E473-4C60-843A-31751534315B}"/>
    <cellStyle name="Normal 7 25 3" xfId="2074" xr:uid="{76E83305-2190-49F4-886B-E5DE8A75F7A5}"/>
    <cellStyle name="Normal 7 25 4" xfId="2075" xr:uid="{B8124832-C944-4CD1-B504-0BB434F778E6}"/>
    <cellStyle name="Normal 7 26" xfId="2076" xr:uid="{0B8C72A1-DC63-4328-9536-7735E5DBC1CF}"/>
    <cellStyle name="Normal 7 26 2" xfId="2077" xr:uid="{2F79026E-A106-45A8-9DA4-41F73FE49844}"/>
    <cellStyle name="Normal 7 26 3" xfId="2078" xr:uid="{E96F7782-D8D0-4E11-9EB8-4FDC51317905}"/>
    <cellStyle name="Normal 7 26 4" xfId="2079" xr:uid="{6463E54F-73A4-4718-A3AD-FC613ECE2346}"/>
    <cellStyle name="Normal 7 27" xfId="2080" xr:uid="{B6894C76-5F88-4A52-A627-782DDFE17EA8}"/>
    <cellStyle name="Normal 7 27 2" xfId="2081" xr:uid="{1914961E-821D-4E3F-A7B6-CE6257E23495}"/>
    <cellStyle name="Normal 7 27 3" xfId="2082" xr:uid="{E8180477-8E64-4F7A-B2F1-83611CDD361F}"/>
    <cellStyle name="Normal 7 27 4" xfId="2083" xr:uid="{B5693E7C-5D8B-434A-AAE4-B131C4B7A24C}"/>
    <cellStyle name="Normal 7 28" xfId="2084" xr:uid="{7E042328-68C4-498D-B1F5-D849A2BF7DAA}"/>
    <cellStyle name="Normal 7 28 2" xfId="2085" xr:uid="{3C322F69-3071-42D3-B0C8-D9C197213DCE}"/>
    <cellStyle name="Normal 7 28 3" xfId="2086" xr:uid="{C1206A28-6306-46EC-B15A-357EED26F360}"/>
    <cellStyle name="Normal 7 28 4" xfId="2087" xr:uid="{6411CDF1-233B-4E56-8416-61D1122CD9EA}"/>
    <cellStyle name="Normal 7 29" xfId="2088" xr:uid="{5398527A-264D-4EA6-A922-94B6A3855A24}"/>
    <cellStyle name="Normal 7 29 2" xfId="2089" xr:uid="{343FC4E9-4E7F-4C9A-AD0A-F09682247A87}"/>
    <cellStyle name="Normal 7 29 3" xfId="2090" xr:uid="{34F3A73A-9271-4EF5-9558-76DDE14B0818}"/>
    <cellStyle name="Normal 7 29 4" xfId="2091" xr:uid="{048A317A-8A16-423F-86B4-38B94E7B19AA}"/>
    <cellStyle name="Normal 7 3" xfId="2092" xr:uid="{BB148502-4E47-49CA-920F-4E93BE991AFA}"/>
    <cellStyle name="Normal 7 3 2" xfId="2093" xr:uid="{D731C667-0AF4-45B5-8E6D-2FB0557F5FE5}"/>
    <cellStyle name="Normal 7 3 3" xfId="2094" xr:uid="{7080B029-BDA2-4AF6-932C-82F7B645D6D8}"/>
    <cellStyle name="Normal 7 3 4" xfId="2095" xr:uid="{1A454444-F9B7-46DC-AD3D-24E37FD5279C}"/>
    <cellStyle name="Normal 7 30" xfId="2096" xr:uid="{FB08CCE2-21D3-4D3E-8730-78C4681FBC55}"/>
    <cellStyle name="Normal 7 30 2" xfId="2097" xr:uid="{AA218D21-A6F0-4243-AF5E-EB8E06DDBFCC}"/>
    <cellStyle name="Normal 7 30 3" xfId="2098" xr:uid="{A1A12BDB-3501-447E-918F-8C3E52AB51B2}"/>
    <cellStyle name="Normal 7 30 4" xfId="2099" xr:uid="{2C2535C7-6B2F-40E4-A0F7-4B2C7698840C}"/>
    <cellStyle name="Normal 7 31" xfId="2100" xr:uid="{C07384EA-6C68-4469-9E0D-75987B9EAA83}"/>
    <cellStyle name="Normal 7 31 2" xfId="2101" xr:uid="{53CEB3A9-187F-407F-BB03-CD43C9EBB0EA}"/>
    <cellStyle name="Normal 7 31 3" xfId="2102" xr:uid="{0DECBC40-51A8-4FB2-A142-C8AFE214D5E0}"/>
    <cellStyle name="Normal 7 31 4" xfId="2103" xr:uid="{C47B2651-B2C8-4DF5-AD2C-1C992A69F66D}"/>
    <cellStyle name="Normal 7 32" xfId="2104" xr:uid="{0139902D-07D0-4BCE-8D1E-2FEF36506E24}"/>
    <cellStyle name="Normal 7 32 2" xfId="2105" xr:uid="{6F82E0C5-695C-4515-A8AB-FEAFBC366D8C}"/>
    <cellStyle name="Normal 7 32 3" xfId="2106" xr:uid="{B0E670A3-50BD-4E68-987F-DD50228D8612}"/>
    <cellStyle name="Normal 7 32 4" xfId="2107" xr:uid="{491ED1E8-5613-45D2-A446-11A797A3CCE6}"/>
    <cellStyle name="Normal 7 33" xfId="2108" xr:uid="{FEEEDF32-065D-4704-BCB6-A23C159D062D}"/>
    <cellStyle name="Normal 7 33 2" xfId="2109" xr:uid="{51761397-187D-4E1E-9B8C-7E6C49051C7F}"/>
    <cellStyle name="Normal 7 33 3" xfId="2110" xr:uid="{3000055D-5E11-4565-BEFD-F975D1E12FE0}"/>
    <cellStyle name="Normal 7 33 4" xfId="2111" xr:uid="{8AA0D728-394C-446A-BF42-0EC5E72C302E}"/>
    <cellStyle name="Normal 7 34" xfId="2112" xr:uid="{5DB87E21-FACF-4BE7-ACBE-CE045BECD540}"/>
    <cellStyle name="Normal 7 34 2" xfId="2113" xr:uid="{54FFC061-3988-4A3D-9682-FF78D2F915C6}"/>
    <cellStyle name="Normal 7 34 3" xfId="2114" xr:uid="{6BFE314D-3E73-4847-A14C-BF6A29A4C49C}"/>
    <cellStyle name="Normal 7 34 4" xfId="2115" xr:uid="{ED90058F-4B6C-4C9F-AC77-915465482153}"/>
    <cellStyle name="Normal 7 35" xfId="2116" xr:uid="{0121ED89-057E-471B-B4AF-9621B02C32E5}"/>
    <cellStyle name="Normal 7 35 2" xfId="2117" xr:uid="{D8C5A8EE-74A5-4B8D-8A53-D734F40A9FA2}"/>
    <cellStyle name="Normal 7 35 3" xfId="2118" xr:uid="{BD355A7F-D2D6-4D56-8B0B-6AD9A312814A}"/>
    <cellStyle name="Normal 7 35 4" xfId="2119" xr:uid="{B6B0AB97-1C9C-4C9D-B8F7-809EBC545971}"/>
    <cellStyle name="Normal 7 36" xfId="2120" xr:uid="{D129C297-3008-4B6D-82DE-5B5ABEDC1F46}"/>
    <cellStyle name="Normal 7 36 2" xfId="2121" xr:uid="{7B33950A-9400-4E6E-8DA7-D1FFD3EBAAF9}"/>
    <cellStyle name="Normal 7 36 3" xfId="2122" xr:uid="{69DAA6A8-F11A-4889-B1F6-64019DAAFF23}"/>
    <cellStyle name="Normal 7 36 4" xfId="2123" xr:uid="{BCC7FEB2-2493-4AC0-8FDC-BFD295CD8529}"/>
    <cellStyle name="Normal 7 37" xfId="2124" xr:uid="{4F2F8F86-3700-4D5F-87A9-E60926224365}"/>
    <cellStyle name="Normal 7 37 2" xfId="2125" xr:uid="{D60492A1-066A-4AD2-89CE-5D9133C8979C}"/>
    <cellStyle name="Normal 7 37 3" xfId="2126" xr:uid="{5324905E-33FB-4AC0-9033-D14ACD2C4121}"/>
    <cellStyle name="Normal 7 37 4" xfId="2127" xr:uid="{B0759AA7-CF80-4456-A64F-D15347F71750}"/>
    <cellStyle name="Normal 7 38" xfId="2128" xr:uid="{09F29643-E8C4-4D78-BC3A-692FCA84C1B9}"/>
    <cellStyle name="Normal 7 38 2" xfId="2129" xr:uid="{E2D9B514-7034-4A61-887B-76AF9334494C}"/>
    <cellStyle name="Normal 7 38 3" xfId="2130" xr:uid="{76B39A06-36CA-473A-A123-207BB6D508B0}"/>
    <cellStyle name="Normal 7 38 4" xfId="2131" xr:uid="{A02A3E6A-8638-4DB7-96CC-D24EAAE73C91}"/>
    <cellStyle name="Normal 7 39" xfId="2132" xr:uid="{BB7E27C5-4DDD-48FE-91B6-5EB80B685291}"/>
    <cellStyle name="Normal 7 39 2" xfId="2133" xr:uid="{AEA4A5EB-5711-47A9-8A89-9445573CA91F}"/>
    <cellStyle name="Normal 7 39 3" xfId="2134" xr:uid="{AE0BAC58-15F9-41D8-AEF3-CCF1561966A8}"/>
    <cellStyle name="Normal 7 39 4" xfId="2135" xr:uid="{03BF93F7-7F3A-4C6F-A390-D23251982243}"/>
    <cellStyle name="Normal 7 4" xfId="2136" xr:uid="{C75E6B49-987D-470B-9933-DF62E917ECDE}"/>
    <cellStyle name="Normal 7 4 2" xfId="2137" xr:uid="{7E0AB271-0125-4847-940C-DEDCB3DF3316}"/>
    <cellStyle name="Normal 7 4 3" xfId="2138" xr:uid="{C8399E6E-16BC-4306-8CDF-E1A71EE10D36}"/>
    <cellStyle name="Normal 7 4 4" xfId="2139" xr:uid="{66830356-46D4-454E-8D85-165988E2D350}"/>
    <cellStyle name="Normal 7 40" xfId="2140" xr:uid="{C0177AC9-4110-4959-B063-B98445F8B0DE}"/>
    <cellStyle name="Normal 7 40 2" xfId="2141" xr:uid="{0C9483EF-8CF4-41AA-A512-EDF171C58F95}"/>
    <cellStyle name="Normal 7 40 3" xfId="2142" xr:uid="{64BE10AE-9A9E-42A6-A642-8634E92678A5}"/>
    <cellStyle name="Normal 7 40 4" xfId="2143" xr:uid="{90249125-35B0-42ED-A3B9-29F42BA3D2E9}"/>
    <cellStyle name="Normal 7 41" xfId="2144" xr:uid="{D6B24E2F-3CD3-41AE-AD04-9454DCC5E44C}"/>
    <cellStyle name="Normal 7 41 2" xfId="2145" xr:uid="{67ECF4BD-73BE-491A-A46C-4DA06CA92BB1}"/>
    <cellStyle name="Normal 7 41 3" xfId="2146" xr:uid="{C4113055-C37E-419F-9EE3-6B4503C374C7}"/>
    <cellStyle name="Normal 7 41 4" xfId="2147" xr:uid="{BED90E28-4BB8-493F-B745-2AF2BC0C1B47}"/>
    <cellStyle name="Normal 7 42" xfId="2148" xr:uid="{37551A39-6C50-4E8D-8203-97B732C5C1E5}"/>
    <cellStyle name="Normal 7 42 2" xfId="2149" xr:uid="{8AFA3D83-E2ED-493D-B476-5985EC275DD3}"/>
    <cellStyle name="Normal 7 42 3" xfId="2150" xr:uid="{4C6ABB2A-62A3-4CC8-898C-1A6C17E1D346}"/>
    <cellStyle name="Normal 7 42 4" xfId="2151" xr:uid="{39B57FDD-EE8E-418D-AF4B-E590CEFBDF73}"/>
    <cellStyle name="Normal 7 43" xfId="2152" xr:uid="{713760D2-85F6-4DF7-AFE4-C0DF49C2EC87}"/>
    <cellStyle name="Normal 7 43 2" xfId="2153" xr:uid="{2860F371-BC64-4598-A301-5DED63082D8C}"/>
    <cellStyle name="Normal 7 43 3" xfId="2154" xr:uid="{670E7519-EAA4-4B85-808E-2B96C167974E}"/>
    <cellStyle name="Normal 7 43 4" xfId="2155" xr:uid="{634F92DD-07FA-4D70-916A-657EB0F65965}"/>
    <cellStyle name="Normal 7 44" xfId="2156" xr:uid="{D89B7388-2B76-4770-A030-3688CD3955AA}"/>
    <cellStyle name="Normal 7 44 2" xfId="2157" xr:uid="{4C53B47A-5058-4647-AC77-50B069E6A59E}"/>
    <cellStyle name="Normal 7 44 3" xfId="2158" xr:uid="{A5A212F7-FC5C-4A5C-BA68-58ADFFCBBB8B}"/>
    <cellStyle name="Normal 7 44 4" xfId="2159" xr:uid="{41D15142-2F50-41E9-AB68-29F857263B70}"/>
    <cellStyle name="Normal 7 45" xfId="2160" xr:uid="{0CD56CD2-9B52-48F3-BFAB-63C589B41162}"/>
    <cellStyle name="Normal 7 45 2" xfId="2161" xr:uid="{E436D1A0-FC22-42C7-B954-A9FCE5B60668}"/>
    <cellStyle name="Normal 7 45 3" xfId="2162" xr:uid="{E2F3ED2B-A46D-4578-9CEB-61D7F37BFF33}"/>
    <cellStyle name="Normal 7 45 4" xfId="2163" xr:uid="{E5E7A2C4-111E-43AF-8AE1-3C3390AD3998}"/>
    <cellStyle name="Normal 7 46" xfId="2164" xr:uid="{AB3A6CF1-1377-4EAF-A472-BF5CC3CF9524}"/>
    <cellStyle name="Normal 7 46 2" xfId="2165" xr:uid="{F2978804-19A0-4726-909F-BD85C3BD27DF}"/>
    <cellStyle name="Normal 7 46 2 2" xfId="2166" xr:uid="{D7D23176-812F-475B-9095-6C0DE46C8190}"/>
    <cellStyle name="Normal 7 46 2 3" xfId="2167" xr:uid="{1A9D649A-81CD-4BE8-8818-150FA34630F6}"/>
    <cellStyle name="Normal 7 46 2 4" xfId="2168" xr:uid="{D538556D-35C6-4106-AAF1-50D73FC37251}"/>
    <cellStyle name="Normal 7 46 3" xfId="2169" xr:uid="{3A4A05DE-3DD6-4264-A96C-C0C257C3DBA9}"/>
    <cellStyle name="Normal 7 46 4" xfId="2170" xr:uid="{4142A174-6DC7-4B37-BDC5-5E7FF265CFF0}"/>
    <cellStyle name="Normal 7 46 5" xfId="2171" xr:uid="{4383B360-7835-4790-9F33-ECDADE46A97D}"/>
    <cellStyle name="Normal 7 47" xfId="2172" xr:uid="{74E6C664-BD6C-4436-A77E-D25017018C72}"/>
    <cellStyle name="Normal 7 47 2" xfId="2173" xr:uid="{B7042D8D-7CE3-4318-805E-EA143AED7AA5}"/>
    <cellStyle name="Normal 7 47 2 2" xfId="2174" xr:uid="{2B660AB2-198A-492A-AF27-5F2AD0704A7C}"/>
    <cellStyle name="Normal 7 47 2 3" xfId="2175" xr:uid="{CB22F489-875E-4314-AD74-DE9F0F7588A4}"/>
    <cellStyle name="Normal 7 47 2 4" xfId="2176" xr:uid="{4423CCDF-04A4-49E8-9287-595A03C68015}"/>
    <cellStyle name="Normal 7 47 3" xfId="2177" xr:uid="{4602F62D-37EC-4312-9280-6E26382C00AE}"/>
    <cellStyle name="Normal 7 47 4" xfId="2178" xr:uid="{2AF5D2DE-9E1C-4F67-A50B-1DF807CDF0C8}"/>
    <cellStyle name="Normal 7 47 5" xfId="2179" xr:uid="{1689D5E6-D1AC-45AF-9889-C28DFC9454BA}"/>
    <cellStyle name="Normal 7 48" xfId="2180" xr:uid="{D728A607-7EEF-45E9-9DAD-1AB5BC9BF655}"/>
    <cellStyle name="Normal 7 49" xfId="2181" xr:uid="{42408EAD-64FE-4B21-9ABF-BFBBB03736E1}"/>
    <cellStyle name="Normal 7 5" xfId="2182" xr:uid="{051D82C1-D8B1-46AF-918F-9962912264A2}"/>
    <cellStyle name="Normal 7 5 2" xfId="2183" xr:uid="{3ACB92E2-651A-4372-B850-95467C316FC0}"/>
    <cellStyle name="Normal 7 5 3" xfId="2184" xr:uid="{51D6034F-A4C5-4CE9-A123-6A480F6F11F7}"/>
    <cellStyle name="Normal 7 5 4" xfId="2185" xr:uid="{1C45A9F8-EF52-4D7C-8F78-734D34F5A4FE}"/>
    <cellStyle name="Normal 7 50" xfId="2186" xr:uid="{8D0D7F09-B803-4BB9-A781-2B2F3C2A950A}"/>
    <cellStyle name="Normal 7 51" xfId="2187" xr:uid="{3F42AB16-6B25-44C3-A8D0-ACAF702248B0}"/>
    <cellStyle name="Normal 7 52" xfId="2007" xr:uid="{33474AF8-2DA4-4894-B3FC-C2F7320A6511}"/>
    <cellStyle name="Normal 7 53" xfId="2242" xr:uid="{AB42759D-8673-4B9E-ADAC-E1DA8CC5DC55}"/>
    <cellStyle name="Normal 7 53 2" xfId="2252" xr:uid="{AE6F8A87-068D-4068-8D46-6BBC8672C5C8}"/>
    <cellStyle name="Normal 7 54" xfId="2251" xr:uid="{93E293D7-9876-43DC-9422-7EB9C82A66E5}"/>
    <cellStyle name="Normal 7 6" xfId="2188" xr:uid="{C8B55FEA-17C6-4017-8494-11CD7687B3FC}"/>
    <cellStyle name="Normal 7 6 2" xfId="2189" xr:uid="{1CB2D00D-B0C1-4AEC-822D-1FF414449A0E}"/>
    <cellStyle name="Normal 7 6 3" xfId="2190" xr:uid="{6E68DD01-0A41-4D83-94D5-59E949AB6898}"/>
    <cellStyle name="Normal 7 6 4" xfId="2191" xr:uid="{93D86685-CD61-4AD6-BF0D-08C8E5B8D3A4}"/>
    <cellStyle name="Normal 7 7" xfId="2192" xr:uid="{99D18B77-FA0E-4FF2-963E-EAF5D81845B2}"/>
    <cellStyle name="Normal 7 7 2" xfId="2193" xr:uid="{458DC4DB-1957-4711-9B21-A6F6399999DF}"/>
    <cellStyle name="Normal 7 7 3" xfId="2194" xr:uid="{E49622D3-9E18-4D78-84E7-03D3CAE49095}"/>
    <cellStyle name="Normal 7 7 4" xfId="2195" xr:uid="{7415B1E0-7966-40E5-9861-5B61044A2B8B}"/>
    <cellStyle name="Normal 7 8" xfId="2196" xr:uid="{C262FAF8-EC51-462E-8EDA-D16F8DABE67D}"/>
    <cellStyle name="Normal 7 8 2" xfId="2197" xr:uid="{0E78876A-B91C-4D99-9467-127B5D375F15}"/>
    <cellStyle name="Normal 7 8 3" xfId="2198" xr:uid="{9BEC586C-C1E7-4B0B-97FC-DD6434207CD4}"/>
    <cellStyle name="Normal 7 8 4" xfId="2199" xr:uid="{E9ECBF7F-30A9-44E1-8D22-0D37A8AC0DAD}"/>
    <cellStyle name="Normal 7 9" xfId="2200" xr:uid="{F2543851-04F8-4C30-B506-4353A33DAFFA}"/>
    <cellStyle name="Normal 7 9 13" xfId="78" xr:uid="{7AC79701-06BA-4E48-90CD-7033C8DAD15E}"/>
    <cellStyle name="Normal 7 9 2" xfId="2201" xr:uid="{06A1E572-7178-4A52-B2EA-0D0AF1620417}"/>
    <cellStyle name="Normal 7 9 3" xfId="2202" xr:uid="{6BC61E52-40EF-44ED-A7B0-525D5466986D}"/>
    <cellStyle name="Normal 7 9 4" xfId="2203" xr:uid="{0C99A161-397D-40B4-975A-3E0446C27337}"/>
    <cellStyle name="Normal 71" xfId="66" xr:uid="{88CD5ED8-185B-4A8E-8939-522EB6237890}"/>
    <cellStyle name="Normal 72 2" xfId="60" xr:uid="{C6896F12-E7C2-4ED1-863F-390ADB41D305}"/>
    <cellStyle name="Normal 8" xfId="2204" xr:uid="{24E206C4-D2D6-4B60-B053-728AB57BB801}"/>
    <cellStyle name="Normal 8 2" xfId="2205" xr:uid="{129E1BFC-4853-474F-870C-4AD535632F9A}"/>
    <cellStyle name="Normal 8 2 2" xfId="2206" xr:uid="{3A208304-7F14-44E0-AC34-2DC167E6A320}"/>
    <cellStyle name="Normal 8 2 3" xfId="2207" xr:uid="{9AC94A8C-89C9-469B-91DB-D6089BD4844A}"/>
    <cellStyle name="Normal 8 2 4" xfId="2208" xr:uid="{7D51BE62-FDF5-4482-9A20-EA03F6D5350C}"/>
    <cellStyle name="Normal 8 3" xfId="2209" xr:uid="{28E01758-C55F-40B6-B6C4-5F9AF0E406AA}"/>
    <cellStyle name="Normal 8 3 2" xfId="2210" xr:uid="{270BADAB-3F4D-4DEA-B0C8-4A76F41A86BB}"/>
    <cellStyle name="Normal 8 3 2 2" xfId="2211" xr:uid="{B935F972-5DA6-44EE-A83F-4F21124AADF3}"/>
    <cellStyle name="Normal 8 3 2 3" xfId="2212" xr:uid="{31E0607C-4434-4B27-8D41-A9DED0AE460A}"/>
    <cellStyle name="Normal 8 3 2 4" xfId="2213" xr:uid="{DD499FCE-F268-4C15-9F14-10B6188278D6}"/>
    <cellStyle name="Normal 8 3 3" xfId="2214" xr:uid="{C1B87129-7255-4ED9-99ED-08AE3C37395F}"/>
    <cellStyle name="Normal 8 3 4" xfId="2215" xr:uid="{5C363C5B-3C48-4575-B7D0-73B05A046C31}"/>
    <cellStyle name="Normal 8 3 5" xfId="2216" xr:uid="{637A9A1C-B26C-4AB8-859D-8F6DA6AB7448}"/>
    <cellStyle name="Normal 8 4" xfId="2217" xr:uid="{1AB4DFE9-FD0E-4FDF-AD6D-76F7941664A0}"/>
    <cellStyle name="Normal 8 5" xfId="2218" xr:uid="{92977BC2-4FA2-4A71-B99C-88875942B806}"/>
    <cellStyle name="Normal 8 6" xfId="2219" xr:uid="{14930771-E668-4285-98E0-B5BE671B6050}"/>
    <cellStyle name="Normal 87" xfId="59" xr:uid="{A7B3C052-A8AA-4B80-897F-0F7E9E6BFD99}"/>
    <cellStyle name="Normal 9" xfId="129" xr:uid="{4ED811A8-45CA-4A67-921A-26AF862BB38F}"/>
    <cellStyle name="Normal 9 10 2" xfId="73" xr:uid="{EAC55906-C842-4F0C-9DAB-FF7B2FD6F06E}"/>
    <cellStyle name="Normal 9 11 2" xfId="77" xr:uid="{ADAAF8AC-6373-46A8-A039-1BAE256E5907}"/>
    <cellStyle name="Normal 9 4" xfId="86" xr:uid="{DA1174AB-1E4D-41CB-9D97-D232EC735E63}"/>
    <cellStyle name="Normal 9 4 2" xfId="2230" xr:uid="{A74AABF8-5270-4BD9-8EE6-051731D9153C}"/>
    <cellStyle name="Note 2" xfId="2220" xr:uid="{89A05074-C9E4-4BFB-96A2-069C871DB2A1}"/>
    <cellStyle name="Output 2" xfId="2221" xr:uid="{09D7091A-7E85-4650-B9B2-304563CD40E9}"/>
    <cellStyle name="Percent" xfId="1" builtinId="5"/>
    <cellStyle name="Percent 10" xfId="14" xr:uid="{2842FD2E-8765-43FA-B662-87EF4D7CC192}"/>
    <cellStyle name="Percent 12" xfId="35" xr:uid="{89F24D3D-F7F0-468C-B696-9CE5F00626C4}"/>
    <cellStyle name="Percent 13" xfId="55" xr:uid="{3BEC3AD6-3268-48BB-A276-D0BD03540D88}"/>
    <cellStyle name="Percent 16" xfId="52" xr:uid="{494CC1D8-5FB5-4643-891B-78973D22EA29}"/>
    <cellStyle name="Percent 2" xfId="32" xr:uid="{5A728D54-4D08-4730-964E-0C6AE269CBE1}"/>
    <cellStyle name="Percent 2 60" xfId="16" xr:uid="{85CAB4A9-C8C7-4AE6-9E8B-67654736F35F}"/>
    <cellStyle name="Style 1" xfId="2222" xr:uid="{3A2E2606-705D-4CC0-BF5D-09A48D8C2FA1}"/>
    <cellStyle name="Style 2" xfId="2223" xr:uid="{D4CCF444-9C7F-4CD4-8872-C3E20062743E}"/>
    <cellStyle name="SUB HEADING" xfId="6" xr:uid="{60A15BD2-98FE-4767-AAFC-C3710C48A505}"/>
    <cellStyle name="Title 2" xfId="2224" xr:uid="{A48B8331-6B18-4A5E-86A9-D7A7D7732608}"/>
    <cellStyle name="Total 2" xfId="2225" xr:uid="{4A1457C8-EC96-4E32-B91C-658FDBFD1699}"/>
    <cellStyle name="Warning Text 2" xfId="2226" xr:uid="{44D3587F-4E46-4F7C-BEEF-14E3E91C93F2}"/>
  </cellStyles>
  <dxfs count="289"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strike/>
        <color rgb="FFFF6600"/>
      </font>
      <fill>
        <patternFill>
          <bgColor theme="6" tint="0.79998168889431442"/>
        </patternFill>
      </fill>
    </dxf>
  </dxfs>
  <tableStyles count="0" defaultTableStyle="TableStyleMedium2" defaultPivotStyle="PivotStyleLight16"/>
  <colors>
    <mruColors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Application%20Support/Microsoft/Office/Office%202011%20AutoRecovery/Rate%20Analysi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Applications/Microsoft%20Office%202011/Microsoft%20Excel.app/Contents/MacOS/SINGHVI_DEV_UNNI/VOL4/STAT/SCARAB/1998-99/SCB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C/Users/nithish.bhat/Dropbox/Sharing%20with%20Nithish/Goal%20Setting%20FY%2015-16/srb_b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C/Users/nithish.bhat/Dropbox/Sharing%20with%20Nithish/Goal%20Setting%20FY%2015-16/FCM-hyd-airport-fina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Dropbox/Corporate%20Goals/Detailed%20Budget%20FY%2015-16/Accounts%20Receivables%20-%2031-01-2004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Caches/TemporaryItems/Outlook%20Temp/dep%20co's%20law%20_mar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Dropbox/00%20BAG/Goals%20Y19%20I%2015-16/TEM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C/Users/nithish.bhat/Dropbox/Sharing%20with%20Nithish/Goal%20Setting%20FY%2015-16/EAWFINAL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Applications/Microsoft%20Office%202011/Microsoft%20Excel.app/Contents/MacOS/192.168.60.117/c/My%20Documents/ACL/ACL_ACCOUNTS_MAR04/Financials_0304/MIS-wkg/mis_arw_mar04_23-06-04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Caches/TemporaryItems/Outlook%20Temp/Mfg%20Cost%20Feb%20200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gaurav.a\Library\Containers\com.apple.mail\Data\Library\Mail%20Downloads\4052069E-8E1C-410C-88DF-012362766867\Worksheet%20in%202261.1%20Final%20Account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otalenvmt-my.sharepoint.com/Users/nithish.bhat/Library/Application%20Support/Microsoft/Office/Office%202011%20AutoRecovery/Mfg%20Cost%20March%202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te Analysis"/>
      <sheetName val="IDC"/>
      <sheetName val="Shuttering"/>
      <sheetName val="Misc. points"/>
      <sheetName val="qty abst"/>
      <sheetName val="Programe"/>
      <sheetName val="boq"/>
      <sheetName val="P&amp;M"/>
      <sheetName val="LABOUR"/>
      <sheetName val="histogram"/>
      <sheetName val="basic "/>
      <sheetName val="bua"/>
      <sheetName val="top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b 9&amp;10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 Break Up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Sheet1"/>
      <sheetName val="DETAILED SUMMARY"/>
      <sheetName val="jan'04"/>
      <sheetName val="Accounts Receivables - 31-01-20"/>
      <sheetName val="gc"/>
      <sheetName val="Sheet3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2003-2004Colaw"/>
      <sheetName val="2002-2003"/>
    </sheetNames>
    <sheetDataSet>
      <sheetData sheetId="0"/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 "/>
      <sheetName val="xxxxxx"/>
      <sheetName val="results"/>
      <sheetName val="Frango Work sheet"/>
      <sheetName val="personnel"/>
      <sheetName val="Bs"/>
      <sheetName val="Group"/>
      <sheetName val="TCMO (2)"/>
      <sheetName val="TCMO"/>
      <sheetName val="FC2"/>
      <sheetName val="Advance tax"/>
      <sheetName val="DeprYTD"/>
      <sheetName val="Cashflow "/>
      <sheetName val="Variance"/>
      <sheetName val="Bud99"/>
      <sheetName val="ITCOMP"/>
      <sheetName val="ITDEP"/>
      <sheetName val="ITDEP revised"/>
      <sheetName val="Deferred tax"/>
      <sheetName val="GRP"/>
      <sheetName val="Temp"/>
      <sheetName val="Bud2000"/>
      <sheetName val="FD"/>
      <sheetName val="TB"/>
      <sheetName val="Debtors Ageing "/>
      <sheetName val="fasch"/>
      <sheetName val="notes"/>
      <sheetName val="part-IV"/>
      <sheetName val="BL Staff"/>
      <sheetName val="BS-203"/>
      <sheetName val="PRECAST lightconc-II"/>
      <sheetName val="PRECAST-conc-II"/>
      <sheetName val="Miscellaneous-civil"/>
      <sheetName val="basic"/>
      <sheetName val="GN-ST-10"/>
      <sheetName val="PRECAST lightconc_II"/>
      <sheetName val="Friends"/>
      <sheetName val="College Details"/>
      <sheetName val="Personal "/>
      <sheetName val="Office"/>
      <sheetName val="CF-det"/>
      <sheetName val="Cleaning &amp; Grubbing"/>
      <sheetName val="GN_ST_10"/>
      <sheetName val="IHC"/>
      <sheetName val="bhilai"/>
      <sheetName val="jidal dam"/>
      <sheetName val="delo"/>
      <sheetName val="fran temp"/>
      <sheetName val="gagan"/>
      <sheetName val="hsbc"/>
      <sheetName val="jeedi"/>
      <sheetName val="kona swit"/>
      <sheetName val="template (8)"/>
      <sheetName val="template (9)"/>
      <sheetName val="OVER HEADS"/>
      <sheetName val="Cover Sheet"/>
      <sheetName val="BOQ REV A"/>
      <sheetName val="BOQ"/>
      <sheetName val="PTB (IO)"/>
      <sheetName val="BMS 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AW Final Accounts - 99"/>
      <sheetName val="Customize Your Purchase Order"/>
      <sheetName val="Forecast Sales Model"/>
      <sheetName val="BS-203"/>
      <sheetName val="BL Staff"/>
      <sheetName val="RM-Summary"/>
      <sheetName val="Schedu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Feb 2000"/>
      <sheetName val="Tally Control"/>
      <sheetName val="OSF"/>
      <sheetName val="qty"/>
      <sheetName val="Rev &amp; GP"/>
      <sheetName val="Plant goals"/>
      <sheetName val="Capex &amp; Headcount"/>
      <sheetName val="PL"/>
      <sheetName val="BS"/>
      <sheetName val="COGS"/>
      <sheetName val="Comments (2)"/>
      <sheetName val="WIP"/>
      <sheetName val="Kobayashi Detail"/>
      <sheetName val="Sheet1"/>
      <sheetName val="FA sch as per Jap Rep."/>
      <sheetName val="Sales Summ."/>
      <sheetName val="Prodn.Summ."/>
      <sheetName val="Fin.Summ."/>
      <sheetName val="Half Yrly"/>
      <sheetName val="Control Sheet"/>
      <sheetName val="BS-203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"/>
      <sheetName val="Sheet1"/>
      <sheetName val="Profit Reco"/>
      <sheetName val="BS"/>
      <sheetName val="P&amp;L"/>
      <sheetName val="Schedules"/>
      <sheetName val="IT Depn"/>
      <sheetName val="ANN2 C"/>
      <sheetName val="ANN4"/>
      <sheetName val="ANN2"/>
      <sheetName val="RBI Timeline"/>
      <sheetName val="ANN1 A"/>
      <sheetName val="Lead"/>
      <sheetName val="Links"/>
      <sheetName val="Normal"/>
      <sheetName val="Tickmarks"/>
      <sheetName val="LISTS"/>
      <sheetName val="1900"/>
      <sheetName val="Sch to PL"/>
      <sheetName val="Sheet3 (2)"/>
      <sheetName val="Worksheet in 2261"/>
      <sheetName val="HEAD"/>
      <sheetName val="Addition"/>
      <sheetName val="Budget"/>
      <sheetName val="Assupmtion"/>
      <sheetName val="Grouping"/>
      <sheetName val="Sch 1-11"/>
      <sheetName val="WDV Workings"/>
      <sheetName val="ANALYSIS"/>
      <sheetName val="co lease rental"/>
      <sheetName val="IOU-factory-9"/>
      <sheetName val="IOU-sales-9"/>
      <sheetName val="Instructions"/>
      <sheetName val="Cost Summary - SOP"/>
      <sheetName val="Project Overview Input"/>
      <sheetName val="Benefit Input"/>
      <sheetName val="wordsdata"/>
      <sheetName val="Construction"/>
      <sheetName val="Expectation and Summary"/>
      <sheetName val="Jackets"/>
      <sheetName val="Shirts"/>
      <sheetName val="Accessories"/>
      <sheetName val="Summ"/>
      <sheetName val="std.wt."/>
      <sheetName val="O2"/>
      <sheetName val="0. Data Validation List"/>
      <sheetName val="Crest"/>
      <sheetName val="Pinnacle"/>
      <sheetName val="Zenith"/>
      <sheetName val="stacking sheet"/>
      <sheetName val="Ward areas"/>
      <sheetName val="Intro"/>
      <sheetName val="Consolidated"/>
      <sheetName val="Break up Sheet"/>
      <sheetName val="Summary 2"/>
      <sheetName val="XREF"/>
      <sheetName val="Assumptions"/>
      <sheetName val="MF NAV&amp;MARKET VALUE 31.03.2006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Mar 2000"/>
      <sheetName val="Tally Control"/>
      <sheetName val="OSF"/>
      <sheetName val="qty"/>
      <sheetName val="COGS"/>
      <sheetName val="Comments (2)"/>
      <sheetName val="Plant goals"/>
      <sheetName val="Capex &amp; Headcount"/>
      <sheetName val="Rev &amp; GP"/>
      <sheetName val="PL"/>
      <sheetName val="Fin.Summ."/>
      <sheetName val="Sales &amp; Pdn.Summ."/>
      <sheetName val="BS"/>
      <sheetName val="WIP"/>
      <sheetName val="Kobayashi Detail"/>
      <sheetName val="Sheet1"/>
      <sheetName val="FA sch as per Jap Rep."/>
      <sheetName val="Sheet2"/>
      <sheetName val="Half Yrly"/>
      <sheetName val="Control Shee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Vinod Soudi" id="{D7FADB90-F8EB-4646-AF31-785F4D7765B3}" userId="Vinod Soudi" providerId="None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551" dT="2023-10-13T13:17:29.88" personId="{D7FADB90-F8EB-4646-AF31-785F4D7765B3}" id="{5700B218-B870-4222-908B-EAE9553D3F05}">
    <text>TBD by Kamal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BAB05-8B33-4901-9114-6B0BE765AA92}">
  <sheetPr codeName="Sheet9">
    <outlinePr summaryBelow="0" summaryRight="0"/>
    <pageSetUpPr fitToPage="1"/>
  </sheetPr>
  <dimension ref="A1:BJ98"/>
  <sheetViews>
    <sheetView zoomScale="116" zoomScaleNormal="85" zoomScaleSheetLayoutView="115" workbookViewId="0">
      <pane xSplit="4" ySplit="6" topLeftCell="O7" activePane="bottomRight" state="frozen"/>
      <selection pane="topRight" activeCell="M118" sqref="M118"/>
      <selection pane="bottomLeft" activeCell="M118" sqref="M118"/>
      <selection pane="bottomRight" activeCell="B55" sqref="A55:XFD55"/>
    </sheetView>
  </sheetViews>
  <sheetFormatPr defaultColWidth="11.44140625" defaultRowHeight="11.85" customHeight="1" outlineLevelRow="2" outlineLevelCol="2"/>
  <cols>
    <col min="1" max="1" width="0.5546875" style="74" hidden="1" customWidth="1"/>
    <col min="2" max="2" width="0.5546875" style="75" customWidth="1"/>
    <col min="3" max="3" width="8.44140625" style="75" bestFit="1" customWidth="1"/>
    <col min="4" max="4" width="58.44140625" style="76" customWidth="1"/>
    <col min="5" max="5" width="0.5546875" style="76" customWidth="1"/>
    <col min="6" max="6" width="9.33203125" style="76" customWidth="1"/>
    <col min="7" max="8" width="9.5546875" style="76" customWidth="1" outlineLevel="1"/>
    <col min="9" max="9" width="10.88671875" style="455" customWidth="1" outlineLevel="1"/>
    <col min="10" max="10" width="0.5546875" style="77" customWidth="1"/>
    <col min="11" max="11" width="7" style="78" customWidth="1"/>
    <col min="12" max="12" width="0.5546875" style="79" customWidth="1" outlineLevel="1"/>
    <col min="13" max="13" width="10.44140625" style="150" customWidth="1" outlineLevel="1"/>
    <col min="14" max="17" width="7.44140625" style="150" customWidth="1" outlineLevel="2"/>
    <col min="18" max="18" width="10.44140625" style="151" customWidth="1" outlineLevel="1"/>
    <col min="19" max="22" width="7.44140625" style="151" customWidth="1" outlineLevel="2"/>
    <col min="23" max="23" width="0.5546875" style="82" customWidth="1"/>
    <col min="24" max="24" width="7" style="78" customWidth="1"/>
    <col min="25" max="25" width="0.5546875" style="79" customWidth="1" outlineLevel="1"/>
    <col min="26" max="26" width="10.5546875" style="150" customWidth="1" outlineLevel="1"/>
    <col min="27" max="30" width="6.44140625" style="150" customWidth="1" outlineLevel="2"/>
    <col min="31" max="31" width="11.5546875" style="151" customWidth="1" outlineLevel="1"/>
    <col min="32" max="35" width="10.44140625" style="151" customWidth="1" outlineLevel="2"/>
    <col min="36" max="36" width="0.5546875" style="79" customWidth="1" outlineLevel="1"/>
    <col min="37" max="37" width="7" style="78" customWidth="1"/>
    <col min="38" max="38" width="0.5546875" style="79" customWidth="1" outlineLevel="1"/>
    <col min="39" max="39" width="10.44140625" style="150" customWidth="1" outlineLevel="1"/>
    <col min="40" max="43" width="7.5546875" style="150" customWidth="1" outlineLevel="2"/>
    <col min="44" max="44" width="10.44140625" style="151" customWidth="1" outlineLevel="1"/>
    <col min="45" max="48" width="10.44140625" style="151" customWidth="1" outlineLevel="2"/>
    <col min="49" max="49" width="0.5546875" style="82" customWidth="1"/>
    <col min="50" max="50" width="7" style="78" bestFit="1" customWidth="1"/>
    <col min="51" max="51" width="0.5546875" style="79" customWidth="1" outlineLevel="1"/>
    <col min="52" max="52" width="10.44140625" style="150" customWidth="1" outlineLevel="1"/>
    <col min="53" max="56" width="7.44140625" style="150" customWidth="1" outlineLevel="2"/>
    <col min="57" max="57" width="10.44140625" style="151" customWidth="1" outlineLevel="1"/>
    <col min="58" max="61" width="10.44140625" style="151" customWidth="1" outlineLevel="2"/>
    <col min="62" max="62" width="0.5546875" style="82" customWidth="1"/>
    <col min="63" max="16384" width="11.44140625" style="74"/>
  </cols>
  <sheetData>
    <row r="1" spans="2:62" ht="15.75" hidden="1" customHeight="1">
      <c r="E1" s="317"/>
      <c r="F1" s="604" t="s">
        <v>0</v>
      </c>
      <c r="G1" s="605"/>
      <c r="H1" s="605"/>
      <c r="I1" s="606"/>
      <c r="M1" s="80"/>
      <c r="N1" s="80"/>
      <c r="O1" s="80"/>
      <c r="P1" s="80"/>
      <c r="Q1" s="80"/>
      <c r="R1" s="81"/>
      <c r="S1" s="81"/>
      <c r="T1" s="81"/>
      <c r="U1" s="81"/>
      <c r="V1" s="81"/>
      <c r="Z1" s="80"/>
      <c r="AA1" s="80"/>
      <c r="AB1" s="80"/>
      <c r="AC1" s="80"/>
      <c r="AD1" s="80"/>
      <c r="AE1" s="81"/>
      <c r="AF1" s="81"/>
      <c r="AG1" s="81"/>
      <c r="AH1" s="81"/>
      <c r="AI1" s="81"/>
      <c r="AM1" s="80"/>
      <c r="AN1" s="80"/>
      <c r="AO1" s="80"/>
      <c r="AP1" s="80"/>
      <c r="AQ1" s="80"/>
      <c r="AR1" s="81"/>
      <c r="AS1" s="81"/>
      <c r="AT1" s="81"/>
      <c r="AU1" s="81"/>
      <c r="AV1" s="81"/>
      <c r="AZ1" s="80"/>
      <c r="BA1" s="80"/>
      <c r="BB1" s="80"/>
      <c r="BC1" s="80"/>
      <c r="BD1" s="80"/>
      <c r="BE1" s="81"/>
      <c r="BF1" s="81"/>
      <c r="BG1" s="81"/>
      <c r="BH1" s="81"/>
      <c r="BI1" s="81"/>
    </row>
    <row r="2" spans="2:62" s="83" customFormat="1" ht="3" customHeight="1"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</row>
    <row r="3" spans="2:62" s="83" customFormat="1" ht="45" customHeight="1">
      <c r="B3" s="86"/>
      <c r="C3" s="608" t="s">
        <v>1</v>
      </c>
      <c r="D3" s="609"/>
      <c r="E3" s="319"/>
      <c r="F3" s="176" t="s">
        <v>2</v>
      </c>
      <c r="G3" s="177" t="s">
        <v>3</v>
      </c>
      <c r="H3" s="177" t="s">
        <v>4</v>
      </c>
      <c r="I3" s="444" t="s">
        <v>5</v>
      </c>
      <c r="J3" s="87"/>
      <c r="K3" s="599" t="s">
        <v>6</v>
      </c>
      <c r="L3" s="88"/>
      <c r="M3" s="152" t="s">
        <v>7</v>
      </c>
      <c r="N3" s="89" t="s">
        <v>8</v>
      </c>
      <c r="O3" s="89" t="s">
        <v>9</v>
      </c>
      <c r="P3" s="89" t="s">
        <v>10</v>
      </c>
      <c r="Q3" s="89" t="s">
        <v>11</v>
      </c>
      <c r="R3" s="152" t="s">
        <v>12</v>
      </c>
      <c r="S3" s="89" t="s">
        <v>8</v>
      </c>
      <c r="T3" s="89" t="s">
        <v>9</v>
      </c>
      <c r="U3" s="89" t="s">
        <v>10</v>
      </c>
      <c r="V3" s="89" t="s">
        <v>11</v>
      </c>
      <c r="W3" s="90"/>
      <c r="X3" s="599" t="s">
        <v>13</v>
      </c>
      <c r="Y3" s="88"/>
      <c r="Z3" s="152" t="s">
        <v>7</v>
      </c>
      <c r="AA3" s="89" t="s">
        <v>8</v>
      </c>
      <c r="AB3" s="89" t="s">
        <v>9</v>
      </c>
      <c r="AC3" s="89" t="s">
        <v>10</v>
      </c>
      <c r="AD3" s="89" t="s">
        <v>11</v>
      </c>
      <c r="AE3" s="152" t="s">
        <v>12</v>
      </c>
      <c r="AF3" s="89" t="s">
        <v>8</v>
      </c>
      <c r="AG3" s="89" t="s">
        <v>9</v>
      </c>
      <c r="AH3" s="89" t="s">
        <v>10</v>
      </c>
      <c r="AI3" s="89" t="s">
        <v>11</v>
      </c>
      <c r="AJ3" s="88"/>
      <c r="AK3" s="599" t="s">
        <v>14</v>
      </c>
      <c r="AL3" s="88"/>
      <c r="AM3" s="152" t="s">
        <v>7</v>
      </c>
      <c r="AN3" s="89" t="s">
        <v>8</v>
      </c>
      <c r="AO3" s="89" t="s">
        <v>9</v>
      </c>
      <c r="AP3" s="89" t="s">
        <v>10</v>
      </c>
      <c r="AQ3" s="89" t="s">
        <v>11</v>
      </c>
      <c r="AR3" s="152" t="s">
        <v>12</v>
      </c>
      <c r="AS3" s="89" t="s">
        <v>8</v>
      </c>
      <c r="AT3" s="89" t="s">
        <v>9</v>
      </c>
      <c r="AU3" s="89" t="s">
        <v>10</v>
      </c>
      <c r="AV3" s="89" t="s">
        <v>11</v>
      </c>
      <c r="AW3" s="90"/>
      <c r="AX3" s="599" t="s">
        <v>15</v>
      </c>
      <c r="AY3" s="88"/>
      <c r="AZ3" s="152" t="s">
        <v>7</v>
      </c>
      <c r="BA3" s="89" t="s">
        <v>8</v>
      </c>
      <c r="BB3" s="89" t="s">
        <v>9</v>
      </c>
      <c r="BC3" s="89" t="s">
        <v>10</v>
      </c>
      <c r="BD3" s="89" t="s">
        <v>11</v>
      </c>
      <c r="BE3" s="152" t="s">
        <v>12</v>
      </c>
      <c r="BF3" s="89" t="s">
        <v>8</v>
      </c>
      <c r="BG3" s="89" t="s">
        <v>9</v>
      </c>
      <c r="BH3" s="89" t="s">
        <v>10</v>
      </c>
      <c r="BI3" s="89" t="s">
        <v>11</v>
      </c>
      <c r="BJ3" s="86"/>
    </row>
    <row r="4" spans="2:62" s="83" customFormat="1" ht="17.399999999999999">
      <c r="B4" s="86"/>
      <c r="C4" s="602" t="s">
        <v>16</v>
      </c>
      <c r="D4" s="603"/>
      <c r="E4" s="318"/>
      <c r="F4" s="437">
        <f>F9+F49+F92</f>
        <v>92</v>
      </c>
      <c r="G4" s="437">
        <f>G9+G49+G92</f>
        <v>40</v>
      </c>
      <c r="H4" s="437">
        <f>H9+H49+H92</f>
        <v>36</v>
      </c>
      <c r="I4" s="445">
        <f>I9+I49+I92</f>
        <v>52</v>
      </c>
      <c r="J4" s="84"/>
      <c r="K4" s="600"/>
      <c r="L4" s="84"/>
      <c r="M4" s="438">
        <f t="shared" ref="M4:V4" si="0">COUNTIF(M17,"=✔")+COUNTIF(M23,"=✔")+COUNTIF(M30,"=✔")+COUNTIF(M52:M61,"=✔")+COUNTIF(M11,"=✔")+COUNTIF(M39,"=✔")+COUNTIF(M64:M67,"=✔")+COUNTIF(M80:M83,"=✔")+COUNTIF(M86:M90,"=✔")+COUNTIF(M70:M77,"=✔")+COUNTIF(M95,"=✔")</f>
        <v>24</v>
      </c>
      <c r="N4" s="438">
        <f t="shared" si="0"/>
        <v>18</v>
      </c>
      <c r="O4" s="438">
        <f t="shared" si="0"/>
        <v>2</v>
      </c>
      <c r="P4" s="438">
        <f t="shared" si="0"/>
        <v>3</v>
      </c>
      <c r="Q4" s="438">
        <f t="shared" si="0"/>
        <v>1</v>
      </c>
      <c r="R4" s="438">
        <f t="shared" si="0"/>
        <v>1</v>
      </c>
      <c r="S4" s="438">
        <f t="shared" si="0"/>
        <v>0</v>
      </c>
      <c r="T4" s="438">
        <f t="shared" si="0"/>
        <v>1</v>
      </c>
      <c r="U4" s="438">
        <f t="shared" si="0"/>
        <v>0</v>
      </c>
      <c r="V4" s="438">
        <f t="shared" si="0"/>
        <v>0</v>
      </c>
      <c r="W4" s="85"/>
      <c r="X4" s="600"/>
      <c r="Y4" s="84"/>
      <c r="Z4" s="438">
        <f t="shared" ref="Z4:AI4" si="1">COUNTIF(Z17,"=✔")+COUNTIF(Z23,"=✔")+COUNTIF(Z30,"=✔")+COUNTIF(Z52:Z61,"=✔")+COUNTIF(Z11,"=✔")+COUNTIF(Z39,"=✔")+COUNTIF(Z64:Z67,"=✔")+COUNTIF(Z80:Z83,"=✔")+COUNTIF(Z86:Z90,"=✔")+COUNTIF(Z70:Z77,"=✔")+COUNTIF(Z95,"=✔")</f>
        <v>7</v>
      </c>
      <c r="AA4" s="438">
        <f t="shared" si="1"/>
        <v>6</v>
      </c>
      <c r="AB4" s="438">
        <f t="shared" si="1"/>
        <v>0</v>
      </c>
      <c r="AC4" s="438">
        <f t="shared" si="1"/>
        <v>0</v>
      </c>
      <c r="AD4" s="438">
        <f t="shared" si="1"/>
        <v>1</v>
      </c>
      <c r="AE4" s="438">
        <f t="shared" si="1"/>
        <v>0</v>
      </c>
      <c r="AF4" s="438">
        <f t="shared" si="1"/>
        <v>0</v>
      </c>
      <c r="AG4" s="438">
        <f t="shared" si="1"/>
        <v>0</v>
      </c>
      <c r="AH4" s="438">
        <f t="shared" si="1"/>
        <v>0</v>
      </c>
      <c r="AI4" s="438">
        <f t="shared" si="1"/>
        <v>0</v>
      </c>
      <c r="AJ4" s="84"/>
      <c r="AK4" s="600"/>
      <c r="AL4" s="84"/>
      <c r="AM4" s="438">
        <f t="shared" ref="AM4:AV4" si="2">COUNTIF(AM17,"=✔")+COUNTIF(AM23,"=✔")+COUNTIF(AM30,"=✔")+COUNTIF(AM52:AM61,"=✔")+COUNTIF(AM11,"=✔")+COUNTIF(AM39,"=✔")+COUNTIF(AM64:AM67,"=✔")+COUNTIF(AM80:AM83,"=✔")+COUNTIF(AM86:AM90,"=✔")+COUNTIF(AM70:AM77,"=✔")+COUNTIF(AM95,"=✔")</f>
        <v>15</v>
      </c>
      <c r="AN4" s="438">
        <f t="shared" si="2"/>
        <v>3</v>
      </c>
      <c r="AO4" s="438">
        <f t="shared" si="2"/>
        <v>6</v>
      </c>
      <c r="AP4" s="438">
        <f t="shared" si="2"/>
        <v>5</v>
      </c>
      <c r="AQ4" s="438">
        <f t="shared" si="2"/>
        <v>1</v>
      </c>
      <c r="AR4" s="438">
        <f t="shared" si="2"/>
        <v>3</v>
      </c>
      <c r="AS4" s="438">
        <f t="shared" si="2"/>
        <v>3</v>
      </c>
      <c r="AT4" s="438">
        <f t="shared" si="2"/>
        <v>0</v>
      </c>
      <c r="AU4" s="438">
        <f t="shared" si="2"/>
        <v>0</v>
      </c>
      <c r="AV4" s="438">
        <f t="shared" si="2"/>
        <v>0</v>
      </c>
      <c r="AW4" s="85"/>
      <c r="AX4" s="600"/>
      <c r="AY4" s="84"/>
      <c r="AZ4" s="438">
        <f t="shared" ref="AZ4:BI4" si="3">COUNTIF(AZ17,"=✔")+COUNTIF(AZ23,"=✔")+COUNTIF(AZ30,"=✔")+COUNTIF(AZ52:AZ61,"=✔")+COUNTIF(AZ11,"=✔")+COUNTIF(AZ39,"=✔")+COUNTIF(AZ64:AZ67,"=✔")+COUNTIF(AZ80:AZ83,"=✔")+COUNTIF(AZ86:AZ90,"=✔")+COUNTIF(AZ70:AZ77,"=✔")+COUNTIF(AZ95,"=✔")</f>
        <v>10</v>
      </c>
      <c r="BA4" s="438">
        <f t="shared" si="3"/>
        <v>1</v>
      </c>
      <c r="BB4" s="438">
        <f t="shared" si="3"/>
        <v>3</v>
      </c>
      <c r="BC4" s="438">
        <f t="shared" si="3"/>
        <v>5</v>
      </c>
      <c r="BD4" s="438">
        <f t="shared" si="3"/>
        <v>1</v>
      </c>
      <c r="BE4" s="438">
        <f t="shared" si="3"/>
        <v>0</v>
      </c>
      <c r="BF4" s="438">
        <f t="shared" si="3"/>
        <v>0</v>
      </c>
      <c r="BG4" s="438">
        <f t="shared" si="3"/>
        <v>0</v>
      </c>
      <c r="BH4" s="438">
        <f t="shared" si="3"/>
        <v>0</v>
      </c>
      <c r="BI4" s="438">
        <f t="shared" si="3"/>
        <v>0</v>
      </c>
      <c r="BJ4" s="86"/>
    </row>
    <row r="5" spans="2:62" s="83" customFormat="1" ht="17.399999999999999">
      <c r="B5" s="86"/>
      <c r="C5" s="602" t="s">
        <v>17</v>
      </c>
      <c r="D5" s="603"/>
      <c r="E5" s="319"/>
      <c r="F5" s="288"/>
      <c r="G5" s="288"/>
      <c r="H5" s="288"/>
      <c r="I5" s="446"/>
      <c r="J5" s="87"/>
      <c r="K5" s="601"/>
      <c r="L5" s="88"/>
      <c r="M5" s="91"/>
      <c r="N5" s="91"/>
      <c r="O5" s="92"/>
      <c r="P5" s="92"/>
      <c r="Q5" s="92"/>
      <c r="R5" s="93"/>
      <c r="S5" s="93"/>
      <c r="T5" s="93"/>
      <c r="U5" s="93"/>
      <c r="V5" s="93"/>
      <c r="W5" s="90"/>
      <c r="X5" s="601"/>
      <c r="Y5" s="88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88"/>
      <c r="AK5" s="601"/>
      <c r="AL5" s="88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0"/>
      <c r="AX5" s="601"/>
      <c r="AY5" s="88"/>
      <c r="AZ5" s="93"/>
      <c r="BA5" s="93"/>
      <c r="BB5" s="93"/>
      <c r="BC5" s="93"/>
      <c r="BD5" s="93"/>
      <c r="BE5" s="93"/>
      <c r="BF5" s="93"/>
      <c r="BG5" s="93"/>
      <c r="BH5" s="93"/>
      <c r="BI5" s="93"/>
      <c r="BJ5" s="86"/>
    </row>
    <row r="6" spans="2:62" ht="3" customHeight="1">
      <c r="B6" s="86"/>
      <c r="D6" s="95"/>
      <c r="E6" s="95"/>
      <c r="F6" s="95"/>
      <c r="G6" s="95"/>
      <c r="H6" s="95"/>
      <c r="I6" s="447"/>
      <c r="J6" s="96"/>
      <c r="L6" s="97"/>
      <c r="M6" s="98"/>
      <c r="N6" s="98"/>
      <c r="O6" s="98"/>
      <c r="P6" s="98"/>
      <c r="Q6" s="98"/>
      <c r="R6" s="99"/>
      <c r="S6" s="99"/>
      <c r="T6" s="99"/>
      <c r="U6" s="99"/>
      <c r="V6" s="100"/>
      <c r="W6" s="101"/>
      <c r="Y6" s="97"/>
      <c r="Z6" s="98"/>
      <c r="AA6" s="98"/>
      <c r="AB6" s="98"/>
      <c r="AC6" s="98"/>
      <c r="AD6" s="98"/>
      <c r="AE6" s="99"/>
      <c r="AF6" s="99"/>
      <c r="AG6" s="99"/>
      <c r="AH6" s="99"/>
      <c r="AI6" s="100"/>
      <c r="AJ6" s="97"/>
      <c r="AL6" s="97"/>
      <c r="AM6" s="98"/>
      <c r="AN6" s="98"/>
      <c r="AO6" s="98"/>
      <c r="AP6" s="98"/>
      <c r="AQ6" s="98"/>
      <c r="AR6" s="99"/>
      <c r="AS6" s="99"/>
      <c r="AT6" s="99"/>
      <c r="AU6" s="99"/>
      <c r="AV6" s="100"/>
      <c r="AW6" s="101"/>
      <c r="AY6" s="97"/>
      <c r="AZ6" s="98"/>
      <c r="BA6" s="98"/>
      <c r="BB6" s="98"/>
      <c r="BC6" s="98"/>
      <c r="BD6" s="98"/>
      <c r="BE6" s="99"/>
      <c r="BF6" s="99"/>
      <c r="BG6" s="99"/>
      <c r="BH6" s="99"/>
      <c r="BI6" s="100"/>
      <c r="BJ6" s="86"/>
    </row>
    <row r="7" spans="2:62" ht="3" customHeight="1">
      <c r="B7" s="86"/>
      <c r="C7" s="102"/>
      <c r="D7" s="103"/>
      <c r="E7" s="103"/>
      <c r="F7" s="103"/>
      <c r="G7" s="103"/>
      <c r="H7" s="103"/>
      <c r="I7" s="448"/>
      <c r="J7" s="104"/>
      <c r="K7" s="105"/>
      <c r="L7" s="106"/>
      <c r="M7" s="107"/>
      <c r="N7" s="107"/>
      <c r="O7" s="107"/>
      <c r="P7" s="107"/>
      <c r="Q7" s="107"/>
      <c r="R7" s="108"/>
      <c r="S7" s="108"/>
      <c r="T7" s="108"/>
      <c r="U7" s="108"/>
      <c r="V7" s="109"/>
      <c r="W7" s="106"/>
      <c r="X7" s="105"/>
      <c r="Y7" s="106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6"/>
      <c r="AK7" s="105"/>
      <c r="AL7" s="106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6"/>
      <c r="AX7" s="105"/>
      <c r="AY7" s="106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86"/>
    </row>
    <row r="8" spans="2:62" ht="3" customHeight="1">
      <c r="B8" s="86"/>
      <c r="D8" s="95"/>
      <c r="E8" s="95"/>
      <c r="F8" s="95"/>
      <c r="G8" s="95"/>
      <c r="H8" s="95"/>
      <c r="I8" s="447"/>
      <c r="J8" s="96"/>
      <c r="L8" s="97"/>
      <c r="M8" s="110"/>
      <c r="N8" s="110"/>
      <c r="O8" s="110"/>
      <c r="P8" s="110"/>
      <c r="Q8" s="110"/>
      <c r="R8" s="111"/>
      <c r="S8" s="111"/>
      <c r="T8" s="111"/>
      <c r="U8" s="111"/>
      <c r="V8" s="112"/>
      <c r="W8" s="94"/>
      <c r="Y8" s="97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97"/>
      <c r="AL8" s="97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94"/>
      <c r="AY8" s="97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86"/>
    </row>
    <row r="9" spans="2:62" ht="17.399999999999999" collapsed="1">
      <c r="B9" s="86"/>
      <c r="C9" s="607" t="s">
        <v>18</v>
      </c>
      <c r="D9" s="607"/>
      <c r="E9" s="320"/>
      <c r="F9" s="326">
        <f>F11+F17+F23+F30+F39</f>
        <v>16</v>
      </c>
      <c r="G9" s="326">
        <f t="shared" ref="G9:I9" si="4">G11+G17+G23+G30+G39</f>
        <v>16</v>
      </c>
      <c r="H9" s="326">
        <f t="shared" ref="H9" si="5">H11+H17+H23+H30+H39</f>
        <v>16</v>
      </c>
      <c r="I9" s="449">
        <f t="shared" si="4"/>
        <v>0</v>
      </c>
      <c r="J9" s="96"/>
      <c r="K9" s="449"/>
      <c r="L9" s="97"/>
      <c r="M9" s="449"/>
      <c r="N9" s="449"/>
      <c r="O9" s="449"/>
      <c r="P9" s="449"/>
      <c r="Q9" s="449"/>
      <c r="R9" s="449"/>
      <c r="S9" s="449"/>
      <c r="T9" s="449"/>
      <c r="U9" s="449"/>
      <c r="V9" s="449"/>
      <c r="W9" s="94"/>
      <c r="X9" s="449"/>
      <c r="Y9" s="97"/>
      <c r="Z9" s="449"/>
      <c r="AA9" s="449"/>
      <c r="AB9" s="449"/>
      <c r="AC9" s="449"/>
      <c r="AD9" s="449"/>
      <c r="AE9" s="449"/>
      <c r="AF9" s="449"/>
      <c r="AG9" s="449"/>
      <c r="AH9" s="449"/>
      <c r="AI9" s="449"/>
      <c r="AJ9" s="97"/>
      <c r="AK9" s="449"/>
      <c r="AL9" s="97"/>
      <c r="AM9" s="449"/>
      <c r="AN9" s="449"/>
      <c r="AO9" s="449"/>
      <c r="AP9" s="449"/>
      <c r="AQ9" s="449"/>
      <c r="AR9" s="449"/>
      <c r="AS9" s="449"/>
      <c r="AT9" s="449"/>
      <c r="AU9" s="449"/>
      <c r="AV9" s="449"/>
      <c r="AW9" s="94"/>
      <c r="AX9" s="449"/>
      <c r="AY9" s="97"/>
      <c r="AZ9" s="449"/>
      <c r="BA9" s="449"/>
      <c r="BB9" s="449"/>
      <c r="BC9" s="449"/>
      <c r="BD9" s="449"/>
      <c r="BE9" s="449"/>
      <c r="BF9" s="449"/>
      <c r="BG9" s="449"/>
      <c r="BH9" s="449"/>
      <c r="BI9" s="449"/>
      <c r="BJ9" s="86"/>
    </row>
    <row r="10" spans="2:62" ht="3" hidden="1" customHeight="1" outlineLevel="1">
      <c r="B10" s="86"/>
      <c r="D10" s="95"/>
      <c r="E10" s="95"/>
      <c r="F10" s="95"/>
      <c r="G10" s="95"/>
      <c r="H10" s="95"/>
      <c r="I10" s="447"/>
      <c r="J10" s="96"/>
      <c r="L10" s="97"/>
      <c r="M10" s="110"/>
      <c r="N10" s="110"/>
      <c r="O10" s="110"/>
      <c r="P10" s="110"/>
      <c r="Q10" s="110"/>
      <c r="R10" s="111"/>
      <c r="S10" s="111"/>
      <c r="T10" s="111"/>
      <c r="U10" s="111"/>
      <c r="V10" s="111"/>
      <c r="W10" s="94"/>
      <c r="Y10" s="97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97"/>
      <c r="AL10" s="97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94"/>
      <c r="AY10" s="97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86"/>
    </row>
    <row r="11" spans="2:62" ht="11.85" hidden="1" customHeight="1" outlineLevel="1">
      <c r="B11" s="86"/>
      <c r="C11" s="114">
        <v>1</v>
      </c>
      <c r="D11" s="115" t="s">
        <v>19</v>
      </c>
      <c r="E11" s="321"/>
      <c r="F11" s="439">
        <f>COUNTIF('Design Fee'!V11,"&gt;0")+COUNTIF('Design Fee'!BE11,"&gt;0")+COUNTIF('Design Fee'!CN11,"&gt;0")+COUNTIF('Design Fee'!DZ11,"&gt;0")</f>
        <v>1</v>
      </c>
      <c r="G11" s="439">
        <f>COUNTIF('Design Fee'!Y11,"&gt;0")+COUNTIF('Design Fee'!BH11,"&gt;0")+COUNTIF('Design Fee'!CQ11,"&gt;0")+COUNTIF('Design Fee'!EA11,"&gt;0")</f>
        <v>1</v>
      </c>
      <c r="H11" s="439">
        <f>COUNTIF('Design Fee'!Z11,"&gt;0")+COUNTIF('Design Fee'!BI11,"&gt;0")+COUNTIF('Design Fee'!CR11,"&gt;0")+COUNTIF('Design Fee'!EB11,"&gt;0")</f>
        <v>1</v>
      </c>
      <c r="I11" s="450">
        <f>F11-G11</f>
        <v>0</v>
      </c>
      <c r="J11" s="116"/>
      <c r="K11" s="118" t="str">
        <f>IF('Design Fee'!V11&gt;0,"✔","-")</f>
        <v>✔</v>
      </c>
      <c r="L11" s="117"/>
      <c r="M11" s="118" t="str">
        <f>IF('Design Fee'!AA11&gt;0,"✔","-")</f>
        <v>-</v>
      </c>
      <c r="N11" s="118" t="str">
        <f>IF('Design Fee'!AB11&gt;0,"✔","-")</f>
        <v>-</v>
      </c>
      <c r="O11" s="118" t="str">
        <f>IF('Design Fee'!AC11&gt;0,"✔","-")</f>
        <v>-</v>
      </c>
      <c r="P11" s="118" t="str">
        <f>IF('Design Fee'!AD11&gt;0,"✔","-")</f>
        <v>-</v>
      </c>
      <c r="Q11" s="118" t="str">
        <f>IF('Design Fee'!AE11&gt;0,"✔","-")</f>
        <v>-</v>
      </c>
      <c r="R11" s="118" t="str">
        <f>IF('Design Fee'!AG11&gt;0,"✔","-")</f>
        <v>-</v>
      </c>
      <c r="S11" s="119" t="str">
        <f>IF('Design Fee'!AH11&gt;0,"✔","-")</f>
        <v>-</v>
      </c>
      <c r="T11" s="119" t="str">
        <f>IF('Design Fee'!AI11&gt;0,"✔","-")</f>
        <v>-</v>
      </c>
      <c r="U11" s="119" t="str">
        <f>IF('Design Fee'!AJ11&gt;0,"✔","-")</f>
        <v>-</v>
      </c>
      <c r="V11" s="119" t="str">
        <f>IF('Design Fee'!AK11&gt;0,"✔","-")</f>
        <v>-</v>
      </c>
      <c r="W11" s="120"/>
      <c r="X11" s="118" t="str">
        <f>IF('Design Fee'!BE11&gt;0,"✔","-")</f>
        <v>-</v>
      </c>
      <c r="Y11" s="117"/>
      <c r="Z11" s="118" t="str">
        <f>IF('Design Fee'!BJ11&gt;0,"✔","-")</f>
        <v>-</v>
      </c>
      <c r="AA11" s="118" t="str">
        <f>IF('Design Fee'!BK11&gt;0,"✔","-")</f>
        <v>-</v>
      </c>
      <c r="AB11" s="118" t="str">
        <f>IF('Design Fee'!BL11&gt;0,"✔","-")</f>
        <v>-</v>
      </c>
      <c r="AC11" s="118" t="str">
        <f>IF('Design Fee'!BM11&gt;0,"✔","-")</f>
        <v>-</v>
      </c>
      <c r="AD11" s="118" t="str">
        <f>IF('Design Fee'!BN11&gt;0,"✔","-")</f>
        <v>-</v>
      </c>
      <c r="AE11" s="119" t="str">
        <f>IF('Design Fee'!BP11&gt;0,"✔","-")</f>
        <v>-</v>
      </c>
      <c r="AF11" s="119" t="str">
        <f>IF('Design Fee'!BQ11&gt;0,"✔","-")</f>
        <v>-</v>
      </c>
      <c r="AG11" s="119" t="str">
        <f>IF('Design Fee'!BR11&gt;0,"✔","-")</f>
        <v>-</v>
      </c>
      <c r="AH11" s="119" t="str">
        <f>IF('Design Fee'!BS11&gt;0,"✔","-")</f>
        <v>-</v>
      </c>
      <c r="AI11" s="119" t="str">
        <f>IF('Design Fee'!BT11&gt;0,"✔","-")</f>
        <v>-</v>
      </c>
      <c r="AJ11" s="117"/>
      <c r="AK11" s="118" t="str">
        <f>IF('Design Fee'!CN11&gt;0,"✔","-")</f>
        <v>-</v>
      </c>
      <c r="AL11" s="117"/>
      <c r="AM11" s="118" t="str">
        <f>IF('Design Fee'!CS11&gt;0,"✔","-")</f>
        <v>-</v>
      </c>
      <c r="AN11" s="118" t="str">
        <f>IF('Design Fee'!CT11&gt;0,"✔","-")</f>
        <v>-</v>
      </c>
      <c r="AO11" s="118" t="str">
        <f>IF('Design Fee'!CU11&gt;0,"✔","-")</f>
        <v>-</v>
      </c>
      <c r="AP11" s="118" t="str">
        <f>IF('Design Fee'!CV11&gt;0,"✔","-")</f>
        <v>-</v>
      </c>
      <c r="AQ11" s="118" t="str">
        <f>IF('Design Fee'!CW11&gt;0,"✔","-")</f>
        <v>-</v>
      </c>
      <c r="AR11" s="119" t="str">
        <f>IF('Design Fee'!CY11&gt;0,"✔","-")</f>
        <v>-</v>
      </c>
      <c r="AS11" s="119" t="str">
        <f>IF('Design Fee'!CZ11&gt;0,"✔","-")</f>
        <v>-</v>
      </c>
      <c r="AT11" s="119" t="str">
        <f>IF('Design Fee'!DA11&gt;0,"✔","-")</f>
        <v>-</v>
      </c>
      <c r="AU11" s="119" t="str">
        <f>IF('Design Fee'!DB11&gt;0,"✔","-")</f>
        <v>-</v>
      </c>
      <c r="AV11" s="119" t="str">
        <f>IF('Design Fee'!DC11&gt;0,"✔","-")</f>
        <v>-</v>
      </c>
      <c r="AW11" s="120"/>
      <c r="AX11" s="118" t="str">
        <f>IF('Design Fee'!DX11&gt;0,"✔","-")</f>
        <v>-</v>
      </c>
      <c r="AY11" s="117"/>
      <c r="AZ11" s="118" t="str">
        <f>IF('Design Fee'!EC11&gt;0,"✔","-")</f>
        <v>-</v>
      </c>
      <c r="BA11" s="118" t="str">
        <f>IF('Design Fee'!ED11&gt;0,"✔","-")</f>
        <v>-</v>
      </c>
      <c r="BB11" s="118" t="str">
        <f>IF('Design Fee'!EE11&gt;0,"✔","-")</f>
        <v>-</v>
      </c>
      <c r="BC11" s="118" t="str">
        <f>IF('Design Fee'!EF11&gt;0,"✔","-")</f>
        <v>-</v>
      </c>
      <c r="BD11" s="118" t="str">
        <f>IF('Design Fee'!EG11&gt;0,"✔","-")</f>
        <v>-</v>
      </c>
      <c r="BE11" s="119" t="str">
        <f>IF('Design Fee'!EI11&gt;0,"✔","-")</f>
        <v>-</v>
      </c>
      <c r="BF11" s="119" t="str">
        <f>IF('Design Fee'!EJ11&gt;0,"✔","-")</f>
        <v>-</v>
      </c>
      <c r="BG11" s="119" t="str">
        <f>IF('Design Fee'!EK11&gt;0,"✔","-")</f>
        <v>-</v>
      </c>
      <c r="BH11" s="119" t="str">
        <f>IF('Design Fee'!EL11&gt;0,"✔","-")</f>
        <v>-</v>
      </c>
      <c r="BI11" s="119" t="str">
        <f>IF('Design Fee'!EM11&gt;0,"✔","-")</f>
        <v>-</v>
      </c>
      <c r="BJ11" s="86"/>
    </row>
    <row r="12" spans="2:62" ht="12.6" hidden="1" customHeight="1" outlineLevel="2">
      <c r="B12" s="86"/>
      <c r="C12" s="121">
        <v>1</v>
      </c>
      <c r="D12" s="76" t="s">
        <v>20</v>
      </c>
      <c r="F12" s="322"/>
      <c r="G12" s="322"/>
      <c r="H12" s="322"/>
      <c r="I12" s="451"/>
      <c r="J12" s="76"/>
      <c r="K12" s="122" t="str">
        <f>IF('Design Fee'!V12&gt;0,"✔","-")</f>
        <v>-</v>
      </c>
      <c r="L12" s="123"/>
      <c r="M12" s="124" t="str">
        <f>IF('Design Fee'!AA12&gt;0,"✔","-")</f>
        <v>-</v>
      </c>
      <c r="N12" s="124" t="str">
        <f>IF('Design Fee'!AB12&gt;0,"✔","-")</f>
        <v>-</v>
      </c>
      <c r="O12" s="124" t="str">
        <f>IF('Design Fee'!AC12&gt;0,"✔","-")</f>
        <v>-</v>
      </c>
      <c r="P12" s="124" t="str">
        <f>IF('Design Fee'!AD12&gt;0,"✔","-")</f>
        <v>-</v>
      </c>
      <c r="Q12" s="124" t="str">
        <f>IF('Design Fee'!AE12&gt;0,"✔","-")</f>
        <v>-</v>
      </c>
      <c r="R12" s="125" t="str">
        <f>IF('Design Fee'!AG12&gt;0,"✔","-")</f>
        <v>-</v>
      </c>
      <c r="S12" s="125" t="str">
        <f>IF('Design Fee'!AH12&gt;0,"✔","-")</f>
        <v>-</v>
      </c>
      <c r="T12" s="125" t="str">
        <f>IF('Design Fee'!AI12&gt;0,"✔","-")</f>
        <v>-</v>
      </c>
      <c r="U12" s="125" t="str">
        <f>IF('Design Fee'!AJ12&gt;0,"✔","-")</f>
        <v>-</v>
      </c>
      <c r="V12" s="125" t="str">
        <f>IF('Design Fee'!AK12&gt;0,"✔","-")</f>
        <v>-</v>
      </c>
      <c r="W12" s="127"/>
      <c r="X12" s="122" t="str">
        <f>IF('Design Fee'!BE12&gt;0,"✔","-")</f>
        <v>-</v>
      </c>
      <c r="Y12" s="128"/>
      <c r="Z12" s="124" t="str">
        <f>IF('Design Fee'!BJ12&gt;0,"✔","-")</f>
        <v>-</v>
      </c>
      <c r="AA12" s="124" t="str">
        <f>IF('Design Fee'!BK12&gt;0,"✔","-")</f>
        <v>-</v>
      </c>
      <c r="AB12" s="124" t="str">
        <f>IF('Design Fee'!BL12&gt;0,"✔","-")</f>
        <v>-</v>
      </c>
      <c r="AC12" s="124" t="str">
        <f>IF('Design Fee'!BM12&gt;0,"✔","-")</f>
        <v>-</v>
      </c>
      <c r="AD12" s="124" t="str">
        <f>IF('Design Fee'!BN12&gt;0,"✔","-")</f>
        <v>-</v>
      </c>
      <c r="AE12" s="125" t="str">
        <f>IF('Design Fee'!BP12&gt;0,"✔","-")</f>
        <v>-</v>
      </c>
      <c r="AF12" s="125" t="str">
        <f>IF('Design Fee'!BQ12&gt;0,"✔","-")</f>
        <v>-</v>
      </c>
      <c r="AG12" s="125" t="str">
        <f>IF('Design Fee'!BR12&gt;0,"✔","-")</f>
        <v>-</v>
      </c>
      <c r="AH12" s="125" t="str">
        <f>IF('Design Fee'!BS12&gt;0,"✔","-")</f>
        <v>-</v>
      </c>
      <c r="AI12" s="125" t="str">
        <f>IF('Design Fee'!BT12&gt;0,"✔","-")</f>
        <v>-</v>
      </c>
      <c r="AJ12" s="128"/>
      <c r="AK12" s="122" t="str">
        <f>IF('Design Fee'!CN12&gt;0,"✔","-")</f>
        <v>-</v>
      </c>
      <c r="AL12" s="128"/>
      <c r="AM12" s="124" t="str">
        <f>IF('Design Fee'!CS12&gt;0,"✔","-")</f>
        <v>-</v>
      </c>
      <c r="AN12" s="124" t="str">
        <f>IF('Design Fee'!CT12&gt;0,"✔","-")</f>
        <v>-</v>
      </c>
      <c r="AO12" s="124" t="str">
        <f>IF('Design Fee'!CU12&gt;0,"✔","-")</f>
        <v>-</v>
      </c>
      <c r="AP12" s="124" t="str">
        <f>IF('Design Fee'!CV12&gt;0,"✔","-")</f>
        <v>-</v>
      </c>
      <c r="AQ12" s="124" t="str">
        <f>IF('Design Fee'!CW12&gt;0,"✔","-")</f>
        <v>-</v>
      </c>
      <c r="AR12" s="125" t="str">
        <f>IF('Design Fee'!CY12&gt;0,"✔","-")</f>
        <v>-</v>
      </c>
      <c r="AS12" s="125" t="str">
        <f>IF('Design Fee'!CZ12&gt;0,"✔","-")</f>
        <v>-</v>
      </c>
      <c r="AT12" s="125" t="str">
        <f>IF('Design Fee'!DA12&gt;0,"✔","-")</f>
        <v>-</v>
      </c>
      <c r="AU12" s="125" t="str">
        <f>IF('Design Fee'!DB12&gt;0,"✔","-")</f>
        <v>-</v>
      </c>
      <c r="AV12" s="125" t="str">
        <f>IF('Design Fee'!DC12&gt;0,"✔","-")</f>
        <v>-</v>
      </c>
      <c r="AW12" s="127"/>
      <c r="AX12" s="122" t="str">
        <f>IF('Design Fee'!DX12&gt;0,"✔","-")</f>
        <v>-</v>
      </c>
      <c r="AY12" s="128"/>
      <c r="AZ12" s="124" t="str">
        <f>IF('Design Fee'!EC12&gt;0,"✔","-")</f>
        <v>-</v>
      </c>
      <c r="BA12" s="124" t="str">
        <f>IF('Design Fee'!ED12&gt;0,"✔","-")</f>
        <v>-</v>
      </c>
      <c r="BB12" s="124" t="str">
        <f>IF('Design Fee'!EE12&gt;0,"✔","-")</f>
        <v>-</v>
      </c>
      <c r="BC12" s="124" t="str">
        <f>IF('Design Fee'!EF12&gt;0,"✔","-")</f>
        <v>-</v>
      </c>
      <c r="BD12" s="124" t="str">
        <f>IF('Design Fee'!EG12&gt;0,"✔","-")</f>
        <v>-</v>
      </c>
      <c r="BE12" s="125" t="str">
        <f>IF('Design Fee'!EI12&gt;0,"✔","-")</f>
        <v>-</v>
      </c>
      <c r="BF12" s="125" t="str">
        <f>IF('Design Fee'!EJ12&gt;0,"✔","-")</f>
        <v>-</v>
      </c>
      <c r="BG12" s="125" t="str">
        <f>IF('Design Fee'!EK12&gt;0,"✔","-")</f>
        <v>-</v>
      </c>
      <c r="BH12" s="125" t="str">
        <f>IF('Design Fee'!EL12&gt;0,"✔","-")</f>
        <v>-</v>
      </c>
      <c r="BI12" s="125" t="str">
        <f>IF('Design Fee'!EM12&gt;0,"✔","-")</f>
        <v>-</v>
      </c>
      <c r="BJ12" s="86"/>
    </row>
    <row r="13" spans="2:62" ht="17.399999999999999" hidden="1" outlineLevel="2">
      <c r="B13" s="86"/>
      <c r="C13" s="121">
        <v>2</v>
      </c>
      <c r="D13" s="76" t="s">
        <v>21</v>
      </c>
      <c r="F13" s="322"/>
      <c r="G13" s="322"/>
      <c r="H13" s="322"/>
      <c r="I13" s="451"/>
      <c r="J13" s="76"/>
      <c r="K13" s="122" t="str">
        <f>IF('Design Fee'!V13&gt;0,"✔","-")</f>
        <v>-</v>
      </c>
      <c r="L13" s="123"/>
      <c r="M13" s="124" t="str">
        <f>IF('Design Fee'!AA13&gt;0,"✔","-")</f>
        <v>-</v>
      </c>
      <c r="N13" s="124" t="str">
        <f>IF('Design Fee'!AB13&gt;0,"✔","-")</f>
        <v>-</v>
      </c>
      <c r="O13" s="124" t="str">
        <f>IF('Design Fee'!AC13&gt;0,"✔","-")</f>
        <v>-</v>
      </c>
      <c r="P13" s="124" t="str">
        <f>IF('Design Fee'!AD13&gt;0,"✔","-")</f>
        <v>-</v>
      </c>
      <c r="Q13" s="124" t="str">
        <f>IF('Design Fee'!AE13&gt;0,"✔","-")</f>
        <v>-</v>
      </c>
      <c r="R13" s="125" t="str">
        <f>IF('Design Fee'!AG13&gt;0,"✔","-")</f>
        <v>-</v>
      </c>
      <c r="S13" s="125" t="str">
        <f>IF('Design Fee'!AH13&gt;0,"✔","-")</f>
        <v>-</v>
      </c>
      <c r="T13" s="125" t="str">
        <f>IF('Design Fee'!AI13&gt;0,"✔","-")</f>
        <v>-</v>
      </c>
      <c r="U13" s="125" t="str">
        <f>IF('Design Fee'!AJ13&gt;0,"✔","-")</f>
        <v>-</v>
      </c>
      <c r="V13" s="125" t="str">
        <f>IF('Design Fee'!AK13&gt;0,"✔","-")</f>
        <v>-</v>
      </c>
      <c r="W13" s="127"/>
      <c r="X13" s="122" t="str">
        <f>IF('Design Fee'!BE13&gt;0,"✔","-")</f>
        <v>-</v>
      </c>
      <c r="Y13" s="128"/>
      <c r="Z13" s="124" t="str">
        <f>IF('Design Fee'!BJ13&gt;0,"✔","-")</f>
        <v>-</v>
      </c>
      <c r="AA13" s="124" t="str">
        <f>IF('Design Fee'!BK13&gt;0,"✔","-")</f>
        <v>-</v>
      </c>
      <c r="AB13" s="124" t="str">
        <f>IF('Design Fee'!BL13&gt;0,"✔","-")</f>
        <v>-</v>
      </c>
      <c r="AC13" s="124" t="str">
        <f>IF('Design Fee'!BM13&gt;0,"✔","-")</f>
        <v>-</v>
      </c>
      <c r="AD13" s="124" t="str">
        <f>IF('Design Fee'!BN13&gt;0,"✔","-")</f>
        <v>-</v>
      </c>
      <c r="AE13" s="125" t="str">
        <f>IF('Design Fee'!BP13&gt;0,"✔","-")</f>
        <v>-</v>
      </c>
      <c r="AF13" s="125" t="str">
        <f>IF('Design Fee'!BQ13&gt;0,"✔","-")</f>
        <v>-</v>
      </c>
      <c r="AG13" s="125" t="str">
        <f>IF('Design Fee'!BR13&gt;0,"✔","-")</f>
        <v>-</v>
      </c>
      <c r="AH13" s="125" t="str">
        <f>IF('Design Fee'!BS13&gt;0,"✔","-")</f>
        <v>-</v>
      </c>
      <c r="AI13" s="125" t="str">
        <f>IF('Design Fee'!BT13&gt;0,"✔","-")</f>
        <v>-</v>
      </c>
      <c r="AJ13" s="128"/>
      <c r="AK13" s="122" t="str">
        <f>IF('Design Fee'!CN13&gt;0,"✔","-")</f>
        <v>-</v>
      </c>
      <c r="AL13" s="128"/>
      <c r="AM13" s="124" t="str">
        <f>IF('Design Fee'!CS13&gt;0,"✔","-")</f>
        <v>-</v>
      </c>
      <c r="AN13" s="124" t="str">
        <f>IF('Design Fee'!CT13&gt;0,"✔","-")</f>
        <v>-</v>
      </c>
      <c r="AO13" s="124" t="str">
        <f>IF('Design Fee'!CU13&gt;0,"✔","-")</f>
        <v>-</v>
      </c>
      <c r="AP13" s="124" t="str">
        <f>IF('Design Fee'!CV13&gt;0,"✔","-")</f>
        <v>-</v>
      </c>
      <c r="AQ13" s="124" t="str">
        <f>IF('Design Fee'!CW13&gt;0,"✔","-")</f>
        <v>-</v>
      </c>
      <c r="AR13" s="125" t="str">
        <f>IF('Design Fee'!CY13&gt;0,"✔","-")</f>
        <v>-</v>
      </c>
      <c r="AS13" s="125" t="str">
        <f>IF('Design Fee'!CZ13&gt;0,"✔","-")</f>
        <v>-</v>
      </c>
      <c r="AT13" s="125" t="str">
        <f>IF('Design Fee'!DA13&gt;0,"✔","-")</f>
        <v>-</v>
      </c>
      <c r="AU13" s="125" t="str">
        <f>IF('Design Fee'!DB13&gt;0,"✔","-")</f>
        <v>-</v>
      </c>
      <c r="AV13" s="125" t="str">
        <f>IF('Design Fee'!DC13&gt;0,"✔","-")</f>
        <v>-</v>
      </c>
      <c r="AW13" s="127"/>
      <c r="AX13" s="122" t="str">
        <f>IF('Design Fee'!DX13&gt;0,"✔","-")</f>
        <v>-</v>
      </c>
      <c r="AY13" s="128"/>
      <c r="AZ13" s="124" t="str">
        <f>IF('Design Fee'!EC13&gt;0,"✔","-")</f>
        <v>-</v>
      </c>
      <c r="BA13" s="124" t="str">
        <f>IF('Design Fee'!ED13&gt;0,"✔","-")</f>
        <v>-</v>
      </c>
      <c r="BB13" s="124" t="str">
        <f>IF('Design Fee'!EE13&gt;0,"✔","-")</f>
        <v>-</v>
      </c>
      <c r="BC13" s="124" t="str">
        <f>IF('Design Fee'!EF13&gt;0,"✔","-")</f>
        <v>-</v>
      </c>
      <c r="BD13" s="124" t="str">
        <f>IF('Design Fee'!EG13&gt;0,"✔","-")</f>
        <v>-</v>
      </c>
      <c r="BE13" s="125" t="str">
        <f>IF('Design Fee'!EI13&gt;0,"✔","-")</f>
        <v>-</v>
      </c>
      <c r="BF13" s="125" t="str">
        <f>IF('Design Fee'!EJ13&gt;0,"✔","-")</f>
        <v>-</v>
      </c>
      <c r="BG13" s="125" t="str">
        <f>IF('Design Fee'!EK13&gt;0,"✔","-")</f>
        <v>-</v>
      </c>
      <c r="BH13" s="125" t="str">
        <f>IF('Design Fee'!EL13&gt;0,"✔","-")</f>
        <v>-</v>
      </c>
      <c r="BI13" s="125" t="str">
        <f>IF('Design Fee'!EM13&gt;0,"✔","-")</f>
        <v>-</v>
      </c>
      <c r="BJ13" s="86"/>
    </row>
    <row r="14" spans="2:62" ht="12.6" hidden="1" customHeight="1" outlineLevel="2">
      <c r="B14" s="86"/>
      <c r="C14" s="121">
        <v>3</v>
      </c>
      <c r="D14" s="76" t="s">
        <v>22</v>
      </c>
      <c r="F14" s="322"/>
      <c r="G14" s="322"/>
      <c r="H14" s="322"/>
      <c r="I14" s="451"/>
      <c r="J14" s="76"/>
      <c r="K14" s="122" t="str">
        <f>IF('Design Fee'!V14&gt;0,"✔","-")</f>
        <v>-</v>
      </c>
      <c r="L14" s="123"/>
      <c r="M14" s="124" t="str">
        <f>IF('Design Fee'!AA14&gt;0,"✔","-")</f>
        <v>-</v>
      </c>
      <c r="N14" s="124" t="str">
        <f>IF('Design Fee'!AB14&gt;0,"✔","-")</f>
        <v>-</v>
      </c>
      <c r="O14" s="124" t="str">
        <f>IF('Design Fee'!AC14&gt;0,"✔","-")</f>
        <v>-</v>
      </c>
      <c r="P14" s="124" t="str">
        <f>IF('Design Fee'!AD14&gt;0,"✔","-")</f>
        <v>-</v>
      </c>
      <c r="Q14" s="124" t="str">
        <f>IF('Design Fee'!AE14&gt;0,"✔","-")</f>
        <v>-</v>
      </c>
      <c r="R14" s="125" t="str">
        <f>IF('Design Fee'!AG14&gt;0,"✔","-")</f>
        <v>-</v>
      </c>
      <c r="S14" s="125" t="str">
        <f>IF('Design Fee'!AH14&gt;0,"✔","-")</f>
        <v>-</v>
      </c>
      <c r="T14" s="125" t="str">
        <f>IF('Design Fee'!AI14&gt;0,"✔","-")</f>
        <v>-</v>
      </c>
      <c r="U14" s="125" t="str">
        <f>IF('Design Fee'!AJ14&gt;0,"✔","-")</f>
        <v>-</v>
      </c>
      <c r="V14" s="125" t="str">
        <f>IF('Design Fee'!AK14&gt;0,"✔","-")</f>
        <v>-</v>
      </c>
      <c r="W14" s="127"/>
      <c r="X14" s="122" t="str">
        <f>IF('Design Fee'!BE14&gt;0,"✔","-")</f>
        <v>-</v>
      </c>
      <c r="Y14" s="128"/>
      <c r="Z14" s="124" t="str">
        <f>IF('Design Fee'!BJ14&gt;0,"✔","-")</f>
        <v>-</v>
      </c>
      <c r="AA14" s="124" t="str">
        <f>IF('Design Fee'!BK14&gt;0,"✔","-")</f>
        <v>-</v>
      </c>
      <c r="AB14" s="124" t="str">
        <f>IF('Design Fee'!BL14&gt;0,"✔","-")</f>
        <v>-</v>
      </c>
      <c r="AC14" s="124" t="str">
        <f>IF('Design Fee'!BM14&gt;0,"✔","-")</f>
        <v>-</v>
      </c>
      <c r="AD14" s="124" t="str">
        <f>IF('Design Fee'!BN14&gt;0,"✔","-")</f>
        <v>-</v>
      </c>
      <c r="AE14" s="125" t="str">
        <f>IF('Design Fee'!BP14&gt;0,"✔","-")</f>
        <v>-</v>
      </c>
      <c r="AF14" s="125" t="str">
        <f>IF('Design Fee'!BQ14&gt;0,"✔","-")</f>
        <v>-</v>
      </c>
      <c r="AG14" s="125" t="str">
        <f>IF('Design Fee'!BR14&gt;0,"✔","-")</f>
        <v>-</v>
      </c>
      <c r="AH14" s="125" t="str">
        <f>IF('Design Fee'!BS14&gt;0,"✔","-")</f>
        <v>-</v>
      </c>
      <c r="AI14" s="125" t="str">
        <f>IF('Design Fee'!BT14&gt;0,"✔","-")</f>
        <v>-</v>
      </c>
      <c r="AJ14" s="128"/>
      <c r="AK14" s="122" t="str">
        <f>IF('Design Fee'!CN14&gt;0,"✔","-")</f>
        <v>-</v>
      </c>
      <c r="AL14" s="128"/>
      <c r="AM14" s="124" t="str">
        <f>IF('Design Fee'!CS14&gt;0,"✔","-")</f>
        <v>-</v>
      </c>
      <c r="AN14" s="124" t="str">
        <f>IF('Design Fee'!CT14&gt;0,"✔","-")</f>
        <v>-</v>
      </c>
      <c r="AO14" s="124" t="str">
        <f>IF('Design Fee'!CU14&gt;0,"✔","-")</f>
        <v>-</v>
      </c>
      <c r="AP14" s="124" t="str">
        <f>IF('Design Fee'!CV14&gt;0,"✔","-")</f>
        <v>-</v>
      </c>
      <c r="AQ14" s="124" t="str">
        <f>IF('Design Fee'!CW14&gt;0,"✔","-")</f>
        <v>-</v>
      </c>
      <c r="AR14" s="125" t="str">
        <f>IF('Design Fee'!CY14&gt;0,"✔","-")</f>
        <v>-</v>
      </c>
      <c r="AS14" s="125" t="str">
        <f>IF('Design Fee'!CZ14&gt;0,"✔","-")</f>
        <v>-</v>
      </c>
      <c r="AT14" s="125" t="str">
        <f>IF('Design Fee'!DA14&gt;0,"✔","-")</f>
        <v>-</v>
      </c>
      <c r="AU14" s="125" t="str">
        <f>IF('Design Fee'!DB14&gt;0,"✔","-")</f>
        <v>-</v>
      </c>
      <c r="AV14" s="125" t="str">
        <f>IF('Design Fee'!DC14&gt;0,"✔","-")</f>
        <v>-</v>
      </c>
      <c r="AW14" s="127"/>
      <c r="AX14" s="122" t="str">
        <f>IF('Design Fee'!DX14&gt;0,"✔","-")</f>
        <v>-</v>
      </c>
      <c r="AY14" s="128"/>
      <c r="AZ14" s="124" t="str">
        <f>IF('Design Fee'!EC14&gt;0,"✔","-")</f>
        <v>-</v>
      </c>
      <c r="BA14" s="124" t="str">
        <f>IF('Design Fee'!ED14&gt;0,"✔","-")</f>
        <v>-</v>
      </c>
      <c r="BB14" s="124" t="str">
        <f>IF('Design Fee'!EE14&gt;0,"✔","-")</f>
        <v>-</v>
      </c>
      <c r="BC14" s="124" t="str">
        <f>IF('Design Fee'!EF14&gt;0,"✔","-")</f>
        <v>-</v>
      </c>
      <c r="BD14" s="124" t="str">
        <f>IF('Design Fee'!EG14&gt;0,"✔","-")</f>
        <v>-</v>
      </c>
      <c r="BE14" s="125" t="str">
        <f>IF('Design Fee'!EI14&gt;0,"✔","-")</f>
        <v>-</v>
      </c>
      <c r="BF14" s="125" t="str">
        <f>IF('Design Fee'!EJ14&gt;0,"✔","-")</f>
        <v>-</v>
      </c>
      <c r="BG14" s="125" t="str">
        <f>IF('Design Fee'!EK14&gt;0,"✔","-")</f>
        <v>-</v>
      </c>
      <c r="BH14" s="125" t="str">
        <f>IF('Design Fee'!EL14&gt;0,"✔","-")</f>
        <v>-</v>
      </c>
      <c r="BI14" s="125" t="str">
        <f>IF('Design Fee'!EM14&gt;0,"✔","-")</f>
        <v>-</v>
      </c>
      <c r="BJ14" s="86"/>
    </row>
    <row r="15" spans="2:62" ht="12.6" hidden="1" customHeight="1" outlineLevel="2">
      <c r="B15" s="86"/>
      <c r="C15" s="121">
        <v>4</v>
      </c>
      <c r="D15" s="76" t="s">
        <v>23</v>
      </c>
      <c r="F15" s="322"/>
      <c r="G15" s="322"/>
      <c r="H15" s="322"/>
      <c r="I15" s="451"/>
      <c r="J15" s="76"/>
      <c r="K15" s="122" t="str">
        <f>IF('Design Fee'!V15&gt;0,"✔","-")</f>
        <v>-</v>
      </c>
      <c r="L15" s="123"/>
      <c r="M15" s="124" t="str">
        <f>IF('Design Fee'!AA15&gt;0,"✔","-")</f>
        <v>-</v>
      </c>
      <c r="N15" s="124" t="str">
        <f>IF('Design Fee'!AB15&gt;0,"✔","-")</f>
        <v>-</v>
      </c>
      <c r="O15" s="124" t="str">
        <f>IF('Design Fee'!AC15&gt;0,"✔","-")</f>
        <v>-</v>
      </c>
      <c r="P15" s="124" t="str">
        <f>IF('Design Fee'!AD15&gt;0,"✔","-")</f>
        <v>-</v>
      </c>
      <c r="Q15" s="124" t="str">
        <f>IF('Design Fee'!AE15&gt;0,"✔","-")</f>
        <v>-</v>
      </c>
      <c r="R15" s="125" t="str">
        <f>IF('Design Fee'!AG15&gt;0,"✔","-")</f>
        <v>-</v>
      </c>
      <c r="S15" s="125" t="str">
        <f>IF('Design Fee'!AH15&gt;0,"✔","-")</f>
        <v>-</v>
      </c>
      <c r="T15" s="125" t="str">
        <f>IF('Design Fee'!AI15&gt;0,"✔","-")</f>
        <v>-</v>
      </c>
      <c r="U15" s="125" t="str">
        <f>IF('Design Fee'!AJ15&gt;0,"✔","-")</f>
        <v>-</v>
      </c>
      <c r="V15" s="125" t="str">
        <f>IF('Design Fee'!AK15&gt;0,"✔","-")</f>
        <v>-</v>
      </c>
      <c r="W15" s="127"/>
      <c r="X15" s="122" t="str">
        <f>IF('Design Fee'!BE15&gt;0,"✔","-")</f>
        <v>-</v>
      </c>
      <c r="Y15" s="128"/>
      <c r="Z15" s="124" t="str">
        <f>IF('Design Fee'!BJ15&gt;0,"✔","-")</f>
        <v>-</v>
      </c>
      <c r="AA15" s="124" t="str">
        <f>IF('Design Fee'!BK15&gt;0,"✔","-")</f>
        <v>-</v>
      </c>
      <c r="AB15" s="124" t="str">
        <f>IF('Design Fee'!BL15&gt;0,"✔","-")</f>
        <v>-</v>
      </c>
      <c r="AC15" s="124" t="str">
        <f>IF('Design Fee'!BM15&gt;0,"✔","-")</f>
        <v>-</v>
      </c>
      <c r="AD15" s="124" t="str">
        <f>IF('Design Fee'!BN15&gt;0,"✔","-")</f>
        <v>-</v>
      </c>
      <c r="AE15" s="125" t="str">
        <f>IF('Design Fee'!BP15&gt;0,"✔","-")</f>
        <v>-</v>
      </c>
      <c r="AF15" s="125" t="str">
        <f>IF('Design Fee'!BQ15&gt;0,"✔","-")</f>
        <v>-</v>
      </c>
      <c r="AG15" s="125" t="str">
        <f>IF('Design Fee'!BR15&gt;0,"✔","-")</f>
        <v>-</v>
      </c>
      <c r="AH15" s="125" t="str">
        <f>IF('Design Fee'!BS15&gt;0,"✔","-")</f>
        <v>-</v>
      </c>
      <c r="AI15" s="125" t="str">
        <f>IF('Design Fee'!BT15&gt;0,"✔","-")</f>
        <v>-</v>
      </c>
      <c r="AJ15" s="128"/>
      <c r="AK15" s="122" t="str">
        <f>IF('Design Fee'!CN15&gt;0,"✔","-")</f>
        <v>-</v>
      </c>
      <c r="AL15" s="128"/>
      <c r="AM15" s="124" t="str">
        <f>IF('Design Fee'!CS15&gt;0,"✔","-")</f>
        <v>-</v>
      </c>
      <c r="AN15" s="124" t="str">
        <f>IF('Design Fee'!CT15&gt;0,"✔","-")</f>
        <v>-</v>
      </c>
      <c r="AO15" s="124" t="str">
        <f>IF('Design Fee'!CU15&gt;0,"✔","-")</f>
        <v>-</v>
      </c>
      <c r="AP15" s="124" t="str">
        <f>IF('Design Fee'!CV15&gt;0,"✔","-")</f>
        <v>-</v>
      </c>
      <c r="AQ15" s="124" t="str">
        <f>IF('Design Fee'!CW15&gt;0,"✔","-")</f>
        <v>-</v>
      </c>
      <c r="AR15" s="125" t="str">
        <f>IF('Design Fee'!CY15&gt;0,"✔","-")</f>
        <v>-</v>
      </c>
      <c r="AS15" s="125" t="str">
        <f>IF('Design Fee'!CZ15&gt;0,"✔","-")</f>
        <v>-</v>
      </c>
      <c r="AT15" s="125" t="str">
        <f>IF('Design Fee'!DA15&gt;0,"✔","-")</f>
        <v>-</v>
      </c>
      <c r="AU15" s="125" t="str">
        <f>IF('Design Fee'!DB15&gt;0,"✔","-")</f>
        <v>-</v>
      </c>
      <c r="AV15" s="125" t="str">
        <f>IF('Design Fee'!DC15&gt;0,"✔","-")</f>
        <v>-</v>
      </c>
      <c r="AW15" s="127"/>
      <c r="AX15" s="122" t="str">
        <f>IF('Design Fee'!DX15&gt;0,"✔","-")</f>
        <v>-</v>
      </c>
      <c r="AY15" s="128"/>
      <c r="AZ15" s="124" t="str">
        <f>IF('Design Fee'!EC15&gt;0,"✔","-")</f>
        <v>-</v>
      </c>
      <c r="BA15" s="124" t="str">
        <f>IF('Design Fee'!ED15&gt;0,"✔","-")</f>
        <v>-</v>
      </c>
      <c r="BB15" s="124" t="str">
        <f>IF('Design Fee'!EE15&gt;0,"✔","-")</f>
        <v>-</v>
      </c>
      <c r="BC15" s="124" t="str">
        <f>IF('Design Fee'!EF15&gt;0,"✔","-")</f>
        <v>-</v>
      </c>
      <c r="BD15" s="124" t="str">
        <f>IF('Design Fee'!EG15&gt;0,"✔","-")</f>
        <v>-</v>
      </c>
      <c r="BE15" s="125" t="str">
        <f>IF('Design Fee'!EI15&gt;0,"✔","-")</f>
        <v>-</v>
      </c>
      <c r="BF15" s="125" t="str">
        <f>IF('Design Fee'!EJ15&gt;0,"✔","-")</f>
        <v>-</v>
      </c>
      <c r="BG15" s="125" t="str">
        <f>IF('Design Fee'!EK15&gt;0,"✔","-")</f>
        <v>-</v>
      </c>
      <c r="BH15" s="125" t="str">
        <f>IF('Design Fee'!EL15&gt;0,"✔","-")</f>
        <v>-</v>
      </c>
      <c r="BI15" s="125" t="str">
        <f>IF('Design Fee'!EM15&gt;0,"✔","-")</f>
        <v>-</v>
      </c>
      <c r="BJ15" s="86"/>
    </row>
    <row r="16" spans="2:62" ht="3" hidden="1" customHeight="1" outlineLevel="1">
      <c r="B16" s="86"/>
      <c r="F16" s="322"/>
      <c r="G16" s="322"/>
      <c r="H16" s="322"/>
      <c r="I16" s="451"/>
      <c r="J16" s="76"/>
      <c r="K16" s="129"/>
      <c r="L16" s="123"/>
      <c r="M16" s="113"/>
      <c r="N16" s="113"/>
      <c r="O16" s="113"/>
      <c r="P16" s="113"/>
      <c r="Q16" s="113"/>
      <c r="R16" s="111"/>
      <c r="S16" s="111"/>
      <c r="T16" s="111"/>
      <c r="U16" s="111"/>
      <c r="V16" s="111"/>
      <c r="W16" s="127"/>
      <c r="X16" s="129"/>
      <c r="Y16" s="128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  <c r="AJ16" s="128"/>
      <c r="AK16" s="129"/>
      <c r="AL16" s="128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  <c r="AW16" s="127"/>
      <c r="AX16" s="129"/>
      <c r="AY16" s="128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86"/>
    </row>
    <row r="17" spans="2:62" ht="11.85" hidden="1" customHeight="1" outlineLevel="1">
      <c r="B17" s="86"/>
      <c r="C17" s="114">
        <v>2</v>
      </c>
      <c r="D17" s="115" t="s">
        <v>24</v>
      </c>
      <c r="E17" s="321"/>
      <c r="F17" s="439">
        <f>COUNTIF('Design Fee'!V17,"&gt;0")+COUNTIF('Design Fee'!BE17,"&gt;0")+COUNTIF('Design Fee'!CN17,"&gt;0")+COUNTIF('Design Fee'!DZ17,"&gt;0")</f>
        <v>4</v>
      </c>
      <c r="G17" s="439">
        <f>COUNTIF('Design Fee'!Y17,"&gt;0")+COUNTIF('Design Fee'!BH17,"&gt;0")+COUNTIF('Design Fee'!CQ17,"&gt;0")+COUNTIF('Design Fee'!EA17,"&gt;0")</f>
        <v>4</v>
      </c>
      <c r="H17" s="439">
        <f>COUNTIF('Design Fee'!Z17,"&gt;0")+COUNTIF('Design Fee'!BI17,"&gt;0")+COUNTIF('Design Fee'!CR17,"&gt;0")+COUNTIF('Design Fee'!EB17,"&gt;0")</f>
        <v>4</v>
      </c>
      <c r="I17" s="450">
        <f>F17-G17</f>
        <v>0</v>
      </c>
      <c r="J17" s="116"/>
      <c r="K17" s="117" t="str">
        <f>IF('Design Fee'!V17&gt;0,"✔","-")</f>
        <v>✔</v>
      </c>
      <c r="L17" s="117"/>
      <c r="M17" s="118" t="str">
        <f>IF('Design Fee'!AA17&gt;0,"✔","-")</f>
        <v>-</v>
      </c>
      <c r="N17" s="118" t="str">
        <f>IF('Design Fee'!AB17&gt;0,"✔","-")</f>
        <v>-</v>
      </c>
      <c r="O17" s="118" t="str">
        <f>IF('Design Fee'!AC17&gt;0,"✔","-")</f>
        <v>-</v>
      </c>
      <c r="P17" s="118" t="str">
        <f>IF('Design Fee'!AD17&gt;0,"✔","-")</f>
        <v>-</v>
      </c>
      <c r="Q17" s="118" t="str">
        <f>IF('Design Fee'!AE17&gt;0,"✔","-")</f>
        <v>-</v>
      </c>
      <c r="R17" s="119" t="str">
        <f>IF('Design Fee'!AG17&gt;0,"✔","-")</f>
        <v>-</v>
      </c>
      <c r="S17" s="119" t="str">
        <f>IF('Design Fee'!AH17&gt;0,"✔","-")</f>
        <v>-</v>
      </c>
      <c r="T17" s="119" t="str">
        <f>IF('Design Fee'!AI17&gt;0,"✔","-")</f>
        <v>-</v>
      </c>
      <c r="U17" s="119" t="str">
        <f>IF('Design Fee'!AJ17&gt;0,"✔","-")</f>
        <v>-</v>
      </c>
      <c r="V17" s="119" t="str">
        <f>IF('Design Fee'!AK17&gt;0,"✔","-")</f>
        <v>-</v>
      </c>
      <c r="W17" s="120"/>
      <c r="X17" s="117" t="str">
        <f>IF('Design Fee'!BE17&gt;0,"✔","-")</f>
        <v>✔</v>
      </c>
      <c r="Y17" s="117"/>
      <c r="Z17" s="118" t="str">
        <f>IF('Design Fee'!BJ17&gt;0,"✔","-")</f>
        <v>-</v>
      </c>
      <c r="AA17" s="118" t="str">
        <f>IF('Design Fee'!BK17&gt;0,"✔","-")</f>
        <v>-</v>
      </c>
      <c r="AB17" s="118" t="str">
        <f>IF('Design Fee'!BL17&gt;0,"✔","-")</f>
        <v>-</v>
      </c>
      <c r="AC17" s="118" t="str">
        <f>IF('Design Fee'!BM17&gt;0,"✔","-")</f>
        <v>-</v>
      </c>
      <c r="AD17" s="118" t="str">
        <f>IF('Design Fee'!BN17&gt;0,"✔","-")</f>
        <v>-</v>
      </c>
      <c r="AE17" s="119" t="str">
        <f>IF('Design Fee'!BP17&gt;0,"✔","-")</f>
        <v>-</v>
      </c>
      <c r="AF17" s="119" t="str">
        <f>IF('Design Fee'!BQ17&gt;0,"✔","-")</f>
        <v>-</v>
      </c>
      <c r="AG17" s="119" t="str">
        <f>IF('Design Fee'!BR17&gt;0,"✔","-")</f>
        <v>-</v>
      </c>
      <c r="AH17" s="119" t="str">
        <f>IF('Design Fee'!BS17&gt;0,"✔","-")</f>
        <v>-</v>
      </c>
      <c r="AI17" s="119" t="str">
        <f>IF('Design Fee'!BT17&gt;0,"✔","-")</f>
        <v>-</v>
      </c>
      <c r="AJ17" s="117"/>
      <c r="AK17" s="117" t="str">
        <f>IF('Design Fee'!CN17&gt;0,"✔","-")</f>
        <v>✔</v>
      </c>
      <c r="AL17" s="117"/>
      <c r="AM17" s="118" t="str">
        <f>IF('Design Fee'!CS17&gt;0,"✔","-")</f>
        <v>-</v>
      </c>
      <c r="AN17" s="118" t="str">
        <f>IF('Design Fee'!CT17&gt;0,"✔","-")</f>
        <v>-</v>
      </c>
      <c r="AO17" s="118" t="str">
        <f>IF('Design Fee'!CU17&gt;0,"✔","-")</f>
        <v>-</v>
      </c>
      <c r="AP17" s="118" t="str">
        <f>IF('Design Fee'!CV17&gt;0,"✔","-")</f>
        <v>-</v>
      </c>
      <c r="AQ17" s="118" t="str">
        <f>IF('Design Fee'!CW17&gt;0,"✔","-")</f>
        <v>-</v>
      </c>
      <c r="AR17" s="119" t="str">
        <f>IF('Design Fee'!CY17&gt;0,"✔","-")</f>
        <v>-</v>
      </c>
      <c r="AS17" s="119" t="str">
        <f>IF('Design Fee'!CZ17&gt;0,"✔","-")</f>
        <v>-</v>
      </c>
      <c r="AT17" s="119" t="str">
        <f>IF('Design Fee'!DA17&gt;0,"✔","-")</f>
        <v>-</v>
      </c>
      <c r="AU17" s="119" t="str">
        <f>IF('Design Fee'!DB17&gt;0,"✔","-")</f>
        <v>-</v>
      </c>
      <c r="AV17" s="119" t="str">
        <f>IF('Design Fee'!DC17&gt;0,"✔","-")</f>
        <v>-</v>
      </c>
      <c r="AW17" s="120"/>
      <c r="AX17" s="117" t="str">
        <f>IF('Design Fee'!DX17&gt;0,"✔","-")</f>
        <v>✔</v>
      </c>
      <c r="AY17" s="117"/>
      <c r="AZ17" s="118" t="str">
        <f>IF('Design Fee'!EC17&gt;0,"✔","-")</f>
        <v>-</v>
      </c>
      <c r="BA17" s="118" t="str">
        <f>IF('Design Fee'!ED17&gt;0,"✔","-")</f>
        <v>-</v>
      </c>
      <c r="BB17" s="118" t="str">
        <f>IF('Design Fee'!EE17&gt;0,"✔","-")</f>
        <v>-</v>
      </c>
      <c r="BC17" s="118" t="str">
        <f>IF('Design Fee'!EF17&gt;0,"✔","-")</f>
        <v>-</v>
      </c>
      <c r="BD17" s="118" t="str">
        <f>IF('Design Fee'!EG17&gt;0,"✔","-")</f>
        <v>-</v>
      </c>
      <c r="BE17" s="119" t="str">
        <f>IF('Design Fee'!EI17&gt;0,"✔","-")</f>
        <v>-</v>
      </c>
      <c r="BF17" s="119" t="str">
        <f>IF('Design Fee'!EJ17&gt;0,"✔","-")</f>
        <v>-</v>
      </c>
      <c r="BG17" s="119" t="str">
        <f>IF('Design Fee'!EK17&gt;0,"✔","-")</f>
        <v>-</v>
      </c>
      <c r="BH17" s="119" t="str">
        <f>IF('Design Fee'!EL17&gt;0,"✔","-")</f>
        <v>-</v>
      </c>
      <c r="BI17" s="119" t="str">
        <f>IF('Design Fee'!EM17&gt;0,"✔","-")</f>
        <v>-</v>
      </c>
      <c r="BJ17" s="86"/>
    </row>
    <row r="18" spans="2:62" ht="12.6" hidden="1" customHeight="1" outlineLevel="2">
      <c r="B18" s="86"/>
      <c r="C18" s="121">
        <v>1</v>
      </c>
      <c r="D18" s="130" t="s">
        <v>25</v>
      </c>
      <c r="E18" s="130"/>
      <c r="F18" s="323"/>
      <c r="G18" s="323"/>
      <c r="H18" s="323"/>
      <c r="I18" s="452"/>
      <c r="J18" s="130"/>
      <c r="K18" s="131" t="str">
        <f>IF('Design Fee'!V18&gt;0,"✔","-")</f>
        <v>-</v>
      </c>
      <c r="L18" s="132"/>
      <c r="M18" s="124" t="str">
        <f>IF('Design Fee'!AA18&gt;0,"✔","-")</f>
        <v>-</v>
      </c>
      <c r="N18" s="124" t="str">
        <f>IF('Design Fee'!AB18&gt;0,"✔","-")</f>
        <v>-</v>
      </c>
      <c r="O18" s="124" t="str">
        <f>IF('Design Fee'!AC18&gt;0,"✔","-")</f>
        <v>-</v>
      </c>
      <c r="P18" s="124" t="str">
        <f>IF('Design Fee'!AD18&gt;0,"✔","-")</f>
        <v>-</v>
      </c>
      <c r="Q18" s="124" t="str">
        <f>IF('Design Fee'!AE18&gt;0,"✔","-")</f>
        <v>-</v>
      </c>
      <c r="R18" s="125" t="str">
        <f>IF('Design Fee'!AG18&gt;0,"✔","-")</f>
        <v>-</v>
      </c>
      <c r="S18" s="125" t="str">
        <f>IF('Design Fee'!AH18&gt;0,"✔","-")</f>
        <v>-</v>
      </c>
      <c r="T18" s="125" t="str">
        <f>IF('Design Fee'!AI18&gt;0,"✔","-")</f>
        <v>-</v>
      </c>
      <c r="U18" s="125" t="str">
        <f>IF('Design Fee'!AJ18&gt;0,"✔","-")</f>
        <v>-</v>
      </c>
      <c r="V18" s="125" t="str">
        <f>IF('Design Fee'!AK18&gt;0,"✔","-")</f>
        <v>-</v>
      </c>
      <c r="W18" s="127"/>
      <c r="X18" s="131" t="str">
        <f>IF('Design Fee'!BE18&gt;0,"✔","-")</f>
        <v>-</v>
      </c>
      <c r="Y18" s="133"/>
      <c r="Z18" s="124" t="str">
        <f>IF('Design Fee'!BJ18&gt;0,"✔","-")</f>
        <v>-</v>
      </c>
      <c r="AA18" s="124" t="str">
        <f>IF('Design Fee'!BK18&gt;0,"✔","-")</f>
        <v>-</v>
      </c>
      <c r="AB18" s="124" t="str">
        <f>IF('Design Fee'!BL18&gt;0,"✔","-")</f>
        <v>-</v>
      </c>
      <c r="AC18" s="124" t="str">
        <f>IF('Design Fee'!BM18&gt;0,"✔","-")</f>
        <v>-</v>
      </c>
      <c r="AD18" s="124" t="str">
        <f>IF('Design Fee'!BN18&gt;0,"✔","-")</f>
        <v>-</v>
      </c>
      <c r="AE18" s="125" t="str">
        <f>IF('Design Fee'!BP18&gt;0,"✔","-")</f>
        <v>-</v>
      </c>
      <c r="AF18" s="125" t="str">
        <f>IF('Design Fee'!BQ18&gt;0,"✔","-")</f>
        <v>-</v>
      </c>
      <c r="AG18" s="125" t="str">
        <f>IF('Design Fee'!BR18&gt;0,"✔","-")</f>
        <v>-</v>
      </c>
      <c r="AH18" s="125" t="str">
        <f>IF('Design Fee'!BS18&gt;0,"✔","-")</f>
        <v>-</v>
      </c>
      <c r="AI18" s="125" t="str">
        <f>IF('Design Fee'!BT18&gt;0,"✔","-")</f>
        <v>-</v>
      </c>
      <c r="AJ18" s="133"/>
      <c r="AK18" s="131" t="str">
        <f>IF('Design Fee'!CN18&gt;0,"✔","-")</f>
        <v>-</v>
      </c>
      <c r="AL18" s="133"/>
      <c r="AM18" s="124" t="str">
        <f>IF('Design Fee'!CS18&gt;0,"✔","-")</f>
        <v>-</v>
      </c>
      <c r="AN18" s="124" t="str">
        <f>IF('Design Fee'!CT18&gt;0,"✔","-")</f>
        <v>-</v>
      </c>
      <c r="AO18" s="124" t="str">
        <f>IF('Design Fee'!CU18&gt;0,"✔","-")</f>
        <v>-</v>
      </c>
      <c r="AP18" s="124" t="str">
        <f>IF('Design Fee'!CV18&gt;0,"✔","-")</f>
        <v>-</v>
      </c>
      <c r="AQ18" s="124" t="str">
        <f>IF('Design Fee'!CW18&gt;0,"✔","-")</f>
        <v>-</v>
      </c>
      <c r="AR18" s="125" t="str">
        <f>IF('Design Fee'!CY18&gt;0,"✔","-")</f>
        <v>-</v>
      </c>
      <c r="AS18" s="125" t="str">
        <f>IF('Design Fee'!CZ18&gt;0,"✔","-")</f>
        <v>-</v>
      </c>
      <c r="AT18" s="125" t="str">
        <f>IF('Design Fee'!DA18&gt;0,"✔","-")</f>
        <v>-</v>
      </c>
      <c r="AU18" s="125" t="str">
        <f>IF('Design Fee'!DB18&gt;0,"✔","-")</f>
        <v>-</v>
      </c>
      <c r="AV18" s="125" t="str">
        <f>IF('Design Fee'!DC18&gt;0,"✔","-")</f>
        <v>-</v>
      </c>
      <c r="AW18" s="127"/>
      <c r="AX18" s="131" t="str">
        <f>IF('Design Fee'!DX18&gt;0,"✔","-")</f>
        <v>-</v>
      </c>
      <c r="AY18" s="133"/>
      <c r="AZ18" s="124" t="str">
        <f>IF('Design Fee'!EC18&gt;0,"✔","-")</f>
        <v>-</v>
      </c>
      <c r="BA18" s="124" t="str">
        <f>IF('Design Fee'!ED18&gt;0,"✔","-")</f>
        <v>-</v>
      </c>
      <c r="BB18" s="124" t="str">
        <f>IF('Design Fee'!EE18&gt;0,"✔","-")</f>
        <v>-</v>
      </c>
      <c r="BC18" s="124" t="str">
        <f>IF('Design Fee'!EF18&gt;0,"✔","-")</f>
        <v>-</v>
      </c>
      <c r="BD18" s="124" t="str">
        <f>IF('Design Fee'!EG18&gt;0,"✔","-")</f>
        <v>-</v>
      </c>
      <c r="BE18" s="125" t="str">
        <f>IF('Design Fee'!EI18&gt;0,"✔","-")</f>
        <v>-</v>
      </c>
      <c r="BF18" s="125" t="str">
        <f>IF('Design Fee'!EJ18&gt;0,"✔","-")</f>
        <v>-</v>
      </c>
      <c r="BG18" s="125" t="str">
        <f>IF('Design Fee'!EK18&gt;0,"✔","-")</f>
        <v>-</v>
      </c>
      <c r="BH18" s="125" t="str">
        <f>IF('Design Fee'!EL18&gt;0,"✔","-")</f>
        <v>-</v>
      </c>
      <c r="BI18" s="125" t="str">
        <f>IF('Design Fee'!EM18&gt;0,"✔","-")</f>
        <v>-</v>
      </c>
      <c r="BJ18" s="86"/>
    </row>
    <row r="19" spans="2:62" ht="12.6" hidden="1" customHeight="1" outlineLevel="2">
      <c r="B19" s="86"/>
      <c r="C19" s="121">
        <v>2</v>
      </c>
      <c r="D19" s="130" t="s">
        <v>26</v>
      </c>
      <c r="E19" s="130"/>
      <c r="F19" s="323"/>
      <c r="G19" s="323"/>
      <c r="H19" s="323"/>
      <c r="I19" s="452"/>
      <c r="J19" s="130"/>
      <c r="K19" s="131" t="str">
        <f>IF('Design Fee'!V19&gt;0,"✔","-")</f>
        <v>-</v>
      </c>
      <c r="L19" s="132"/>
      <c r="M19" s="124" t="str">
        <f>IF('Design Fee'!AA19&gt;0,"✔","-")</f>
        <v>-</v>
      </c>
      <c r="N19" s="124" t="str">
        <f>IF('Design Fee'!AB19&gt;0,"✔","-")</f>
        <v>-</v>
      </c>
      <c r="O19" s="124" t="str">
        <f>IF('Design Fee'!AC19&gt;0,"✔","-")</f>
        <v>-</v>
      </c>
      <c r="P19" s="124" t="str">
        <f>IF('Design Fee'!AD19&gt;0,"✔","-")</f>
        <v>-</v>
      </c>
      <c r="Q19" s="124" t="str">
        <f>IF('Design Fee'!AE19&gt;0,"✔","-")</f>
        <v>-</v>
      </c>
      <c r="R19" s="125" t="str">
        <f>IF('Design Fee'!AG19&gt;0,"✔","-")</f>
        <v>-</v>
      </c>
      <c r="S19" s="125" t="str">
        <f>IF('Design Fee'!AH19&gt;0,"✔","-")</f>
        <v>-</v>
      </c>
      <c r="T19" s="125" t="str">
        <f>IF('Design Fee'!AI19&gt;0,"✔","-")</f>
        <v>-</v>
      </c>
      <c r="U19" s="125" t="str">
        <f>IF('Design Fee'!AJ19&gt;0,"✔","-")</f>
        <v>-</v>
      </c>
      <c r="V19" s="125" t="str">
        <f>IF('Design Fee'!AK19&gt;0,"✔","-")</f>
        <v>-</v>
      </c>
      <c r="W19" s="127"/>
      <c r="X19" s="131" t="str">
        <f>IF('Design Fee'!BE19&gt;0,"✔","-")</f>
        <v>-</v>
      </c>
      <c r="Y19" s="133"/>
      <c r="Z19" s="124" t="str">
        <f>IF('Design Fee'!BJ19&gt;0,"✔","-")</f>
        <v>-</v>
      </c>
      <c r="AA19" s="124" t="str">
        <f>IF('Design Fee'!BK19&gt;0,"✔","-")</f>
        <v>-</v>
      </c>
      <c r="AB19" s="124" t="str">
        <f>IF('Design Fee'!BL19&gt;0,"✔","-")</f>
        <v>-</v>
      </c>
      <c r="AC19" s="124" t="str">
        <f>IF('Design Fee'!BM19&gt;0,"✔","-")</f>
        <v>-</v>
      </c>
      <c r="AD19" s="124" t="str">
        <f>IF('Design Fee'!BN19&gt;0,"✔","-")</f>
        <v>-</v>
      </c>
      <c r="AE19" s="125" t="str">
        <f>IF('Design Fee'!BP19&gt;0,"✔","-")</f>
        <v>-</v>
      </c>
      <c r="AF19" s="125" t="str">
        <f>IF('Design Fee'!BQ19&gt;0,"✔","-")</f>
        <v>-</v>
      </c>
      <c r="AG19" s="125" t="str">
        <f>IF('Design Fee'!BR19&gt;0,"✔","-")</f>
        <v>-</v>
      </c>
      <c r="AH19" s="125" t="str">
        <f>IF('Design Fee'!BS19&gt;0,"✔","-")</f>
        <v>-</v>
      </c>
      <c r="AI19" s="125" t="str">
        <f>IF('Design Fee'!BT19&gt;0,"✔","-")</f>
        <v>-</v>
      </c>
      <c r="AJ19" s="133"/>
      <c r="AK19" s="131" t="str">
        <f>IF('Design Fee'!CN19&gt;0,"✔","-")</f>
        <v>-</v>
      </c>
      <c r="AL19" s="133"/>
      <c r="AM19" s="124" t="str">
        <f>IF('Design Fee'!CS19&gt;0,"✔","-")</f>
        <v>-</v>
      </c>
      <c r="AN19" s="124" t="str">
        <f>IF('Design Fee'!CT19&gt;0,"✔","-")</f>
        <v>-</v>
      </c>
      <c r="AO19" s="124" t="str">
        <f>IF('Design Fee'!CU19&gt;0,"✔","-")</f>
        <v>-</v>
      </c>
      <c r="AP19" s="124" t="str">
        <f>IF('Design Fee'!CV19&gt;0,"✔","-")</f>
        <v>-</v>
      </c>
      <c r="AQ19" s="124" t="str">
        <f>IF('Design Fee'!CW19&gt;0,"✔","-")</f>
        <v>-</v>
      </c>
      <c r="AR19" s="125" t="str">
        <f>IF('Design Fee'!CY19&gt;0,"✔","-")</f>
        <v>-</v>
      </c>
      <c r="AS19" s="125" t="str">
        <f>IF('Design Fee'!CZ19&gt;0,"✔","-")</f>
        <v>-</v>
      </c>
      <c r="AT19" s="125" t="str">
        <f>IF('Design Fee'!DA19&gt;0,"✔","-")</f>
        <v>-</v>
      </c>
      <c r="AU19" s="125" t="str">
        <f>IF('Design Fee'!DB19&gt;0,"✔","-")</f>
        <v>-</v>
      </c>
      <c r="AV19" s="125" t="str">
        <f>IF('Design Fee'!DC19&gt;0,"✔","-")</f>
        <v>-</v>
      </c>
      <c r="AW19" s="127"/>
      <c r="AX19" s="131" t="str">
        <f>IF('Design Fee'!DX19&gt;0,"✔","-")</f>
        <v>-</v>
      </c>
      <c r="AY19" s="133"/>
      <c r="AZ19" s="124" t="str">
        <f>IF('Design Fee'!EC19&gt;0,"✔","-")</f>
        <v>-</v>
      </c>
      <c r="BA19" s="124" t="str">
        <f>IF('Design Fee'!ED19&gt;0,"✔","-")</f>
        <v>-</v>
      </c>
      <c r="BB19" s="124" t="str">
        <f>IF('Design Fee'!EE19&gt;0,"✔","-")</f>
        <v>-</v>
      </c>
      <c r="BC19" s="124" t="str">
        <f>IF('Design Fee'!EF19&gt;0,"✔","-")</f>
        <v>-</v>
      </c>
      <c r="BD19" s="124" t="str">
        <f>IF('Design Fee'!EG19&gt;0,"✔","-")</f>
        <v>-</v>
      </c>
      <c r="BE19" s="125" t="str">
        <f>IF('Design Fee'!EI19&gt;0,"✔","-")</f>
        <v>-</v>
      </c>
      <c r="BF19" s="125" t="str">
        <f>IF('Design Fee'!EJ19&gt;0,"✔","-")</f>
        <v>-</v>
      </c>
      <c r="BG19" s="125" t="str">
        <f>IF('Design Fee'!EK19&gt;0,"✔","-")</f>
        <v>-</v>
      </c>
      <c r="BH19" s="125" t="str">
        <f>IF('Design Fee'!EL19&gt;0,"✔","-")</f>
        <v>-</v>
      </c>
      <c r="BI19" s="125" t="str">
        <f>IF('Design Fee'!EM19&gt;0,"✔","-")</f>
        <v>-</v>
      </c>
      <c r="BJ19" s="86"/>
    </row>
    <row r="20" spans="2:62" ht="12.6" hidden="1" customHeight="1" outlineLevel="2">
      <c r="B20" s="86"/>
      <c r="C20" s="121">
        <v>3</v>
      </c>
      <c r="D20" s="130" t="s">
        <v>27</v>
      </c>
      <c r="E20" s="130"/>
      <c r="F20" s="323"/>
      <c r="G20" s="323"/>
      <c r="H20" s="323"/>
      <c r="I20" s="452"/>
      <c r="J20" s="130"/>
      <c r="K20" s="131" t="str">
        <f>IF('Design Fee'!V20&gt;0,"✔","-")</f>
        <v>-</v>
      </c>
      <c r="L20" s="132"/>
      <c r="M20" s="124" t="str">
        <f>IF('Design Fee'!AA20&gt;0,"✔","-")</f>
        <v>-</v>
      </c>
      <c r="N20" s="124" t="str">
        <f>IF('Design Fee'!AB20&gt;0,"✔","-")</f>
        <v>-</v>
      </c>
      <c r="O20" s="124" t="str">
        <f>IF('Design Fee'!AC20&gt;0,"✔","-")</f>
        <v>-</v>
      </c>
      <c r="P20" s="124" t="str">
        <f>IF('Design Fee'!AD20&gt;0,"✔","-")</f>
        <v>-</v>
      </c>
      <c r="Q20" s="124" t="str">
        <f>IF('Design Fee'!AE20&gt;0,"✔","-")</f>
        <v>-</v>
      </c>
      <c r="R20" s="125" t="str">
        <f>IF('Design Fee'!AG20&gt;0,"✔","-")</f>
        <v>-</v>
      </c>
      <c r="S20" s="125" t="str">
        <f>IF('Design Fee'!AH20&gt;0,"✔","-")</f>
        <v>-</v>
      </c>
      <c r="T20" s="125" t="str">
        <f>IF('Design Fee'!AI20&gt;0,"✔","-")</f>
        <v>-</v>
      </c>
      <c r="U20" s="125" t="str">
        <f>IF('Design Fee'!AJ20&gt;0,"✔","-")</f>
        <v>-</v>
      </c>
      <c r="V20" s="125" t="str">
        <f>IF('Design Fee'!AK20&gt;0,"✔","-")</f>
        <v>-</v>
      </c>
      <c r="W20" s="127"/>
      <c r="X20" s="131" t="str">
        <f>IF('Design Fee'!BE20&gt;0,"✔","-")</f>
        <v>-</v>
      </c>
      <c r="Y20" s="133"/>
      <c r="Z20" s="124" t="str">
        <f>IF('Design Fee'!BJ20&gt;0,"✔","-")</f>
        <v>-</v>
      </c>
      <c r="AA20" s="124" t="str">
        <f>IF('Design Fee'!BK20&gt;0,"✔","-")</f>
        <v>-</v>
      </c>
      <c r="AB20" s="124" t="str">
        <f>IF('Design Fee'!BL20&gt;0,"✔","-")</f>
        <v>-</v>
      </c>
      <c r="AC20" s="124" t="str">
        <f>IF('Design Fee'!BM20&gt;0,"✔","-")</f>
        <v>-</v>
      </c>
      <c r="AD20" s="124" t="str">
        <f>IF('Design Fee'!BN20&gt;0,"✔","-")</f>
        <v>-</v>
      </c>
      <c r="AE20" s="125" t="str">
        <f>IF('Design Fee'!BP20&gt;0,"✔","-")</f>
        <v>-</v>
      </c>
      <c r="AF20" s="125" t="str">
        <f>IF('Design Fee'!BQ20&gt;0,"✔","-")</f>
        <v>-</v>
      </c>
      <c r="AG20" s="125" t="str">
        <f>IF('Design Fee'!BR20&gt;0,"✔","-")</f>
        <v>-</v>
      </c>
      <c r="AH20" s="125" t="str">
        <f>IF('Design Fee'!BS20&gt;0,"✔","-")</f>
        <v>-</v>
      </c>
      <c r="AI20" s="125" t="str">
        <f>IF('Design Fee'!BT20&gt;0,"✔","-")</f>
        <v>-</v>
      </c>
      <c r="AJ20" s="133"/>
      <c r="AK20" s="131" t="str">
        <f>IF('Design Fee'!CN20&gt;0,"✔","-")</f>
        <v>-</v>
      </c>
      <c r="AL20" s="133"/>
      <c r="AM20" s="124" t="str">
        <f>IF('Design Fee'!CS20&gt;0,"✔","-")</f>
        <v>-</v>
      </c>
      <c r="AN20" s="124" t="str">
        <f>IF('Design Fee'!CT20&gt;0,"✔","-")</f>
        <v>-</v>
      </c>
      <c r="AO20" s="124" t="str">
        <f>IF('Design Fee'!CU20&gt;0,"✔","-")</f>
        <v>-</v>
      </c>
      <c r="AP20" s="124" t="str">
        <f>IF('Design Fee'!CV20&gt;0,"✔","-")</f>
        <v>-</v>
      </c>
      <c r="AQ20" s="124" t="str">
        <f>IF('Design Fee'!CW20&gt;0,"✔","-")</f>
        <v>-</v>
      </c>
      <c r="AR20" s="125" t="str">
        <f>IF('Design Fee'!CY20&gt;0,"✔","-")</f>
        <v>-</v>
      </c>
      <c r="AS20" s="125" t="str">
        <f>IF('Design Fee'!CZ20&gt;0,"✔","-")</f>
        <v>-</v>
      </c>
      <c r="AT20" s="125" t="str">
        <f>IF('Design Fee'!DA20&gt;0,"✔","-")</f>
        <v>-</v>
      </c>
      <c r="AU20" s="125" t="str">
        <f>IF('Design Fee'!DB20&gt;0,"✔","-")</f>
        <v>-</v>
      </c>
      <c r="AV20" s="125" t="str">
        <f>IF('Design Fee'!DC20&gt;0,"✔","-")</f>
        <v>-</v>
      </c>
      <c r="AW20" s="127"/>
      <c r="AX20" s="131" t="str">
        <f>IF('Design Fee'!DX20&gt;0,"✔","-")</f>
        <v>-</v>
      </c>
      <c r="AY20" s="133"/>
      <c r="AZ20" s="124" t="str">
        <f>IF('Design Fee'!EC20&gt;0,"✔","-")</f>
        <v>-</v>
      </c>
      <c r="BA20" s="124" t="str">
        <f>IF('Design Fee'!ED20&gt;0,"✔","-")</f>
        <v>-</v>
      </c>
      <c r="BB20" s="124" t="str">
        <f>IF('Design Fee'!EE20&gt;0,"✔","-")</f>
        <v>-</v>
      </c>
      <c r="BC20" s="124" t="str">
        <f>IF('Design Fee'!EF20&gt;0,"✔","-")</f>
        <v>-</v>
      </c>
      <c r="BD20" s="124" t="str">
        <f>IF('Design Fee'!EG20&gt;0,"✔","-")</f>
        <v>-</v>
      </c>
      <c r="BE20" s="125" t="str">
        <f>IF('Design Fee'!EI20&gt;0,"✔","-")</f>
        <v>-</v>
      </c>
      <c r="BF20" s="125" t="str">
        <f>IF('Design Fee'!EJ20&gt;0,"✔","-")</f>
        <v>-</v>
      </c>
      <c r="BG20" s="125" t="str">
        <f>IF('Design Fee'!EK20&gt;0,"✔","-")</f>
        <v>-</v>
      </c>
      <c r="BH20" s="125" t="str">
        <f>IF('Design Fee'!EL20&gt;0,"✔","-")</f>
        <v>-</v>
      </c>
      <c r="BI20" s="125" t="str">
        <f>IF('Design Fee'!EM20&gt;0,"✔","-")</f>
        <v>-</v>
      </c>
      <c r="BJ20" s="86"/>
    </row>
    <row r="21" spans="2:62" ht="12.6" hidden="1" customHeight="1" outlineLevel="2">
      <c r="B21" s="86"/>
      <c r="C21" s="121">
        <v>4</v>
      </c>
      <c r="D21" s="130" t="s">
        <v>28</v>
      </c>
      <c r="E21" s="130"/>
      <c r="F21" s="323"/>
      <c r="G21" s="323"/>
      <c r="H21" s="323"/>
      <c r="I21" s="452"/>
      <c r="J21" s="130"/>
      <c r="K21" s="131" t="str">
        <f>IF('Design Fee'!V21&gt;0,"✔","-")</f>
        <v>-</v>
      </c>
      <c r="L21" s="132"/>
      <c r="M21" s="124" t="str">
        <f>IF('Design Fee'!AA21&gt;0,"✔","-")</f>
        <v>-</v>
      </c>
      <c r="N21" s="124" t="str">
        <f>IF('Design Fee'!AB21&gt;0,"✔","-")</f>
        <v>-</v>
      </c>
      <c r="O21" s="124" t="str">
        <f>IF('Design Fee'!AC21&gt;0,"✔","-")</f>
        <v>-</v>
      </c>
      <c r="P21" s="124" t="str">
        <f>IF('Design Fee'!AD21&gt;0,"✔","-")</f>
        <v>-</v>
      </c>
      <c r="Q21" s="124" t="str">
        <f>IF('Design Fee'!AE21&gt;0,"✔","-")</f>
        <v>-</v>
      </c>
      <c r="R21" s="125" t="str">
        <f>IF('Design Fee'!AG21&gt;0,"✔","-")</f>
        <v>-</v>
      </c>
      <c r="S21" s="125" t="str">
        <f>IF('Design Fee'!AH21&gt;0,"✔","-")</f>
        <v>-</v>
      </c>
      <c r="T21" s="125" t="str">
        <f>IF('Design Fee'!AI21&gt;0,"✔","-")</f>
        <v>-</v>
      </c>
      <c r="U21" s="125" t="str">
        <f>IF('Design Fee'!AJ21&gt;0,"✔","-")</f>
        <v>-</v>
      </c>
      <c r="V21" s="125" t="str">
        <f>IF('Design Fee'!AK21&gt;0,"✔","-")</f>
        <v>-</v>
      </c>
      <c r="W21" s="127"/>
      <c r="X21" s="131" t="str">
        <f>IF('Design Fee'!BE21&gt;0,"✔","-")</f>
        <v>-</v>
      </c>
      <c r="Y21" s="133"/>
      <c r="Z21" s="124" t="str">
        <f>IF('Design Fee'!BJ21&gt;0,"✔","-")</f>
        <v>-</v>
      </c>
      <c r="AA21" s="124" t="str">
        <f>IF('Design Fee'!BK21&gt;0,"✔","-")</f>
        <v>-</v>
      </c>
      <c r="AB21" s="124" t="str">
        <f>IF('Design Fee'!BL21&gt;0,"✔","-")</f>
        <v>-</v>
      </c>
      <c r="AC21" s="124" t="str">
        <f>IF('Design Fee'!BM21&gt;0,"✔","-")</f>
        <v>-</v>
      </c>
      <c r="AD21" s="124" t="str">
        <f>IF('Design Fee'!BN21&gt;0,"✔","-")</f>
        <v>-</v>
      </c>
      <c r="AE21" s="125" t="str">
        <f>IF('Design Fee'!BP21&gt;0,"✔","-")</f>
        <v>-</v>
      </c>
      <c r="AF21" s="125" t="str">
        <f>IF('Design Fee'!BQ21&gt;0,"✔","-")</f>
        <v>-</v>
      </c>
      <c r="AG21" s="125" t="str">
        <f>IF('Design Fee'!BR21&gt;0,"✔","-")</f>
        <v>-</v>
      </c>
      <c r="AH21" s="125" t="str">
        <f>IF('Design Fee'!BS21&gt;0,"✔","-")</f>
        <v>-</v>
      </c>
      <c r="AI21" s="125" t="str">
        <f>IF('Design Fee'!BT21&gt;0,"✔","-")</f>
        <v>-</v>
      </c>
      <c r="AJ21" s="133"/>
      <c r="AK21" s="131" t="str">
        <f>IF('Design Fee'!CN21&gt;0,"✔","-")</f>
        <v>-</v>
      </c>
      <c r="AL21" s="133"/>
      <c r="AM21" s="124" t="str">
        <f>IF('Design Fee'!CS21&gt;0,"✔","-")</f>
        <v>-</v>
      </c>
      <c r="AN21" s="124" t="str">
        <f>IF('Design Fee'!CT21&gt;0,"✔","-")</f>
        <v>-</v>
      </c>
      <c r="AO21" s="124" t="str">
        <f>IF('Design Fee'!CU21&gt;0,"✔","-")</f>
        <v>-</v>
      </c>
      <c r="AP21" s="124" t="str">
        <f>IF('Design Fee'!CV21&gt;0,"✔","-")</f>
        <v>-</v>
      </c>
      <c r="AQ21" s="124" t="str">
        <f>IF('Design Fee'!CW21&gt;0,"✔","-")</f>
        <v>-</v>
      </c>
      <c r="AR21" s="125" t="str">
        <f>IF('Design Fee'!CY21&gt;0,"✔","-")</f>
        <v>-</v>
      </c>
      <c r="AS21" s="125" t="str">
        <f>IF('Design Fee'!CZ21&gt;0,"✔","-")</f>
        <v>-</v>
      </c>
      <c r="AT21" s="125" t="str">
        <f>IF('Design Fee'!DA21&gt;0,"✔","-")</f>
        <v>-</v>
      </c>
      <c r="AU21" s="125" t="str">
        <f>IF('Design Fee'!DB21&gt;0,"✔","-")</f>
        <v>-</v>
      </c>
      <c r="AV21" s="125" t="str">
        <f>IF('Design Fee'!DC21&gt;0,"✔","-")</f>
        <v>-</v>
      </c>
      <c r="AW21" s="127"/>
      <c r="AX21" s="131" t="str">
        <f>IF('Design Fee'!DX21&gt;0,"✔","-")</f>
        <v>-</v>
      </c>
      <c r="AY21" s="133"/>
      <c r="AZ21" s="124" t="str">
        <f>IF('Design Fee'!EC21&gt;0,"✔","-")</f>
        <v>-</v>
      </c>
      <c r="BA21" s="124" t="str">
        <f>IF('Design Fee'!ED21&gt;0,"✔","-")</f>
        <v>-</v>
      </c>
      <c r="BB21" s="124" t="str">
        <f>IF('Design Fee'!EE21&gt;0,"✔","-")</f>
        <v>-</v>
      </c>
      <c r="BC21" s="124" t="str">
        <f>IF('Design Fee'!EF21&gt;0,"✔","-")</f>
        <v>-</v>
      </c>
      <c r="BD21" s="124" t="str">
        <f>IF('Design Fee'!EG21&gt;0,"✔","-")</f>
        <v>-</v>
      </c>
      <c r="BE21" s="125" t="str">
        <f>IF('Design Fee'!EI21&gt;0,"✔","-")</f>
        <v>-</v>
      </c>
      <c r="BF21" s="125" t="str">
        <f>IF('Design Fee'!EJ21&gt;0,"✔","-")</f>
        <v>-</v>
      </c>
      <c r="BG21" s="125" t="str">
        <f>IF('Design Fee'!EK21&gt;0,"✔","-")</f>
        <v>-</v>
      </c>
      <c r="BH21" s="125" t="str">
        <f>IF('Design Fee'!EL21&gt;0,"✔","-")</f>
        <v>-</v>
      </c>
      <c r="BI21" s="125" t="str">
        <f>IF('Design Fee'!EM21&gt;0,"✔","-")</f>
        <v>-</v>
      </c>
      <c r="BJ21" s="86"/>
    </row>
    <row r="22" spans="2:62" ht="3" hidden="1" customHeight="1" outlineLevel="1">
      <c r="B22" s="86"/>
      <c r="C22" s="134"/>
      <c r="F22" s="322"/>
      <c r="G22" s="322"/>
      <c r="H22" s="322"/>
      <c r="I22" s="451"/>
      <c r="J22" s="76"/>
      <c r="K22" s="129"/>
      <c r="L22" s="123"/>
      <c r="M22" s="135"/>
      <c r="N22" s="135"/>
      <c r="O22" s="135"/>
      <c r="P22" s="135"/>
      <c r="Q22" s="135"/>
      <c r="R22" s="111"/>
      <c r="S22" s="111"/>
      <c r="T22" s="111"/>
      <c r="U22" s="111"/>
      <c r="V22" s="111"/>
      <c r="W22" s="136"/>
      <c r="X22" s="129"/>
      <c r="Y22" s="128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28"/>
      <c r="AK22" s="129"/>
      <c r="AL22" s="128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36"/>
      <c r="AX22" s="129"/>
      <c r="AY22" s="128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86"/>
    </row>
    <row r="23" spans="2:62" ht="11.85" hidden="1" customHeight="1" outlineLevel="1">
      <c r="B23" s="86"/>
      <c r="C23" s="114">
        <v>3</v>
      </c>
      <c r="D23" s="115" t="s">
        <v>29</v>
      </c>
      <c r="E23" s="321"/>
      <c r="F23" s="439">
        <f>COUNTIF('Design Fee'!V23,"&gt;0")+COUNTIF('Design Fee'!BE23,"&gt;0")+COUNTIF('Design Fee'!CN23,"&gt;0")+COUNTIF('Design Fee'!DZ23,"&gt;0")</f>
        <v>4</v>
      </c>
      <c r="G23" s="439">
        <f>COUNTIF('Design Fee'!Y23,"&gt;0")+COUNTIF('Design Fee'!BH23,"&gt;0")+COUNTIF('Design Fee'!CQ23,"&gt;0")+COUNTIF('Design Fee'!EA23,"&gt;0")</f>
        <v>4</v>
      </c>
      <c r="H23" s="439">
        <f>COUNTIF('Design Fee'!Z23,"&gt;0")+COUNTIF('Design Fee'!BI23,"&gt;0")+COUNTIF('Design Fee'!CR23,"&gt;0")+COUNTIF('Design Fee'!EB23,"&gt;0")</f>
        <v>4</v>
      </c>
      <c r="I23" s="450">
        <f>F23-G23</f>
        <v>0</v>
      </c>
      <c r="J23" s="116"/>
      <c r="K23" s="117" t="str">
        <f>IF('Design Fee'!V23&gt;0,"✔","-")</f>
        <v>✔</v>
      </c>
      <c r="L23" s="117"/>
      <c r="M23" s="118" t="str">
        <f>IF('Design Fee'!AA23&gt;0,"✔","-")</f>
        <v>-</v>
      </c>
      <c r="N23" s="118" t="str">
        <f>IF('Design Fee'!AB23&gt;0,"✔","-")</f>
        <v>-</v>
      </c>
      <c r="O23" s="118" t="str">
        <f>IF('Design Fee'!AC23&gt;0,"✔","-")</f>
        <v>-</v>
      </c>
      <c r="P23" s="118" t="str">
        <f>IF('Design Fee'!AD23&gt;0,"✔","-")</f>
        <v>-</v>
      </c>
      <c r="Q23" s="118" t="str">
        <f>IF('Design Fee'!AE23&gt;0,"✔","-")</f>
        <v>-</v>
      </c>
      <c r="R23" s="119" t="str">
        <f>IF('Design Fee'!AG23&gt;0,"✔","-")</f>
        <v>-</v>
      </c>
      <c r="S23" s="119" t="str">
        <f>IF('Design Fee'!AH23&gt;0,"✔","-")</f>
        <v>-</v>
      </c>
      <c r="T23" s="137" t="str">
        <f>IF('Design Fee'!AI23&gt;0,"✔","-")</f>
        <v>-</v>
      </c>
      <c r="U23" s="137" t="str">
        <f>IF('Design Fee'!AJ23&gt;0,"✔","-")</f>
        <v>-</v>
      </c>
      <c r="V23" s="137" t="str">
        <f>IF('Design Fee'!AK23&gt;0,"✔","-")</f>
        <v>-</v>
      </c>
      <c r="W23" s="120"/>
      <c r="X23" s="117" t="str">
        <f>IF('Design Fee'!BE23&gt;0,"✔","-")</f>
        <v>✔</v>
      </c>
      <c r="Y23" s="117"/>
      <c r="Z23" s="118" t="str">
        <f>IF('Design Fee'!BJ23&gt;0,"✔","-")</f>
        <v>-</v>
      </c>
      <c r="AA23" s="118" t="str">
        <f>IF('Design Fee'!BK23&gt;0,"✔","-")</f>
        <v>-</v>
      </c>
      <c r="AB23" s="118" t="str">
        <f>IF('Design Fee'!BL23&gt;0,"✔","-")</f>
        <v>-</v>
      </c>
      <c r="AC23" s="118" t="str">
        <f>IF('Design Fee'!BM23&gt;0,"✔","-")</f>
        <v>-</v>
      </c>
      <c r="AD23" s="118" t="str">
        <f>IF('Design Fee'!BN23&gt;0,"✔","-")</f>
        <v>-</v>
      </c>
      <c r="AE23" s="119" t="str">
        <f>IF('Design Fee'!BP23&gt;0,"✔","-")</f>
        <v>-</v>
      </c>
      <c r="AF23" s="119" t="str">
        <f>IF('Design Fee'!BQ23&gt;0,"✔","-")</f>
        <v>-</v>
      </c>
      <c r="AG23" s="137" t="str">
        <f>IF('Design Fee'!BR23&gt;0,"✔","-")</f>
        <v>-</v>
      </c>
      <c r="AH23" s="137" t="str">
        <f>IF('Design Fee'!BS23&gt;0,"✔","-")</f>
        <v>-</v>
      </c>
      <c r="AI23" s="137" t="str">
        <f>IF('Design Fee'!BT23&gt;0,"✔","-")</f>
        <v>-</v>
      </c>
      <c r="AJ23" s="117"/>
      <c r="AK23" s="117" t="str">
        <f>IF('Design Fee'!CN23&gt;0,"✔","-")</f>
        <v>✔</v>
      </c>
      <c r="AL23" s="117"/>
      <c r="AM23" s="118" t="str">
        <f>IF('Design Fee'!CS23&gt;0,"✔","-")</f>
        <v>-</v>
      </c>
      <c r="AN23" s="118" t="str">
        <f>IF('Design Fee'!CT23&gt;0,"✔","-")</f>
        <v>-</v>
      </c>
      <c r="AO23" s="118" t="str">
        <f>IF('Design Fee'!CU23&gt;0,"✔","-")</f>
        <v>-</v>
      </c>
      <c r="AP23" s="118" t="str">
        <f>IF('Design Fee'!CV23&gt;0,"✔","-")</f>
        <v>-</v>
      </c>
      <c r="AQ23" s="118" t="str">
        <f>IF('Design Fee'!CW23&gt;0,"✔","-")</f>
        <v>-</v>
      </c>
      <c r="AR23" s="119" t="str">
        <f>IF('Design Fee'!CY23&gt;0,"✔","-")</f>
        <v>-</v>
      </c>
      <c r="AS23" s="119" t="str">
        <f>IF('Design Fee'!CZ23&gt;0,"✔","-")</f>
        <v>-</v>
      </c>
      <c r="AT23" s="137" t="str">
        <f>IF('Design Fee'!DA23&gt;0,"✔","-")</f>
        <v>-</v>
      </c>
      <c r="AU23" s="137" t="str">
        <f>IF('Design Fee'!DB23&gt;0,"✔","-")</f>
        <v>-</v>
      </c>
      <c r="AV23" s="137" t="str">
        <f>IF('Design Fee'!DC23&gt;0,"✔","-")</f>
        <v>-</v>
      </c>
      <c r="AW23" s="120"/>
      <c r="AX23" s="117" t="str">
        <f>IF('Design Fee'!DX23&gt;0,"✔","-")</f>
        <v>✔</v>
      </c>
      <c r="AY23" s="117"/>
      <c r="AZ23" s="118" t="str">
        <f>IF('Design Fee'!EC23&gt;0,"✔","-")</f>
        <v>-</v>
      </c>
      <c r="BA23" s="118" t="str">
        <f>IF('Design Fee'!ED23&gt;0,"✔","-")</f>
        <v>-</v>
      </c>
      <c r="BB23" s="118" t="str">
        <f>IF('Design Fee'!EE23&gt;0,"✔","-")</f>
        <v>-</v>
      </c>
      <c r="BC23" s="118" t="str">
        <f>IF('Design Fee'!EF23&gt;0,"✔","-")</f>
        <v>-</v>
      </c>
      <c r="BD23" s="118" t="str">
        <f>IF('Design Fee'!EG23&gt;0,"✔","-")</f>
        <v>-</v>
      </c>
      <c r="BE23" s="119" t="str">
        <f>IF('Design Fee'!EI23&gt;0,"✔","-")</f>
        <v>-</v>
      </c>
      <c r="BF23" s="119" t="str">
        <f>IF('Design Fee'!EJ23&gt;0,"✔","-")</f>
        <v>-</v>
      </c>
      <c r="BG23" s="137" t="str">
        <f>IF('Design Fee'!EK23&gt;0,"✔","-")</f>
        <v>-</v>
      </c>
      <c r="BH23" s="137" t="str">
        <f>IF('Design Fee'!EL23&gt;0,"✔","-")</f>
        <v>-</v>
      </c>
      <c r="BI23" s="137" t="str">
        <f>IF('Design Fee'!EM23&gt;0,"✔","-")</f>
        <v>-</v>
      </c>
      <c r="BJ23" s="86"/>
    </row>
    <row r="24" spans="2:62" ht="12.6" hidden="1" customHeight="1" outlineLevel="2">
      <c r="B24" s="86"/>
      <c r="C24" s="121">
        <v>1</v>
      </c>
      <c r="D24" s="130" t="s">
        <v>25</v>
      </c>
      <c r="E24" s="130"/>
      <c r="F24" s="323"/>
      <c r="G24" s="323"/>
      <c r="H24" s="323"/>
      <c r="I24" s="452"/>
      <c r="J24" s="76"/>
      <c r="K24" s="129" t="str">
        <f>IF('Design Fee'!V24&gt;0,"✔","-")</f>
        <v>-</v>
      </c>
      <c r="L24" s="123"/>
      <c r="M24" s="124" t="str">
        <f>IF('Design Fee'!AA24&gt;0,"✔","-")</f>
        <v>-</v>
      </c>
      <c r="N24" s="124" t="str">
        <f>IF('Design Fee'!AB24&gt;0,"✔","-")</f>
        <v>-</v>
      </c>
      <c r="O24" s="124" t="str">
        <f>IF('Design Fee'!AC24&gt;0,"✔","-")</f>
        <v>-</v>
      </c>
      <c r="P24" s="124" t="str">
        <f>IF('Design Fee'!AD24&gt;0,"✔","-")</f>
        <v>-</v>
      </c>
      <c r="Q24" s="124" t="str">
        <f>IF('Design Fee'!AE24&gt;0,"✔","-")</f>
        <v>-</v>
      </c>
      <c r="R24" s="125" t="str">
        <f>IF('Design Fee'!AG24&gt;0,"✔","-")</f>
        <v>-</v>
      </c>
      <c r="S24" s="125" t="str">
        <f>IF('Design Fee'!AH24&gt;0,"✔","-")</f>
        <v>-</v>
      </c>
      <c r="T24" s="125" t="str">
        <f>IF('Design Fee'!AI24&gt;0,"✔","-")</f>
        <v>-</v>
      </c>
      <c r="U24" s="125" t="str">
        <f>IF('Design Fee'!AJ24&gt;0,"✔","-")</f>
        <v>-</v>
      </c>
      <c r="V24" s="125" t="str">
        <f>IF('Design Fee'!AK24&gt;0,"✔","-")</f>
        <v>-</v>
      </c>
      <c r="W24" s="127"/>
      <c r="X24" s="129" t="str">
        <f>IF('Design Fee'!BE24&gt;0,"✔","-")</f>
        <v>-</v>
      </c>
      <c r="Y24" s="128"/>
      <c r="Z24" s="124" t="str">
        <f>IF('Design Fee'!BJ24&gt;0,"✔","-")</f>
        <v>-</v>
      </c>
      <c r="AA24" s="124" t="str">
        <f>IF('Design Fee'!BK24&gt;0,"✔","-")</f>
        <v>-</v>
      </c>
      <c r="AB24" s="124" t="str">
        <f>IF('Design Fee'!BL24&gt;0,"✔","-")</f>
        <v>-</v>
      </c>
      <c r="AC24" s="124" t="str">
        <f>IF('Design Fee'!BM24&gt;0,"✔","-")</f>
        <v>-</v>
      </c>
      <c r="AD24" s="124" t="str">
        <f>IF('Design Fee'!BN24&gt;0,"✔","-")</f>
        <v>-</v>
      </c>
      <c r="AE24" s="125" t="str">
        <f>IF('Design Fee'!BP24&gt;0,"✔","-")</f>
        <v>-</v>
      </c>
      <c r="AF24" s="125" t="str">
        <f>IF('Design Fee'!BQ24&gt;0,"✔","-")</f>
        <v>-</v>
      </c>
      <c r="AG24" s="125" t="str">
        <f>IF('Design Fee'!BR24&gt;0,"✔","-")</f>
        <v>-</v>
      </c>
      <c r="AH24" s="125" t="str">
        <f>IF('Design Fee'!BS24&gt;0,"✔","-")</f>
        <v>-</v>
      </c>
      <c r="AI24" s="125" t="str">
        <f>IF('Design Fee'!BT24&gt;0,"✔","-")</f>
        <v>-</v>
      </c>
      <c r="AJ24" s="128"/>
      <c r="AK24" s="129" t="str">
        <f>IF('Design Fee'!CN24&gt;0,"✔","-")</f>
        <v>-</v>
      </c>
      <c r="AL24" s="128"/>
      <c r="AM24" s="124" t="str">
        <f>IF('Design Fee'!CS24&gt;0,"✔","-")</f>
        <v>-</v>
      </c>
      <c r="AN24" s="124" t="str">
        <f>IF('Design Fee'!CT24&gt;0,"✔","-")</f>
        <v>-</v>
      </c>
      <c r="AO24" s="124" t="str">
        <f>IF('Design Fee'!CU24&gt;0,"✔","-")</f>
        <v>-</v>
      </c>
      <c r="AP24" s="124" t="str">
        <f>IF('Design Fee'!CV24&gt;0,"✔","-")</f>
        <v>-</v>
      </c>
      <c r="AQ24" s="124" t="str">
        <f>IF('Design Fee'!CW24&gt;0,"✔","-")</f>
        <v>-</v>
      </c>
      <c r="AR24" s="125" t="str">
        <f>IF('Design Fee'!CY24&gt;0,"✔","-")</f>
        <v>-</v>
      </c>
      <c r="AS24" s="125" t="str">
        <f>IF('Design Fee'!CZ24&gt;0,"✔","-")</f>
        <v>-</v>
      </c>
      <c r="AT24" s="125" t="str">
        <f>IF('Design Fee'!DA24&gt;0,"✔","-")</f>
        <v>-</v>
      </c>
      <c r="AU24" s="125" t="str">
        <f>IF('Design Fee'!DB24&gt;0,"✔","-")</f>
        <v>-</v>
      </c>
      <c r="AV24" s="125" t="str">
        <f>IF('Design Fee'!DC24&gt;0,"✔","-")</f>
        <v>-</v>
      </c>
      <c r="AW24" s="127"/>
      <c r="AX24" s="129" t="str">
        <f>IF('Design Fee'!DX24&gt;0,"✔","-")</f>
        <v>-</v>
      </c>
      <c r="AY24" s="128"/>
      <c r="AZ24" s="124" t="str">
        <f>IF('Design Fee'!EC24&gt;0,"✔","-")</f>
        <v>-</v>
      </c>
      <c r="BA24" s="124" t="str">
        <f>IF('Design Fee'!ED24&gt;0,"✔","-")</f>
        <v>-</v>
      </c>
      <c r="BB24" s="124" t="str">
        <f>IF('Design Fee'!EE24&gt;0,"✔","-")</f>
        <v>-</v>
      </c>
      <c r="BC24" s="124" t="str">
        <f>IF('Design Fee'!EF24&gt;0,"✔","-")</f>
        <v>-</v>
      </c>
      <c r="BD24" s="124" t="str">
        <f>IF('Design Fee'!EG24&gt;0,"✔","-")</f>
        <v>-</v>
      </c>
      <c r="BE24" s="125" t="str">
        <f>IF('Design Fee'!EI24&gt;0,"✔","-")</f>
        <v>-</v>
      </c>
      <c r="BF24" s="125" t="str">
        <f>IF('Design Fee'!EJ24&gt;0,"✔","-")</f>
        <v>-</v>
      </c>
      <c r="BG24" s="125" t="str">
        <f>IF('Design Fee'!EK24&gt;0,"✔","-")</f>
        <v>-</v>
      </c>
      <c r="BH24" s="125" t="str">
        <f>IF('Design Fee'!EL24&gt;0,"✔","-")</f>
        <v>-</v>
      </c>
      <c r="BI24" s="125" t="str">
        <f>IF('Design Fee'!EM24&gt;0,"✔","-")</f>
        <v>-</v>
      </c>
      <c r="BJ24" s="86"/>
    </row>
    <row r="25" spans="2:62" ht="12.6" hidden="1" customHeight="1" outlineLevel="2">
      <c r="B25" s="86"/>
      <c r="C25" s="121">
        <v>2</v>
      </c>
      <c r="D25" s="130" t="s">
        <v>30</v>
      </c>
      <c r="E25" s="130"/>
      <c r="F25" s="323"/>
      <c r="G25" s="323"/>
      <c r="H25" s="323"/>
      <c r="I25" s="452"/>
      <c r="J25" s="76"/>
      <c r="K25" s="129" t="str">
        <f>IF('Design Fee'!V25&gt;0,"✔","-")</f>
        <v>-</v>
      </c>
      <c r="L25" s="123"/>
      <c r="M25" s="124" t="str">
        <f>IF('Design Fee'!AA25&gt;0,"✔","-")</f>
        <v>-</v>
      </c>
      <c r="N25" s="124" t="str">
        <f>IF('Design Fee'!AB25&gt;0,"✔","-")</f>
        <v>-</v>
      </c>
      <c r="O25" s="124" t="str">
        <f>IF('Design Fee'!AC25&gt;0,"✔","-")</f>
        <v>-</v>
      </c>
      <c r="P25" s="124" t="str">
        <f>IF('Design Fee'!AD25&gt;0,"✔","-")</f>
        <v>-</v>
      </c>
      <c r="Q25" s="124" t="str">
        <f>IF('Design Fee'!AE25&gt;0,"✔","-")</f>
        <v>-</v>
      </c>
      <c r="R25" s="125" t="str">
        <f>IF('Design Fee'!AG25&gt;0,"✔","-")</f>
        <v>-</v>
      </c>
      <c r="S25" s="125" t="str">
        <f>IF('Design Fee'!AH25&gt;0,"✔","-")</f>
        <v>-</v>
      </c>
      <c r="T25" s="125" t="str">
        <f>IF('Design Fee'!AI25&gt;0,"✔","-")</f>
        <v>-</v>
      </c>
      <c r="U25" s="125" t="str">
        <f>IF('Design Fee'!AJ25&gt;0,"✔","-")</f>
        <v>-</v>
      </c>
      <c r="V25" s="125" t="str">
        <f>IF('Design Fee'!AK25&gt;0,"✔","-")</f>
        <v>-</v>
      </c>
      <c r="W25" s="127"/>
      <c r="X25" s="129" t="str">
        <f>IF('Design Fee'!BE25&gt;0,"✔","-")</f>
        <v>-</v>
      </c>
      <c r="Y25" s="128"/>
      <c r="Z25" s="124" t="str">
        <f>IF('Design Fee'!BJ25&gt;0,"✔","-")</f>
        <v>-</v>
      </c>
      <c r="AA25" s="124" t="str">
        <f>IF('Design Fee'!BK25&gt;0,"✔","-")</f>
        <v>-</v>
      </c>
      <c r="AB25" s="124" t="str">
        <f>IF('Design Fee'!BL25&gt;0,"✔","-")</f>
        <v>-</v>
      </c>
      <c r="AC25" s="124" t="str">
        <f>IF('Design Fee'!BM25&gt;0,"✔","-")</f>
        <v>-</v>
      </c>
      <c r="AD25" s="124" t="str">
        <f>IF('Design Fee'!BN25&gt;0,"✔","-")</f>
        <v>-</v>
      </c>
      <c r="AE25" s="125" t="str">
        <f>IF('Design Fee'!BP25&gt;0,"✔","-")</f>
        <v>-</v>
      </c>
      <c r="AF25" s="125" t="str">
        <f>IF('Design Fee'!BQ25&gt;0,"✔","-")</f>
        <v>-</v>
      </c>
      <c r="AG25" s="125" t="str">
        <f>IF('Design Fee'!BR25&gt;0,"✔","-")</f>
        <v>-</v>
      </c>
      <c r="AH25" s="125" t="str">
        <f>IF('Design Fee'!BS25&gt;0,"✔","-")</f>
        <v>-</v>
      </c>
      <c r="AI25" s="125" t="str">
        <f>IF('Design Fee'!BT25&gt;0,"✔","-")</f>
        <v>-</v>
      </c>
      <c r="AJ25" s="128"/>
      <c r="AK25" s="129" t="str">
        <f>IF('Design Fee'!CN25&gt;0,"✔","-")</f>
        <v>-</v>
      </c>
      <c r="AL25" s="128"/>
      <c r="AM25" s="124" t="str">
        <f>IF('Design Fee'!CS25&gt;0,"✔","-")</f>
        <v>-</v>
      </c>
      <c r="AN25" s="124" t="str">
        <f>IF('Design Fee'!CT25&gt;0,"✔","-")</f>
        <v>-</v>
      </c>
      <c r="AO25" s="124" t="str">
        <f>IF('Design Fee'!CU25&gt;0,"✔","-")</f>
        <v>-</v>
      </c>
      <c r="AP25" s="124" t="str">
        <f>IF('Design Fee'!CV25&gt;0,"✔","-")</f>
        <v>-</v>
      </c>
      <c r="AQ25" s="124" t="str">
        <f>IF('Design Fee'!CW25&gt;0,"✔","-")</f>
        <v>-</v>
      </c>
      <c r="AR25" s="125" t="str">
        <f>IF('Design Fee'!CY25&gt;0,"✔","-")</f>
        <v>-</v>
      </c>
      <c r="AS25" s="125" t="str">
        <f>IF('Design Fee'!CZ25&gt;0,"✔","-")</f>
        <v>-</v>
      </c>
      <c r="AT25" s="125" t="str">
        <f>IF('Design Fee'!DA25&gt;0,"✔","-")</f>
        <v>-</v>
      </c>
      <c r="AU25" s="125" t="str">
        <f>IF('Design Fee'!DB25&gt;0,"✔","-")</f>
        <v>-</v>
      </c>
      <c r="AV25" s="125" t="str">
        <f>IF('Design Fee'!DC25&gt;0,"✔","-")</f>
        <v>-</v>
      </c>
      <c r="AW25" s="127"/>
      <c r="AX25" s="129" t="str">
        <f>IF('Design Fee'!DX25&gt;0,"✔","-")</f>
        <v>-</v>
      </c>
      <c r="AY25" s="128"/>
      <c r="AZ25" s="124" t="str">
        <f>IF('Design Fee'!EC25&gt;0,"✔","-")</f>
        <v>-</v>
      </c>
      <c r="BA25" s="124" t="str">
        <f>IF('Design Fee'!ED25&gt;0,"✔","-")</f>
        <v>-</v>
      </c>
      <c r="BB25" s="124" t="str">
        <f>IF('Design Fee'!EE25&gt;0,"✔","-")</f>
        <v>-</v>
      </c>
      <c r="BC25" s="124" t="str">
        <f>IF('Design Fee'!EF25&gt;0,"✔","-")</f>
        <v>-</v>
      </c>
      <c r="BD25" s="124" t="str">
        <f>IF('Design Fee'!EG25&gt;0,"✔","-")</f>
        <v>-</v>
      </c>
      <c r="BE25" s="125" t="str">
        <f>IF('Design Fee'!EI25&gt;0,"✔","-")</f>
        <v>-</v>
      </c>
      <c r="BF25" s="125" t="str">
        <f>IF('Design Fee'!EJ25&gt;0,"✔","-")</f>
        <v>-</v>
      </c>
      <c r="BG25" s="125" t="str">
        <f>IF('Design Fee'!EK25&gt;0,"✔","-")</f>
        <v>-</v>
      </c>
      <c r="BH25" s="125" t="str">
        <f>IF('Design Fee'!EL25&gt;0,"✔","-")</f>
        <v>-</v>
      </c>
      <c r="BI25" s="125" t="str">
        <f>IF('Design Fee'!EM25&gt;0,"✔","-")</f>
        <v>-</v>
      </c>
      <c r="BJ25" s="86"/>
    </row>
    <row r="26" spans="2:62" ht="12.6" hidden="1" customHeight="1" outlineLevel="2">
      <c r="B26" s="86"/>
      <c r="C26" s="121">
        <v>3</v>
      </c>
      <c r="D26" s="130" t="s">
        <v>31</v>
      </c>
      <c r="E26" s="130"/>
      <c r="F26" s="323"/>
      <c r="G26" s="323"/>
      <c r="H26" s="323"/>
      <c r="I26" s="452"/>
      <c r="J26" s="76"/>
      <c r="K26" s="129" t="str">
        <f>IF('Design Fee'!V26&gt;0,"✔","-")</f>
        <v>-</v>
      </c>
      <c r="L26" s="123"/>
      <c r="M26" s="124" t="str">
        <f>IF('Design Fee'!AA26&gt;0,"✔","-")</f>
        <v>-</v>
      </c>
      <c r="N26" s="124" t="str">
        <f>IF('Design Fee'!AB26&gt;0,"✔","-")</f>
        <v>-</v>
      </c>
      <c r="O26" s="124" t="str">
        <f>IF('Design Fee'!AC26&gt;0,"✔","-")</f>
        <v>-</v>
      </c>
      <c r="P26" s="124" t="str">
        <f>IF('Design Fee'!AD26&gt;0,"✔","-")</f>
        <v>-</v>
      </c>
      <c r="Q26" s="124" t="str">
        <f>IF('Design Fee'!AE26&gt;0,"✔","-")</f>
        <v>-</v>
      </c>
      <c r="R26" s="125" t="str">
        <f>IF('Design Fee'!AG26&gt;0,"✔","-")</f>
        <v>-</v>
      </c>
      <c r="S26" s="125" t="str">
        <f>IF('Design Fee'!AH26&gt;0,"✔","-")</f>
        <v>-</v>
      </c>
      <c r="T26" s="125" t="str">
        <f>IF('Design Fee'!AI26&gt;0,"✔","-")</f>
        <v>-</v>
      </c>
      <c r="U26" s="125" t="str">
        <f>IF('Design Fee'!AJ26&gt;0,"✔","-")</f>
        <v>-</v>
      </c>
      <c r="V26" s="125" t="str">
        <f>IF('Design Fee'!AK26&gt;0,"✔","-")</f>
        <v>-</v>
      </c>
      <c r="W26" s="127"/>
      <c r="X26" s="129" t="str">
        <f>IF('Design Fee'!BE26&gt;0,"✔","-")</f>
        <v>-</v>
      </c>
      <c r="Y26" s="128"/>
      <c r="Z26" s="124" t="str">
        <f>IF('Design Fee'!BJ26&gt;0,"✔","-")</f>
        <v>-</v>
      </c>
      <c r="AA26" s="124" t="str">
        <f>IF('Design Fee'!BK26&gt;0,"✔","-")</f>
        <v>-</v>
      </c>
      <c r="AB26" s="124" t="str">
        <f>IF('Design Fee'!BL26&gt;0,"✔","-")</f>
        <v>-</v>
      </c>
      <c r="AC26" s="124" t="str">
        <f>IF('Design Fee'!BM26&gt;0,"✔","-")</f>
        <v>-</v>
      </c>
      <c r="AD26" s="124" t="str">
        <f>IF('Design Fee'!BN26&gt;0,"✔","-")</f>
        <v>-</v>
      </c>
      <c r="AE26" s="125" t="str">
        <f>IF('Design Fee'!BP26&gt;0,"✔","-")</f>
        <v>-</v>
      </c>
      <c r="AF26" s="125" t="str">
        <f>IF('Design Fee'!BQ26&gt;0,"✔","-")</f>
        <v>-</v>
      </c>
      <c r="AG26" s="125" t="str">
        <f>IF('Design Fee'!BR26&gt;0,"✔","-")</f>
        <v>-</v>
      </c>
      <c r="AH26" s="125" t="str">
        <f>IF('Design Fee'!BS26&gt;0,"✔","-")</f>
        <v>-</v>
      </c>
      <c r="AI26" s="125" t="str">
        <f>IF('Design Fee'!BT26&gt;0,"✔","-")</f>
        <v>-</v>
      </c>
      <c r="AJ26" s="128"/>
      <c r="AK26" s="129" t="str">
        <f>IF('Design Fee'!CN26&gt;0,"✔","-")</f>
        <v>-</v>
      </c>
      <c r="AL26" s="128"/>
      <c r="AM26" s="124" t="str">
        <f>IF('Design Fee'!CS26&gt;0,"✔","-")</f>
        <v>-</v>
      </c>
      <c r="AN26" s="124" t="str">
        <f>IF('Design Fee'!CT26&gt;0,"✔","-")</f>
        <v>-</v>
      </c>
      <c r="AO26" s="124" t="str">
        <f>IF('Design Fee'!CU26&gt;0,"✔","-")</f>
        <v>-</v>
      </c>
      <c r="AP26" s="124" t="str">
        <f>IF('Design Fee'!CV26&gt;0,"✔","-")</f>
        <v>-</v>
      </c>
      <c r="AQ26" s="124" t="str">
        <f>IF('Design Fee'!CW26&gt;0,"✔","-")</f>
        <v>-</v>
      </c>
      <c r="AR26" s="125" t="str">
        <f>IF('Design Fee'!CY26&gt;0,"✔","-")</f>
        <v>-</v>
      </c>
      <c r="AS26" s="125" t="str">
        <f>IF('Design Fee'!CZ26&gt;0,"✔","-")</f>
        <v>-</v>
      </c>
      <c r="AT26" s="125" t="str">
        <f>IF('Design Fee'!DA26&gt;0,"✔","-")</f>
        <v>-</v>
      </c>
      <c r="AU26" s="125" t="str">
        <f>IF('Design Fee'!DB26&gt;0,"✔","-")</f>
        <v>-</v>
      </c>
      <c r="AV26" s="125" t="str">
        <f>IF('Design Fee'!DC26&gt;0,"✔","-")</f>
        <v>-</v>
      </c>
      <c r="AW26" s="127"/>
      <c r="AX26" s="129" t="str">
        <f>IF('Design Fee'!DX26&gt;0,"✔","-")</f>
        <v>-</v>
      </c>
      <c r="AY26" s="128"/>
      <c r="AZ26" s="124" t="str">
        <f>IF('Design Fee'!EC26&gt;0,"✔","-")</f>
        <v>-</v>
      </c>
      <c r="BA26" s="124" t="str">
        <f>IF('Design Fee'!ED26&gt;0,"✔","-")</f>
        <v>-</v>
      </c>
      <c r="BB26" s="124" t="str">
        <f>IF('Design Fee'!EE26&gt;0,"✔","-")</f>
        <v>-</v>
      </c>
      <c r="BC26" s="124" t="str">
        <f>IF('Design Fee'!EF26&gt;0,"✔","-")</f>
        <v>-</v>
      </c>
      <c r="BD26" s="124" t="str">
        <f>IF('Design Fee'!EG26&gt;0,"✔","-")</f>
        <v>-</v>
      </c>
      <c r="BE26" s="125" t="str">
        <f>IF('Design Fee'!EI26&gt;0,"✔","-")</f>
        <v>-</v>
      </c>
      <c r="BF26" s="125" t="str">
        <f>IF('Design Fee'!EJ26&gt;0,"✔","-")</f>
        <v>-</v>
      </c>
      <c r="BG26" s="125" t="str">
        <f>IF('Design Fee'!EK26&gt;0,"✔","-")</f>
        <v>-</v>
      </c>
      <c r="BH26" s="125" t="str">
        <f>IF('Design Fee'!EL26&gt;0,"✔","-")</f>
        <v>-</v>
      </c>
      <c r="BI26" s="125" t="str">
        <f>IF('Design Fee'!EM26&gt;0,"✔","-")</f>
        <v>-</v>
      </c>
      <c r="BJ26" s="86"/>
    </row>
    <row r="27" spans="2:62" ht="12.6" hidden="1" customHeight="1" outlineLevel="2">
      <c r="B27" s="86"/>
      <c r="C27" s="121">
        <v>4</v>
      </c>
      <c r="D27" s="130" t="s">
        <v>27</v>
      </c>
      <c r="E27" s="130"/>
      <c r="F27" s="323"/>
      <c r="G27" s="323"/>
      <c r="H27" s="323"/>
      <c r="I27" s="452"/>
      <c r="J27" s="76"/>
      <c r="K27" s="129" t="str">
        <f>IF('Design Fee'!V27&gt;0,"✔","-")</f>
        <v>-</v>
      </c>
      <c r="L27" s="123"/>
      <c r="M27" s="124" t="str">
        <f>IF('Design Fee'!AA27&gt;0,"✔","-")</f>
        <v>-</v>
      </c>
      <c r="N27" s="124" t="str">
        <f>IF('Design Fee'!AB27&gt;0,"✔","-")</f>
        <v>-</v>
      </c>
      <c r="O27" s="124" t="str">
        <f>IF('Design Fee'!AC27&gt;0,"✔","-")</f>
        <v>-</v>
      </c>
      <c r="P27" s="124" t="str">
        <f>IF('Design Fee'!AD27&gt;0,"✔","-")</f>
        <v>-</v>
      </c>
      <c r="Q27" s="124" t="str">
        <f>IF('Design Fee'!AE27&gt;0,"✔","-")</f>
        <v>-</v>
      </c>
      <c r="R27" s="125" t="str">
        <f>IF('Design Fee'!AG27&gt;0,"✔","-")</f>
        <v>-</v>
      </c>
      <c r="S27" s="125" t="str">
        <f>IF('Design Fee'!AH27&gt;0,"✔","-")</f>
        <v>-</v>
      </c>
      <c r="T27" s="125" t="str">
        <f>IF('Design Fee'!AI27&gt;0,"✔","-")</f>
        <v>-</v>
      </c>
      <c r="U27" s="125" t="str">
        <f>IF('Design Fee'!AJ27&gt;0,"✔","-")</f>
        <v>-</v>
      </c>
      <c r="V27" s="125" t="str">
        <f>IF('Design Fee'!AK27&gt;0,"✔","-")</f>
        <v>-</v>
      </c>
      <c r="W27" s="127"/>
      <c r="X27" s="129" t="str">
        <f>IF('Design Fee'!BE27&gt;0,"✔","-")</f>
        <v>-</v>
      </c>
      <c r="Y27" s="128"/>
      <c r="Z27" s="124" t="str">
        <f>IF('Design Fee'!BJ27&gt;0,"✔","-")</f>
        <v>-</v>
      </c>
      <c r="AA27" s="124" t="str">
        <f>IF('Design Fee'!BK27&gt;0,"✔","-")</f>
        <v>-</v>
      </c>
      <c r="AB27" s="124" t="str">
        <f>IF('Design Fee'!BL27&gt;0,"✔","-")</f>
        <v>-</v>
      </c>
      <c r="AC27" s="124" t="str">
        <f>IF('Design Fee'!BM27&gt;0,"✔","-")</f>
        <v>-</v>
      </c>
      <c r="AD27" s="124" t="str">
        <f>IF('Design Fee'!BN27&gt;0,"✔","-")</f>
        <v>-</v>
      </c>
      <c r="AE27" s="125" t="str">
        <f>IF('Design Fee'!BP27&gt;0,"✔","-")</f>
        <v>-</v>
      </c>
      <c r="AF27" s="125" t="str">
        <f>IF('Design Fee'!BQ27&gt;0,"✔","-")</f>
        <v>-</v>
      </c>
      <c r="AG27" s="125" t="str">
        <f>IF('Design Fee'!BR27&gt;0,"✔","-")</f>
        <v>-</v>
      </c>
      <c r="AH27" s="125" t="str">
        <f>IF('Design Fee'!BS27&gt;0,"✔","-")</f>
        <v>-</v>
      </c>
      <c r="AI27" s="125" t="str">
        <f>IF('Design Fee'!BT27&gt;0,"✔","-")</f>
        <v>-</v>
      </c>
      <c r="AJ27" s="128"/>
      <c r="AK27" s="129" t="str">
        <f>IF('Design Fee'!CN27&gt;0,"✔","-")</f>
        <v>-</v>
      </c>
      <c r="AL27" s="128"/>
      <c r="AM27" s="124" t="str">
        <f>IF('Design Fee'!CS27&gt;0,"✔","-")</f>
        <v>-</v>
      </c>
      <c r="AN27" s="124" t="str">
        <f>IF('Design Fee'!CT27&gt;0,"✔","-")</f>
        <v>-</v>
      </c>
      <c r="AO27" s="124" t="str">
        <f>IF('Design Fee'!CU27&gt;0,"✔","-")</f>
        <v>-</v>
      </c>
      <c r="AP27" s="124" t="str">
        <f>IF('Design Fee'!CV27&gt;0,"✔","-")</f>
        <v>-</v>
      </c>
      <c r="AQ27" s="124" t="str">
        <f>IF('Design Fee'!CW27&gt;0,"✔","-")</f>
        <v>-</v>
      </c>
      <c r="AR27" s="125" t="str">
        <f>IF('Design Fee'!CY27&gt;0,"✔","-")</f>
        <v>-</v>
      </c>
      <c r="AS27" s="125" t="str">
        <f>IF('Design Fee'!CZ27&gt;0,"✔","-")</f>
        <v>-</v>
      </c>
      <c r="AT27" s="125" t="str">
        <f>IF('Design Fee'!DA27&gt;0,"✔","-")</f>
        <v>-</v>
      </c>
      <c r="AU27" s="125" t="str">
        <f>IF('Design Fee'!DB27&gt;0,"✔","-")</f>
        <v>-</v>
      </c>
      <c r="AV27" s="125" t="str">
        <f>IF('Design Fee'!DC27&gt;0,"✔","-")</f>
        <v>-</v>
      </c>
      <c r="AW27" s="127"/>
      <c r="AX27" s="129" t="str">
        <f>IF('Design Fee'!DX27&gt;0,"✔","-")</f>
        <v>-</v>
      </c>
      <c r="AY27" s="128"/>
      <c r="AZ27" s="124" t="str">
        <f>IF('Design Fee'!EC27&gt;0,"✔","-")</f>
        <v>-</v>
      </c>
      <c r="BA27" s="124" t="str">
        <f>IF('Design Fee'!ED27&gt;0,"✔","-")</f>
        <v>-</v>
      </c>
      <c r="BB27" s="124" t="str">
        <f>IF('Design Fee'!EE27&gt;0,"✔","-")</f>
        <v>-</v>
      </c>
      <c r="BC27" s="124" t="str">
        <f>IF('Design Fee'!EF27&gt;0,"✔","-")</f>
        <v>-</v>
      </c>
      <c r="BD27" s="124" t="str">
        <f>IF('Design Fee'!EG27&gt;0,"✔","-")</f>
        <v>-</v>
      </c>
      <c r="BE27" s="125" t="str">
        <f>IF('Design Fee'!EI27&gt;0,"✔","-")</f>
        <v>-</v>
      </c>
      <c r="BF27" s="125" t="str">
        <f>IF('Design Fee'!EJ27&gt;0,"✔","-")</f>
        <v>-</v>
      </c>
      <c r="BG27" s="125" t="str">
        <f>IF('Design Fee'!EK27&gt;0,"✔","-")</f>
        <v>-</v>
      </c>
      <c r="BH27" s="125" t="str">
        <f>IF('Design Fee'!EL27&gt;0,"✔","-")</f>
        <v>-</v>
      </c>
      <c r="BI27" s="125" t="str">
        <f>IF('Design Fee'!EM27&gt;0,"✔","-")</f>
        <v>-</v>
      </c>
      <c r="BJ27" s="86"/>
    </row>
    <row r="28" spans="2:62" ht="12.6" hidden="1" customHeight="1" outlineLevel="2">
      <c r="B28" s="86"/>
      <c r="C28" s="121">
        <v>5</v>
      </c>
      <c r="D28" s="130" t="s">
        <v>28</v>
      </c>
      <c r="E28" s="130"/>
      <c r="F28" s="323"/>
      <c r="G28" s="323"/>
      <c r="H28" s="323"/>
      <c r="I28" s="452"/>
      <c r="J28" s="130"/>
      <c r="K28" s="131" t="str">
        <f>IF('Design Fee'!V28&gt;0,"✔","-")</f>
        <v>-</v>
      </c>
      <c r="L28" s="132"/>
      <c r="M28" s="124" t="str">
        <f>IF('Design Fee'!AA28&gt;0,"✔","-")</f>
        <v>-</v>
      </c>
      <c r="N28" s="124" t="str">
        <f>IF('Design Fee'!AB28&gt;0,"✔","-")</f>
        <v>-</v>
      </c>
      <c r="O28" s="124" t="str">
        <f>IF('Design Fee'!AC28&gt;0,"✔","-")</f>
        <v>-</v>
      </c>
      <c r="P28" s="124" t="str">
        <f>IF('Design Fee'!AD28&gt;0,"✔","-")</f>
        <v>-</v>
      </c>
      <c r="Q28" s="124" t="str">
        <f>IF('Design Fee'!AE28&gt;0,"✔","-")</f>
        <v>-</v>
      </c>
      <c r="R28" s="125" t="str">
        <f>IF('Design Fee'!AG28&gt;0,"✔","-")</f>
        <v>-</v>
      </c>
      <c r="S28" s="125" t="str">
        <f>IF('Design Fee'!AH28&gt;0,"✔","-")</f>
        <v>-</v>
      </c>
      <c r="T28" s="125" t="str">
        <f>IF('Design Fee'!AI28&gt;0,"✔","-")</f>
        <v>-</v>
      </c>
      <c r="U28" s="125" t="str">
        <f>IF('Design Fee'!AJ28&gt;0,"✔","-")</f>
        <v>-</v>
      </c>
      <c r="V28" s="125" t="str">
        <f>IF('Design Fee'!AK28&gt;0,"✔","-")</f>
        <v>-</v>
      </c>
      <c r="W28" s="127"/>
      <c r="X28" s="131" t="str">
        <f>IF('Design Fee'!BE28&gt;0,"✔","-")</f>
        <v>-</v>
      </c>
      <c r="Y28" s="133"/>
      <c r="Z28" s="124" t="str">
        <f>IF('Design Fee'!BJ28&gt;0,"✔","-")</f>
        <v>-</v>
      </c>
      <c r="AA28" s="124" t="str">
        <f>IF('Design Fee'!BK28&gt;0,"✔","-")</f>
        <v>-</v>
      </c>
      <c r="AB28" s="124" t="str">
        <f>IF('Design Fee'!BL28&gt;0,"✔","-")</f>
        <v>-</v>
      </c>
      <c r="AC28" s="124" t="str">
        <f>IF('Design Fee'!BM28&gt;0,"✔","-")</f>
        <v>-</v>
      </c>
      <c r="AD28" s="124" t="str">
        <f>IF('Design Fee'!BN28&gt;0,"✔","-")</f>
        <v>-</v>
      </c>
      <c r="AE28" s="125" t="str">
        <f>IF('Design Fee'!BP28&gt;0,"✔","-")</f>
        <v>-</v>
      </c>
      <c r="AF28" s="125" t="str">
        <f>IF('Design Fee'!BQ28&gt;0,"✔","-")</f>
        <v>-</v>
      </c>
      <c r="AG28" s="125" t="str">
        <f>IF('Design Fee'!BR28&gt;0,"✔","-")</f>
        <v>-</v>
      </c>
      <c r="AH28" s="125" t="str">
        <f>IF('Design Fee'!BS28&gt;0,"✔","-")</f>
        <v>-</v>
      </c>
      <c r="AI28" s="125" t="str">
        <f>IF('Design Fee'!BT28&gt;0,"✔","-")</f>
        <v>-</v>
      </c>
      <c r="AJ28" s="133"/>
      <c r="AK28" s="131" t="str">
        <f>IF('Design Fee'!CN28&gt;0,"✔","-")</f>
        <v>-</v>
      </c>
      <c r="AL28" s="133"/>
      <c r="AM28" s="124" t="str">
        <f>IF('Design Fee'!CS28&gt;0,"✔","-")</f>
        <v>-</v>
      </c>
      <c r="AN28" s="124" t="str">
        <f>IF('Design Fee'!CT28&gt;0,"✔","-")</f>
        <v>-</v>
      </c>
      <c r="AO28" s="124" t="str">
        <f>IF('Design Fee'!CU28&gt;0,"✔","-")</f>
        <v>-</v>
      </c>
      <c r="AP28" s="124" t="str">
        <f>IF('Design Fee'!CV28&gt;0,"✔","-")</f>
        <v>-</v>
      </c>
      <c r="AQ28" s="124" t="str">
        <f>IF('Design Fee'!CW28&gt;0,"✔","-")</f>
        <v>-</v>
      </c>
      <c r="AR28" s="125" t="str">
        <f>IF('Design Fee'!CY28&gt;0,"✔","-")</f>
        <v>-</v>
      </c>
      <c r="AS28" s="125" t="str">
        <f>IF('Design Fee'!CZ28&gt;0,"✔","-")</f>
        <v>-</v>
      </c>
      <c r="AT28" s="125" t="str">
        <f>IF('Design Fee'!DA28&gt;0,"✔","-")</f>
        <v>-</v>
      </c>
      <c r="AU28" s="125" t="str">
        <f>IF('Design Fee'!DB28&gt;0,"✔","-")</f>
        <v>-</v>
      </c>
      <c r="AV28" s="125" t="str">
        <f>IF('Design Fee'!DC28&gt;0,"✔","-")</f>
        <v>-</v>
      </c>
      <c r="AW28" s="127"/>
      <c r="AX28" s="131" t="str">
        <f>IF('Design Fee'!DX28&gt;0,"✔","-")</f>
        <v>-</v>
      </c>
      <c r="AY28" s="133"/>
      <c r="AZ28" s="124" t="str">
        <f>IF('Design Fee'!EC28&gt;0,"✔","-")</f>
        <v>-</v>
      </c>
      <c r="BA28" s="124" t="str">
        <f>IF('Design Fee'!ED28&gt;0,"✔","-")</f>
        <v>-</v>
      </c>
      <c r="BB28" s="124" t="str">
        <f>IF('Design Fee'!EE28&gt;0,"✔","-")</f>
        <v>-</v>
      </c>
      <c r="BC28" s="124" t="str">
        <f>IF('Design Fee'!EF28&gt;0,"✔","-")</f>
        <v>-</v>
      </c>
      <c r="BD28" s="124" t="str">
        <f>IF('Design Fee'!EG28&gt;0,"✔","-")</f>
        <v>-</v>
      </c>
      <c r="BE28" s="125" t="str">
        <f>IF('Design Fee'!EI28&gt;0,"✔","-")</f>
        <v>-</v>
      </c>
      <c r="BF28" s="125" t="str">
        <f>IF('Design Fee'!EJ28&gt;0,"✔","-")</f>
        <v>-</v>
      </c>
      <c r="BG28" s="125" t="str">
        <f>IF('Design Fee'!EK28&gt;0,"✔","-")</f>
        <v>-</v>
      </c>
      <c r="BH28" s="125" t="str">
        <f>IF('Design Fee'!EL28&gt;0,"✔","-")</f>
        <v>-</v>
      </c>
      <c r="BI28" s="125" t="str">
        <f>IF('Design Fee'!EM28&gt;0,"✔","-")</f>
        <v>-</v>
      </c>
      <c r="BJ28" s="86"/>
    </row>
    <row r="29" spans="2:62" ht="3" hidden="1" customHeight="1" outlineLevel="1">
      <c r="B29" s="86"/>
      <c r="C29" s="134"/>
      <c r="F29" s="322"/>
      <c r="G29" s="322"/>
      <c r="H29" s="322"/>
      <c r="I29" s="451"/>
      <c r="J29" s="76"/>
      <c r="K29" s="129"/>
      <c r="L29" s="123"/>
      <c r="M29" s="135"/>
      <c r="N29" s="135"/>
      <c r="O29" s="135"/>
      <c r="P29" s="135"/>
      <c r="Q29" s="135"/>
      <c r="R29" s="111"/>
      <c r="S29" s="111"/>
      <c r="T29" s="111"/>
      <c r="U29" s="111"/>
      <c r="V29" s="111"/>
      <c r="W29" s="136"/>
      <c r="X29" s="129"/>
      <c r="Y29" s="128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28"/>
      <c r="AK29" s="129"/>
      <c r="AL29" s="128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36"/>
      <c r="AX29" s="129"/>
      <c r="AY29" s="128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86"/>
    </row>
    <row r="30" spans="2:62" ht="11.85" hidden="1" customHeight="1" outlineLevel="1">
      <c r="B30" s="86"/>
      <c r="C30" s="114">
        <v>4</v>
      </c>
      <c r="D30" s="115" t="s">
        <v>32</v>
      </c>
      <c r="E30" s="321"/>
      <c r="F30" s="439">
        <f>COUNTIF('Design Fee'!V30,"&gt;0")+COUNTIF('Design Fee'!BE30,"&gt;0")+COUNTIF('Design Fee'!CN30,"&gt;0")+COUNTIF('Design Fee'!DZ30,"&gt;0")</f>
        <v>3</v>
      </c>
      <c r="G30" s="439">
        <f>COUNTIF('Design Fee'!Y30,"&gt;0")+COUNTIF('Design Fee'!BH30,"&gt;0")+COUNTIF('Design Fee'!CQ30,"&gt;0")+COUNTIF('Design Fee'!EA30,"&gt;0")</f>
        <v>3</v>
      </c>
      <c r="H30" s="439">
        <f>COUNTIF('Design Fee'!Z30,"&gt;0")+COUNTIF('Design Fee'!BI30,"&gt;0")+COUNTIF('Design Fee'!CR30,"&gt;0")+COUNTIF('Design Fee'!EB30,"&gt;0")</f>
        <v>3</v>
      </c>
      <c r="I30" s="450">
        <f>F30-G30</f>
        <v>0</v>
      </c>
      <c r="J30" s="116"/>
      <c r="K30" s="117" t="str">
        <f>IF('Design Fee'!V30&gt;0,"✔","-")</f>
        <v>✔</v>
      </c>
      <c r="L30" s="117"/>
      <c r="M30" s="118" t="str">
        <f>IF('Design Fee'!AA30&gt;0,"✔","-")</f>
        <v>-</v>
      </c>
      <c r="N30" s="118" t="str">
        <f>IF('Design Fee'!AB30&gt;0,"✔","-")</f>
        <v>-</v>
      </c>
      <c r="O30" s="118" t="str">
        <f>IF('Design Fee'!AC30&gt;0,"✔","-")</f>
        <v>-</v>
      </c>
      <c r="P30" s="118" t="str">
        <f>IF('Design Fee'!AD30&gt;0,"✔","-")</f>
        <v>-</v>
      </c>
      <c r="Q30" s="118" t="str">
        <f>IF('Design Fee'!AE30&gt;0,"✔","-")</f>
        <v>-</v>
      </c>
      <c r="R30" s="119" t="str">
        <f>IF('Design Fee'!AG30&gt;0,"✔","-")</f>
        <v>-</v>
      </c>
      <c r="S30" s="119" t="str">
        <f>IF('Design Fee'!AH30&gt;0,"✔","-")</f>
        <v>-</v>
      </c>
      <c r="T30" s="137" t="str">
        <f>IF('Design Fee'!AI30&gt;0,"✔","-")</f>
        <v>-</v>
      </c>
      <c r="U30" s="137" t="str">
        <f>IF('Design Fee'!AJ30&gt;0,"✔","-")</f>
        <v>-</v>
      </c>
      <c r="V30" s="137" t="str">
        <f>IF('Design Fee'!AK30&gt;0,"✔","-")</f>
        <v>-</v>
      </c>
      <c r="W30" s="120"/>
      <c r="X30" s="117" t="str">
        <f>IF('Design Fee'!BE30&gt;0,"✔","-")</f>
        <v>-</v>
      </c>
      <c r="Y30" s="117"/>
      <c r="Z30" s="118" t="str">
        <f>IF('Design Fee'!BJ30&gt;0,"✔","-")</f>
        <v>-</v>
      </c>
      <c r="AA30" s="118" t="str">
        <f>IF('Design Fee'!BK30&gt;0,"✔","-")</f>
        <v>-</v>
      </c>
      <c r="AB30" s="118" t="str">
        <f>IF('Design Fee'!BL30&gt;0,"✔","-")</f>
        <v>-</v>
      </c>
      <c r="AC30" s="118" t="str">
        <f>IF('Design Fee'!BM30&gt;0,"✔","-")</f>
        <v>-</v>
      </c>
      <c r="AD30" s="118" t="str">
        <f>IF('Design Fee'!BN30&gt;0,"✔","-")</f>
        <v>-</v>
      </c>
      <c r="AE30" s="119" t="str">
        <f>IF('Design Fee'!BP30&gt;0,"✔","-")</f>
        <v>-</v>
      </c>
      <c r="AF30" s="119" t="str">
        <f>IF('Design Fee'!BQ30&gt;0,"✔","-")</f>
        <v>-</v>
      </c>
      <c r="AG30" s="137" t="str">
        <f>IF('Design Fee'!BR30&gt;0,"✔","-")</f>
        <v>-</v>
      </c>
      <c r="AH30" s="137" t="str">
        <f>IF('Design Fee'!BS30&gt;0,"✔","-")</f>
        <v>-</v>
      </c>
      <c r="AI30" s="137" t="str">
        <f>IF('Design Fee'!BT30&gt;0,"✔","-")</f>
        <v>-</v>
      </c>
      <c r="AJ30" s="117"/>
      <c r="AK30" s="117" t="str">
        <f>IF('Design Fee'!CN30&gt;0,"✔","-")</f>
        <v>✔</v>
      </c>
      <c r="AL30" s="117"/>
      <c r="AM30" s="118" t="str">
        <f>IF('Design Fee'!CS30&gt;0,"✔","-")</f>
        <v>-</v>
      </c>
      <c r="AN30" s="118" t="str">
        <f>IF('Design Fee'!CT30&gt;0,"✔","-")</f>
        <v>-</v>
      </c>
      <c r="AO30" s="118" t="str">
        <f>IF('Design Fee'!CU30&gt;0,"✔","-")</f>
        <v>-</v>
      </c>
      <c r="AP30" s="118" t="str">
        <f>IF('Design Fee'!CV30&gt;0,"✔","-")</f>
        <v>-</v>
      </c>
      <c r="AQ30" s="118" t="str">
        <f>IF('Design Fee'!CW30&gt;0,"✔","-")</f>
        <v>-</v>
      </c>
      <c r="AR30" s="119" t="str">
        <f>IF('Design Fee'!CY30&gt;0,"✔","-")</f>
        <v>-</v>
      </c>
      <c r="AS30" s="119" t="str">
        <f>IF('Design Fee'!CZ30&gt;0,"✔","-")</f>
        <v>-</v>
      </c>
      <c r="AT30" s="137" t="str">
        <f>IF('Design Fee'!DA30&gt;0,"✔","-")</f>
        <v>-</v>
      </c>
      <c r="AU30" s="137" t="str">
        <f>IF('Design Fee'!DB30&gt;0,"✔","-")</f>
        <v>-</v>
      </c>
      <c r="AV30" s="137" t="str">
        <f>IF('Design Fee'!DC30&gt;0,"✔","-")</f>
        <v>-</v>
      </c>
      <c r="AW30" s="120"/>
      <c r="AX30" s="117" t="str">
        <f>IF('Design Fee'!DX30&gt;0,"✔","-")</f>
        <v>✔</v>
      </c>
      <c r="AY30" s="117"/>
      <c r="AZ30" s="118" t="str">
        <f>IF('Design Fee'!EC30&gt;0,"✔","-")</f>
        <v>-</v>
      </c>
      <c r="BA30" s="118" t="str">
        <f>IF('Design Fee'!ED30&gt;0,"✔","-")</f>
        <v>-</v>
      </c>
      <c r="BB30" s="118" t="str">
        <f>IF('Design Fee'!EE30&gt;0,"✔","-")</f>
        <v>-</v>
      </c>
      <c r="BC30" s="118" t="str">
        <f>IF('Design Fee'!EF30&gt;0,"✔","-")</f>
        <v>-</v>
      </c>
      <c r="BD30" s="118" t="str">
        <f>IF('Design Fee'!EG30&gt;0,"✔","-")</f>
        <v>-</v>
      </c>
      <c r="BE30" s="119" t="str">
        <f>IF('Design Fee'!EI30&gt;0,"✔","-")</f>
        <v>-</v>
      </c>
      <c r="BF30" s="119" t="str">
        <f>IF('Design Fee'!EJ30&gt;0,"✔","-")</f>
        <v>-</v>
      </c>
      <c r="BG30" s="137" t="str">
        <f>IF('Design Fee'!EK30&gt;0,"✔","-")</f>
        <v>-</v>
      </c>
      <c r="BH30" s="137" t="str">
        <f>IF('Design Fee'!EL30&gt;0,"✔","-")</f>
        <v>-</v>
      </c>
      <c r="BI30" s="137" t="str">
        <f>IF('Design Fee'!EM30&gt;0,"✔","-")</f>
        <v>-</v>
      </c>
      <c r="BJ30" s="86"/>
    </row>
    <row r="31" spans="2:62" ht="12.6" hidden="1" customHeight="1" outlineLevel="2">
      <c r="B31" s="86"/>
      <c r="C31" s="121">
        <v>1</v>
      </c>
      <c r="D31" s="76" t="s">
        <v>33</v>
      </c>
      <c r="F31" s="322"/>
      <c r="G31" s="322"/>
      <c r="H31" s="322"/>
      <c r="I31" s="451"/>
      <c r="J31" s="76"/>
      <c r="K31" s="129" t="str">
        <f>IF('Design Fee'!V31&gt;0,"✔","-")</f>
        <v>-</v>
      </c>
      <c r="L31" s="123"/>
      <c r="M31" s="124" t="str">
        <f>IF('Design Fee'!AA31&gt;0,"✔","-")</f>
        <v>-</v>
      </c>
      <c r="N31" s="124" t="str">
        <f>IF('Design Fee'!AB31&gt;0,"✔","-")</f>
        <v>-</v>
      </c>
      <c r="O31" s="124" t="str">
        <f>IF('Design Fee'!AC31&gt;0,"✔","-")</f>
        <v>-</v>
      </c>
      <c r="P31" s="124" t="str">
        <f>IF('Design Fee'!AD31&gt;0,"✔","-")</f>
        <v>-</v>
      </c>
      <c r="Q31" s="124" t="str">
        <f>IF('Design Fee'!AE31&gt;0,"✔","-")</f>
        <v>-</v>
      </c>
      <c r="R31" s="125" t="str">
        <f>IF('Design Fee'!AG31&gt;0,"✔","-")</f>
        <v>-</v>
      </c>
      <c r="S31" s="125" t="str">
        <f>IF('Design Fee'!AH31&gt;0,"✔","-")</f>
        <v>-</v>
      </c>
      <c r="T31" s="125" t="str">
        <f>IF('Design Fee'!AI31&gt;0,"✔","-")</f>
        <v>-</v>
      </c>
      <c r="U31" s="125" t="str">
        <f>IF('Design Fee'!AJ31&gt;0,"✔","-")</f>
        <v>-</v>
      </c>
      <c r="V31" s="125" t="str">
        <f>IF('Design Fee'!AK31&gt;0,"✔","-")</f>
        <v>-</v>
      </c>
      <c r="W31" s="127"/>
      <c r="X31" s="129" t="str">
        <f>IF('Design Fee'!BE31&gt;0,"✔","-")</f>
        <v>-</v>
      </c>
      <c r="Y31" s="128"/>
      <c r="Z31" s="124" t="str">
        <f>IF('Design Fee'!BJ31&gt;0,"✔","-")</f>
        <v>-</v>
      </c>
      <c r="AA31" s="124" t="str">
        <f>IF('Design Fee'!BK31&gt;0,"✔","-")</f>
        <v>-</v>
      </c>
      <c r="AB31" s="124" t="str">
        <f>IF('Design Fee'!BL31&gt;0,"✔","-")</f>
        <v>-</v>
      </c>
      <c r="AC31" s="124" t="str">
        <f>IF('Design Fee'!BM31&gt;0,"✔","-")</f>
        <v>-</v>
      </c>
      <c r="AD31" s="124" t="str">
        <f>IF('Design Fee'!BN31&gt;0,"✔","-")</f>
        <v>-</v>
      </c>
      <c r="AE31" s="125" t="str">
        <f>IF('Design Fee'!BP31&gt;0,"✔","-")</f>
        <v>-</v>
      </c>
      <c r="AF31" s="125" t="str">
        <f>IF('Design Fee'!BQ31&gt;0,"✔","-")</f>
        <v>-</v>
      </c>
      <c r="AG31" s="125" t="str">
        <f>IF('Design Fee'!BR31&gt;0,"✔","-")</f>
        <v>-</v>
      </c>
      <c r="AH31" s="125" t="str">
        <f>IF('Design Fee'!BS31&gt;0,"✔","-")</f>
        <v>-</v>
      </c>
      <c r="AI31" s="125" t="str">
        <f>IF('Design Fee'!BT31&gt;0,"✔","-")</f>
        <v>-</v>
      </c>
      <c r="AJ31" s="128"/>
      <c r="AK31" s="129" t="str">
        <f>IF('Design Fee'!CN31&gt;0,"✔","-")</f>
        <v>-</v>
      </c>
      <c r="AL31" s="128"/>
      <c r="AM31" s="124" t="str">
        <f>IF('Design Fee'!CS31&gt;0,"✔","-")</f>
        <v>-</v>
      </c>
      <c r="AN31" s="124" t="str">
        <f>IF('Design Fee'!CT31&gt;0,"✔","-")</f>
        <v>-</v>
      </c>
      <c r="AO31" s="124" t="str">
        <f>IF('Design Fee'!CU31&gt;0,"✔","-")</f>
        <v>-</v>
      </c>
      <c r="AP31" s="124" t="str">
        <f>IF('Design Fee'!CV31&gt;0,"✔","-")</f>
        <v>-</v>
      </c>
      <c r="AQ31" s="124" t="str">
        <f>IF('Design Fee'!CW31&gt;0,"✔","-")</f>
        <v>-</v>
      </c>
      <c r="AR31" s="125" t="str">
        <f>IF('Design Fee'!CY31&gt;0,"✔","-")</f>
        <v>-</v>
      </c>
      <c r="AS31" s="125" t="str">
        <f>IF('Design Fee'!CZ31&gt;0,"✔","-")</f>
        <v>-</v>
      </c>
      <c r="AT31" s="125" t="str">
        <f>IF('Design Fee'!DA31&gt;0,"✔","-")</f>
        <v>-</v>
      </c>
      <c r="AU31" s="125" t="str">
        <f>IF('Design Fee'!DB31&gt;0,"✔","-")</f>
        <v>-</v>
      </c>
      <c r="AV31" s="125" t="str">
        <f>IF('Design Fee'!DC31&gt;0,"✔","-")</f>
        <v>-</v>
      </c>
      <c r="AW31" s="127"/>
      <c r="AX31" s="129" t="str">
        <f>IF('Design Fee'!DX31&gt;0,"✔","-")</f>
        <v>-</v>
      </c>
      <c r="AY31" s="128"/>
      <c r="AZ31" s="124" t="str">
        <f>IF('Design Fee'!EC31&gt;0,"✔","-")</f>
        <v>-</v>
      </c>
      <c r="BA31" s="124" t="str">
        <f>IF('Design Fee'!ED31&gt;0,"✔","-")</f>
        <v>-</v>
      </c>
      <c r="BB31" s="124" t="str">
        <f>IF('Design Fee'!EE31&gt;0,"✔","-")</f>
        <v>-</v>
      </c>
      <c r="BC31" s="124" t="str">
        <f>IF('Design Fee'!EF31&gt;0,"✔","-")</f>
        <v>-</v>
      </c>
      <c r="BD31" s="124" t="str">
        <f>IF('Design Fee'!EG31&gt;0,"✔","-")</f>
        <v>-</v>
      </c>
      <c r="BE31" s="125" t="str">
        <f>IF('Design Fee'!EI31&gt;0,"✔","-")</f>
        <v>-</v>
      </c>
      <c r="BF31" s="125" t="str">
        <f>IF('Design Fee'!EJ31&gt;0,"✔","-")</f>
        <v>-</v>
      </c>
      <c r="BG31" s="125" t="str">
        <f>IF('Design Fee'!EK31&gt;0,"✔","-")</f>
        <v>-</v>
      </c>
      <c r="BH31" s="125" t="str">
        <f>IF('Design Fee'!EL31&gt;0,"✔","-")</f>
        <v>-</v>
      </c>
      <c r="BI31" s="125" t="str">
        <f>IF('Design Fee'!EM31&gt;0,"✔","-")</f>
        <v>-</v>
      </c>
      <c r="BJ31" s="86"/>
    </row>
    <row r="32" spans="2:62" ht="12.6" hidden="1" customHeight="1" outlineLevel="2">
      <c r="B32" s="86"/>
      <c r="C32" s="121">
        <v>2</v>
      </c>
      <c r="D32" s="76" t="s">
        <v>34</v>
      </c>
      <c r="F32" s="322"/>
      <c r="G32" s="322"/>
      <c r="H32" s="322"/>
      <c r="I32" s="451"/>
      <c r="J32" s="76"/>
      <c r="K32" s="129" t="str">
        <f>IF('Design Fee'!V32&gt;0,"✔","-")</f>
        <v>-</v>
      </c>
      <c r="L32" s="123"/>
      <c r="M32" s="124" t="str">
        <f>IF('Design Fee'!AA32&gt;0,"✔","-")</f>
        <v>-</v>
      </c>
      <c r="N32" s="124" t="str">
        <f>IF('Design Fee'!AB32&gt;0,"✔","-")</f>
        <v>-</v>
      </c>
      <c r="O32" s="124" t="str">
        <f>IF('Design Fee'!AC32&gt;0,"✔","-")</f>
        <v>-</v>
      </c>
      <c r="P32" s="124" t="str">
        <f>IF('Design Fee'!AD32&gt;0,"✔","-")</f>
        <v>-</v>
      </c>
      <c r="Q32" s="124" t="str">
        <f>IF('Design Fee'!AE32&gt;0,"✔","-")</f>
        <v>-</v>
      </c>
      <c r="R32" s="125" t="str">
        <f>IF('Design Fee'!AG32&gt;0,"✔","-")</f>
        <v>-</v>
      </c>
      <c r="S32" s="125" t="str">
        <f>IF('Design Fee'!AH32&gt;0,"✔","-")</f>
        <v>-</v>
      </c>
      <c r="T32" s="125" t="str">
        <f>IF('Design Fee'!AI32&gt;0,"✔","-")</f>
        <v>-</v>
      </c>
      <c r="U32" s="125" t="str">
        <f>IF('Design Fee'!AJ32&gt;0,"✔","-")</f>
        <v>-</v>
      </c>
      <c r="V32" s="125" t="str">
        <f>IF('Design Fee'!AK32&gt;0,"✔","-")</f>
        <v>-</v>
      </c>
      <c r="W32" s="127"/>
      <c r="X32" s="129" t="str">
        <f>IF('Design Fee'!BE32&gt;0,"✔","-")</f>
        <v>-</v>
      </c>
      <c r="Y32" s="128"/>
      <c r="Z32" s="124" t="str">
        <f>IF('Design Fee'!BJ32&gt;0,"✔","-")</f>
        <v>-</v>
      </c>
      <c r="AA32" s="124" t="str">
        <f>IF('Design Fee'!BK32&gt;0,"✔","-")</f>
        <v>-</v>
      </c>
      <c r="AB32" s="124" t="str">
        <f>IF('Design Fee'!BL32&gt;0,"✔","-")</f>
        <v>-</v>
      </c>
      <c r="AC32" s="124" t="str">
        <f>IF('Design Fee'!BM32&gt;0,"✔","-")</f>
        <v>-</v>
      </c>
      <c r="AD32" s="124" t="str">
        <f>IF('Design Fee'!BN32&gt;0,"✔","-")</f>
        <v>-</v>
      </c>
      <c r="AE32" s="125" t="str">
        <f>IF('Design Fee'!BP32&gt;0,"✔","-")</f>
        <v>-</v>
      </c>
      <c r="AF32" s="125" t="str">
        <f>IF('Design Fee'!BQ32&gt;0,"✔","-")</f>
        <v>-</v>
      </c>
      <c r="AG32" s="125" t="str">
        <f>IF('Design Fee'!BR32&gt;0,"✔","-")</f>
        <v>-</v>
      </c>
      <c r="AH32" s="125" t="str">
        <f>IF('Design Fee'!BS32&gt;0,"✔","-")</f>
        <v>-</v>
      </c>
      <c r="AI32" s="125" t="str">
        <f>IF('Design Fee'!BT32&gt;0,"✔","-")</f>
        <v>-</v>
      </c>
      <c r="AJ32" s="128"/>
      <c r="AK32" s="129" t="str">
        <f>IF('Design Fee'!CN32&gt;0,"✔","-")</f>
        <v>-</v>
      </c>
      <c r="AL32" s="128"/>
      <c r="AM32" s="124" t="str">
        <f>IF('Design Fee'!CS32&gt;0,"✔","-")</f>
        <v>-</v>
      </c>
      <c r="AN32" s="124" t="str">
        <f>IF('Design Fee'!CT32&gt;0,"✔","-")</f>
        <v>-</v>
      </c>
      <c r="AO32" s="124" t="str">
        <f>IF('Design Fee'!CU32&gt;0,"✔","-")</f>
        <v>-</v>
      </c>
      <c r="AP32" s="124" t="str">
        <f>IF('Design Fee'!CV32&gt;0,"✔","-")</f>
        <v>-</v>
      </c>
      <c r="AQ32" s="124" t="str">
        <f>IF('Design Fee'!CW32&gt;0,"✔","-")</f>
        <v>-</v>
      </c>
      <c r="AR32" s="125" t="str">
        <f>IF('Design Fee'!CY32&gt;0,"✔","-")</f>
        <v>-</v>
      </c>
      <c r="AS32" s="125" t="str">
        <f>IF('Design Fee'!CZ32&gt;0,"✔","-")</f>
        <v>-</v>
      </c>
      <c r="AT32" s="125" t="str">
        <f>IF('Design Fee'!DA32&gt;0,"✔","-")</f>
        <v>-</v>
      </c>
      <c r="AU32" s="125" t="str">
        <f>IF('Design Fee'!DB32&gt;0,"✔","-")</f>
        <v>-</v>
      </c>
      <c r="AV32" s="125" t="str">
        <f>IF('Design Fee'!DC32&gt;0,"✔","-")</f>
        <v>-</v>
      </c>
      <c r="AW32" s="127"/>
      <c r="AX32" s="129" t="str">
        <f>IF('Design Fee'!DX32&gt;0,"✔","-")</f>
        <v>-</v>
      </c>
      <c r="AY32" s="128"/>
      <c r="AZ32" s="124" t="str">
        <f>IF('Design Fee'!EC32&gt;0,"✔","-")</f>
        <v>-</v>
      </c>
      <c r="BA32" s="124" t="str">
        <f>IF('Design Fee'!ED32&gt;0,"✔","-")</f>
        <v>-</v>
      </c>
      <c r="BB32" s="124" t="str">
        <f>IF('Design Fee'!EE32&gt;0,"✔","-")</f>
        <v>-</v>
      </c>
      <c r="BC32" s="124" t="str">
        <f>IF('Design Fee'!EF32&gt;0,"✔","-")</f>
        <v>-</v>
      </c>
      <c r="BD32" s="124" t="str">
        <f>IF('Design Fee'!EG32&gt;0,"✔","-")</f>
        <v>-</v>
      </c>
      <c r="BE32" s="125" t="str">
        <f>IF('Design Fee'!EI32&gt;0,"✔","-")</f>
        <v>-</v>
      </c>
      <c r="BF32" s="125" t="str">
        <f>IF('Design Fee'!EJ32&gt;0,"✔","-")</f>
        <v>-</v>
      </c>
      <c r="BG32" s="125" t="str">
        <f>IF('Design Fee'!EK32&gt;0,"✔","-")</f>
        <v>-</v>
      </c>
      <c r="BH32" s="125" t="str">
        <f>IF('Design Fee'!EL32&gt;0,"✔","-")</f>
        <v>-</v>
      </c>
      <c r="BI32" s="125" t="str">
        <f>IF('Design Fee'!EM32&gt;0,"✔","-")</f>
        <v>-</v>
      </c>
      <c r="BJ32" s="86"/>
    </row>
    <row r="33" spans="2:62" ht="12.6" hidden="1" customHeight="1" outlineLevel="2">
      <c r="B33" s="86"/>
      <c r="C33" s="121">
        <v>3</v>
      </c>
      <c r="D33" s="76" t="s">
        <v>35</v>
      </c>
      <c r="F33" s="322"/>
      <c r="G33" s="322"/>
      <c r="H33" s="322"/>
      <c r="I33" s="451"/>
      <c r="J33" s="76"/>
      <c r="K33" s="129" t="str">
        <f>IF('Design Fee'!V33&gt;0,"✔","-")</f>
        <v>-</v>
      </c>
      <c r="L33" s="123"/>
      <c r="M33" s="124" t="str">
        <f>IF('Design Fee'!AA33&gt;0,"✔","-")</f>
        <v>-</v>
      </c>
      <c r="N33" s="124" t="str">
        <f>IF('Design Fee'!AB33&gt;0,"✔","-")</f>
        <v>-</v>
      </c>
      <c r="O33" s="124" t="str">
        <f>IF('Design Fee'!AC33&gt;0,"✔","-")</f>
        <v>-</v>
      </c>
      <c r="P33" s="124" t="str">
        <f>IF('Design Fee'!AD33&gt;0,"✔","-")</f>
        <v>-</v>
      </c>
      <c r="Q33" s="124" t="str">
        <f>IF('Design Fee'!AE33&gt;0,"✔","-")</f>
        <v>-</v>
      </c>
      <c r="R33" s="125" t="str">
        <f>IF('Design Fee'!AG33&gt;0,"✔","-")</f>
        <v>-</v>
      </c>
      <c r="S33" s="125" t="str">
        <f>IF('Design Fee'!AH33&gt;0,"✔","-")</f>
        <v>-</v>
      </c>
      <c r="T33" s="125" t="str">
        <f>IF('Design Fee'!AI33&gt;0,"✔","-")</f>
        <v>-</v>
      </c>
      <c r="U33" s="125" t="str">
        <f>IF('Design Fee'!AJ33&gt;0,"✔","-")</f>
        <v>-</v>
      </c>
      <c r="V33" s="125" t="str">
        <f>IF('Design Fee'!AK33&gt;0,"✔","-")</f>
        <v>-</v>
      </c>
      <c r="W33" s="136"/>
      <c r="X33" s="129" t="str">
        <f>IF('Design Fee'!BE33&gt;0,"✔","-")</f>
        <v>-</v>
      </c>
      <c r="Y33" s="128"/>
      <c r="Z33" s="124" t="str">
        <f>IF('Design Fee'!BJ33&gt;0,"✔","-")</f>
        <v>-</v>
      </c>
      <c r="AA33" s="124" t="str">
        <f>IF('Design Fee'!BK33&gt;0,"✔","-")</f>
        <v>-</v>
      </c>
      <c r="AB33" s="124" t="str">
        <f>IF('Design Fee'!BL33&gt;0,"✔","-")</f>
        <v>-</v>
      </c>
      <c r="AC33" s="124" t="str">
        <f>IF('Design Fee'!BM33&gt;0,"✔","-")</f>
        <v>-</v>
      </c>
      <c r="AD33" s="124" t="str">
        <f>IF('Design Fee'!BN33&gt;0,"✔","-")</f>
        <v>-</v>
      </c>
      <c r="AE33" s="125" t="str">
        <f>IF('Design Fee'!BP33&gt;0,"✔","-")</f>
        <v>-</v>
      </c>
      <c r="AF33" s="125" t="str">
        <f>IF('Design Fee'!BQ33&gt;0,"✔","-")</f>
        <v>-</v>
      </c>
      <c r="AG33" s="125" t="str">
        <f>IF('Design Fee'!BR33&gt;0,"✔","-")</f>
        <v>-</v>
      </c>
      <c r="AH33" s="125" t="str">
        <f>IF('Design Fee'!BS33&gt;0,"✔","-")</f>
        <v>-</v>
      </c>
      <c r="AI33" s="125" t="str">
        <f>IF('Design Fee'!BT33&gt;0,"✔","-")</f>
        <v>-</v>
      </c>
      <c r="AJ33" s="128"/>
      <c r="AK33" s="129" t="str">
        <f>IF('Design Fee'!CN33&gt;0,"✔","-")</f>
        <v>-</v>
      </c>
      <c r="AL33" s="128"/>
      <c r="AM33" s="124" t="str">
        <f>IF('Design Fee'!CS33&gt;0,"✔","-")</f>
        <v>-</v>
      </c>
      <c r="AN33" s="124" t="str">
        <f>IF('Design Fee'!CT33&gt;0,"✔","-")</f>
        <v>-</v>
      </c>
      <c r="AO33" s="124" t="str">
        <f>IF('Design Fee'!CU33&gt;0,"✔","-")</f>
        <v>-</v>
      </c>
      <c r="AP33" s="124" t="str">
        <f>IF('Design Fee'!CV33&gt;0,"✔","-")</f>
        <v>-</v>
      </c>
      <c r="AQ33" s="124" t="str">
        <f>IF('Design Fee'!CW33&gt;0,"✔","-")</f>
        <v>-</v>
      </c>
      <c r="AR33" s="125" t="str">
        <f>IF('Design Fee'!CY33&gt;0,"✔","-")</f>
        <v>-</v>
      </c>
      <c r="AS33" s="125" t="str">
        <f>IF('Design Fee'!CZ33&gt;0,"✔","-")</f>
        <v>-</v>
      </c>
      <c r="AT33" s="125" t="str">
        <f>IF('Design Fee'!DA33&gt;0,"✔","-")</f>
        <v>-</v>
      </c>
      <c r="AU33" s="125" t="str">
        <f>IF('Design Fee'!DB33&gt;0,"✔","-")</f>
        <v>-</v>
      </c>
      <c r="AV33" s="125" t="str">
        <f>IF('Design Fee'!DC33&gt;0,"✔","-")</f>
        <v>-</v>
      </c>
      <c r="AW33" s="136"/>
      <c r="AX33" s="129" t="str">
        <f>IF('Design Fee'!DX33&gt;0,"✔","-")</f>
        <v>-</v>
      </c>
      <c r="AY33" s="128"/>
      <c r="AZ33" s="124" t="str">
        <f>IF('Design Fee'!EC33&gt;0,"✔","-")</f>
        <v>-</v>
      </c>
      <c r="BA33" s="124" t="str">
        <f>IF('Design Fee'!ED33&gt;0,"✔","-")</f>
        <v>-</v>
      </c>
      <c r="BB33" s="124" t="str">
        <f>IF('Design Fee'!EE33&gt;0,"✔","-")</f>
        <v>-</v>
      </c>
      <c r="BC33" s="124" t="str">
        <f>IF('Design Fee'!EF33&gt;0,"✔","-")</f>
        <v>-</v>
      </c>
      <c r="BD33" s="124" t="str">
        <f>IF('Design Fee'!EG33&gt;0,"✔","-")</f>
        <v>-</v>
      </c>
      <c r="BE33" s="125" t="str">
        <f>IF('Design Fee'!EI33&gt;0,"✔","-")</f>
        <v>-</v>
      </c>
      <c r="BF33" s="125" t="str">
        <f>IF('Design Fee'!EJ33&gt;0,"✔","-")</f>
        <v>-</v>
      </c>
      <c r="BG33" s="125" t="str">
        <f>IF('Design Fee'!EK33&gt;0,"✔","-")</f>
        <v>-</v>
      </c>
      <c r="BH33" s="125" t="str">
        <f>IF('Design Fee'!EL33&gt;0,"✔","-")</f>
        <v>-</v>
      </c>
      <c r="BI33" s="125" t="str">
        <f>IF('Design Fee'!EM33&gt;0,"✔","-")</f>
        <v>-</v>
      </c>
      <c r="BJ33" s="86"/>
    </row>
    <row r="34" spans="2:62" ht="12.6" hidden="1" customHeight="1" outlineLevel="2">
      <c r="B34" s="86"/>
      <c r="C34" s="121">
        <v>4</v>
      </c>
      <c r="D34" s="76" t="s">
        <v>36</v>
      </c>
      <c r="F34" s="322"/>
      <c r="G34" s="322"/>
      <c r="H34" s="322"/>
      <c r="I34" s="451"/>
      <c r="J34" s="76"/>
      <c r="K34" s="129" t="str">
        <f>IF('Design Fee'!V34&gt;0,"✔","-")</f>
        <v>-</v>
      </c>
      <c r="L34" s="123"/>
      <c r="M34" s="124" t="str">
        <f>IF('Design Fee'!AA34&gt;0,"✔","-")</f>
        <v>-</v>
      </c>
      <c r="N34" s="124" t="str">
        <f>IF('Design Fee'!AB34&gt;0,"✔","-")</f>
        <v>-</v>
      </c>
      <c r="O34" s="124" t="str">
        <f>IF('Design Fee'!AC34&gt;0,"✔","-")</f>
        <v>-</v>
      </c>
      <c r="P34" s="124" t="str">
        <f>IF('Design Fee'!AD34&gt;0,"✔","-")</f>
        <v>-</v>
      </c>
      <c r="Q34" s="124" t="str">
        <f>IF('Design Fee'!AE34&gt;0,"✔","-")</f>
        <v>-</v>
      </c>
      <c r="R34" s="125" t="str">
        <f>IF('Design Fee'!AG34&gt;0,"✔","-")</f>
        <v>-</v>
      </c>
      <c r="S34" s="125" t="str">
        <f>IF('Design Fee'!AH34&gt;0,"✔","-")</f>
        <v>-</v>
      </c>
      <c r="T34" s="125" t="str">
        <f>IF('Design Fee'!AI34&gt;0,"✔","-")</f>
        <v>-</v>
      </c>
      <c r="U34" s="125" t="str">
        <f>IF('Design Fee'!AJ34&gt;0,"✔","-")</f>
        <v>-</v>
      </c>
      <c r="V34" s="125" t="str">
        <f>IF('Design Fee'!AK34&gt;0,"✔","-")</f>
        <v>-</v>
      </c>
      <c r="W34" s="136"/>
      <c r="X34" s="129" t="str">
        <f>IF('Design Fee'!BE34&gt;0,"✔","-")</f>
        <v>-</v>
      </c>
      <c r="Y34" s="128"/>
      <c r="Z34" s="124" t="str">
        <f>IF('Design Fee'!BJ34&gt;0,"✔","-")</f>
        <v>-</v>
      </c>
      <c r="AA34" s="124" t="str">
        <f>IF('Design Fee'!BK34&gt;0,"✔","-")</f>
        <v>-</v>
      </c>
      <c r="AB34" s="124" t="str">
        <f>IF('Design Fee'!BL34&gt;0,"✔","-")</f>
        <v>-</v>
      </c>
      <c r="AC34" s="124" t="str">
        <f>IF('Design Fee'!BM34&gt;0,"✔","-")</f>
        <v>-</v>
      </c>
      <c r="AD34" s="124" t="str">
        <f>IF('Design Fee'!BN34&gt;0,"✔","-")</f>
        <v>-</v>
      </c>
      <c r="AE34" s="125" t="str">
        <f>IF('Design Fee'!BP34&gt;0,"✔","-")</f>
        <v>-</v>
      </c>
      <c r="AF34" s="125" t="str">
        <f>IF('Design Fee'!BQ34&gt;0,"✔","-")</f>
        <v>-</v>
      </c>
      <c r="AG34" s="125" t="str">
        <f>IF('Design Fee'!BR34&gt;0,"✔","-")</f>
        <v>-</v>
      </c>
      <c r="AH34" s="125" t="str">
        <f>IF('Design Fee'!BS34&gt;0,"✔","-")</f>
        <v>-</v>
      </c>
      <c r="AI34" s="125" t="str">
        <f>IF('Design Fee'!BT34&gt;0,"✔","-")</f>
        <v>-</v>
      </c>
      <c r="AJ34" s="128"/>
      <c r="AK34" s="129" t="str">
        <f>IF('Design Fee'!CN34&gt;0,"✔","-")</f>
        <v>-</v>
      </c>
      <c r="AL34" s="128"/>
      <c r="AM34" s="124" t="str">
        <f>IF('Design Fee'!CS34&gt;0,"✔","-")</f>
        <v>-</v>
      </c>
      <c r="AN34" s="124" t="str">
        <f>IF('Design Fee'!CT34&gt;0,"✔","-")</f>
        <v>-</v>
      </c>
      <c r="AO34" s="124" t="str">
        <f>IF('Design Fee'!CU34&gt;0,"✔","-")</f>
        <v>-</v>
      </c>
      <c r="AP34" s="124" t="str">
        <f>IF('Design Fee'!CV34&gt;0,"✔","-")</f>
        <v>-</v>
      </c>
      <c r="AQ34" s="124" t="str">
        <f>IF('Design Fee'!CW34&gt;0,"✔","-")</f>
        <v>-</v>
      </c>
      <c r="AR34" s="125" t="str">
        <f>IF('Design Fee'!CY34&gt;0,"✔","-")</f>
        <v>-</v>
      </c>
      <c r="AS34" s="125" t="str">
        <f>IF('Design Fee'!CZ34&gt;0,"✔","-")</f>
        <v>-</v>
      </c>
      <c r="AT34" s="125" t="str">
        <f>IF('Design Fee'!DA34&gt;0,"✔","-")</f>
        <v>-</v>
      </c>
      <c r="AU34" s="125" t="str">
        <f>IF('Design Fee'!DB34&gt;0,"✔","-")</f>
        <v>-</v>
      </c>
      <c r="AV34" s="125" t="str">
        <f>IF('Design Fee'!DC34&gt;0,"✔","-")</f>
        <v>-</v>
      </c>
      <c r="AW34" s="136"/>
      <c r="AX34" s="129" t="str">
        <f>IF('Design Fee'!DX34&gt;0,"✔","-")</f>
        <v>-</v>
      </c>
      <c r="AY34" s="128"/>
      <c r="AZ34" s="124" t="str">
        <f>IF('Design Fee'!EC34&gt;0,"✔","-")</f>
        <v>-</v>
      </c>
      <c r="BA34" s="124" t="str">
        <f>IF('Design Fee'!ED34&gt;0,"✔","-")</f>
        <v>-</v>
      </c>
      <c r="BB34" s="124" t="str">
        <f>IF('Design Fee'!EE34&gt;0,"✔","-")</f>
        <v>-</v>
      </c>
      <c r="BC34" s="124" t="str">
        <f>IF('Design Fee'!EF34&gt;0,"✔","-")</f>
        <v>-</v>
      </c>
      <c r="BD34" s="124" t="str">
        <f>IF('Design Fee'!EG34&gt;0,"✔","-")</f>
        <v>-</v>
      </c>
      <c r="BE34" s="125" t="str">
        <f>IF('Design Fee'!EI34&gt;0,"✔","-")</f>
        <v>-</v>
      </c>
      <c r="BF34" s="125" t="str">
        <f>IF('Design Fee'!EJ34&gt;0,"✔","-")</f>
        <v>-</v>
      </c>
      <c r="BG34" s="125" t="str">
        <f>IF('Design Fee'!EK34&gt;0,"✔","-")</f>
        <v>-</v>
      </c>
      <c r="BH34" s="125" t="str">
        <f>IF('Design Fee'!EL34&gt;0,"✔","-")</f>
        <v>-</v>
      </c>
      <c r="BI34" s="125" t="str">
        <f>IF('Design Fee'!EM34&gt;0,"✔","-")</f>
        <v>-</v>
      </c>
      <c r="BJ34" s="86"/>
    </row>
    <row r="35" spans="2:62" ht="12.6" hidden="1" customHeight="1" outlineLevel="2">
      <c r="B35" s="86"/>
      <c r="C35" s="121">
        <v>5</v>
      </c>
      <c r="D35" s="76" t="s">
        <v>37</v>
      </c>
      <c r="F35" s="322"/>
      <c r="G35" s="322"/>
      <c r="H35" s="322"/>
      <c r="I35" s="451"/>
      <c r="J35" s="76"/>
      <c r="K35" s="129" t="str">
        <f>IF('Design Fee'!V35&gt;0,"✔","-")</f>
        <v>-</v>
      </c>
      <c r="L35" s="123"/>
      <c r="M35" s="124" t="str">
        <f>IF('Design Fee'!AA35&gt;0,"✔","-")</f>
        <v>-</v>
      </c>
      <c r="N35" s="124" t="str">
        <f>IF('Design Fee'!AB35&gt;0,"✔","-")</f>
        <v>-</v>
      </c>
      <c r="O35" s="124" t="str">
        <f>IF('Design Fee'!AC35&gt;0,"✔","-")</f>
        <v>-</v>
      </c>
      <c r="P35" s="124" t="str">
        <f>IF('Design Fee'!AD35&gt;0,"✔","-")</f>
        <v>-</v>
      </c>
      <c r="Q35" s="124" t="str">
        <f>IF('Design Fee'!AE35&gt;0,"✔","-")</f>
        <v>-</v>
      </c>
      <c r="R35" s="125" t="str">
        <f>IF('Design Fee'!AG35&gt;0,"✔","-")</f>
        <v>-</v>
      </c>
      <c r="S35" s="125" t="str">
        <f>IF('Design Fee'!AH35&gt;0,"✔","-")</f>
        <v>-</v>
      </c>
      <c r="T35" s="125" t="str">
        <f>IF('Design Fee'!AI35&gt;0,"✔","-")</f>
        <v>-</v>
      </c>
      <c r="U35" s="125" t="str">
        <f>IF('Design Fee'!AJ35&gt;0,"✔","-")</f>
        <v>-</v>
      </c>
      <c r="V35" s="125" t="str">
        <f>IF('Design Fee'!AK35&gt;0,"✔","-")</f>
        <v>-</v>
      </c>
      <c r="W35" s="136"/>
      <c r="X35" s="129" t="str">
        <f>IF('Design Fee'!BE35&gt;0,"✔","-")</f>
        <v>-</v>
      </c>
      <c r="Y35" s="128"/>
      <c r="Z35" s="124" t="str">
        <f>IF('Design Fee'!BJ35&gt;0,"✔","-")</f>
        <v>-</v>
      </c>
      <c r="AA35" s="124" t="str">
        <f>IF('Design Fee'!BK35&gt;0,"✔","-")</f>
        <v>-</v>
      </c>
      <c r="AB35" s="124" t="str">
        <f>IF('Design Fee'!BL35&gt;0,"✔","-")</f>
        <v>-</v>
      </c>
      <c r="AC35" s="124" t="str">
        <f>IF('Design Fee'!BM35&gt;0,"✔","-")</f>
        <v>-</v>
      </c>
      <c r="AD35" s="124" t="str">
        <f>IF('Design Fee'!BN35&gt;0,"✔","-")</f>
        <v>-</v>
      </c>
      <c r="AE35" s="125" t="str">
        <f>IF('Design Fee'!BP35&gt;0,"✔","-")</f>
        <v>-</v>
      </c>
      <c r="AF35" s="125" t="str">
        <f>IF('Design Fee'!BQ35&gt;0,"✔","-")</f>
        <v>-</v>
      </c>
      <c r="AG35" s="125" t="str">
        <f>IF('Design Fee'!BR35&gt;0,"✔","-")</f>
        <v>-</v>
      </c>
      <c r="AH35" s="125" t="str">
        <f>IF('Design Fee'!BS35&gt;0,"✔","-")</f>
        <v>-</v>
      </c>
      <c r="AI35" s="125" t="str">
        <f>IF('Design Fee'!BT35&gt;0,"✔","-")</f>
        <v>-</v>
      </c>
      <c r="AJ35" s="128"/>
      <c r="AK35" s="129" t="str">
        <f>IF('Design Fee'!CN35&gt;0,"✔","-")</f>
        <v>-</v>
      </c>
      <c r="AL35" s="128"/>
      <c r="AM35" s="124" t="str">
        <f>IF('Design Fee'!CS35&gt;0,"✔","-")</f>
        <v>-</v>
      </c>
      <c r="AN35" s="124" t="str">
        <f>IF('Design Fee'!CT35&gt;0,"✔","-")</f>
        <v>-</v>
      </c>
      <c r="AO35" s="124" t="str">
        <f>IF('Design Fee'!CU35&gt;0,"✔","-")</f>
        <v>-</v>
      </c>
      <c r="AP35" s="124" t="str">
        <f>IF('Design Fee'!CV35&gt;0,"✔","-")</f>
        <v>-</v>
      </c>
      <c r="AQ35" s="124" t="str">
        <f>IF('Design Fee'!CW35&gt;0,"✔","-")</f>
        <v>-</v>
      </c>
      <c r="AR35" s="125" t="str">
        <f>IF('Design Fee'!CY35&gt;0,"✔","-")</f>
        <v>-</v>
      </c>
      <c r="AS35" s="125" t="str">
        <f>IF('Design Fee'!CZ35&gt;0,"✔","-")</f>
        <v>-</v>
      </c>
      <c r="AT35" s="125" t="str">
        <f>IF('Design Fee'!DA35&gt;0,"✔","-")</f>
        <v>-</v>
      </c>
      <c r="AU35" s="125" t="str">
        <f>IF('Design Fee'!DB35&gt;0,"✔","-")</f>
        <v>-</v>
      </c>
      <c r="AV35" s="125" t="str">
        <f>IF('Design Fee'!DC35&gt;0,"✔","-")</f>
        <v>-</v>
      </c>
      <c r="AW35" s="136"/>
      <c r="AX35" s="129" t="str">
        <f>IF('Design Fee'!DX35&gt;0,"✔","-")</f>
        <v>-</v>
      </c>
      <c r="AY35" s="128"/>
      <c r="AZ35" s="124" t="str">
        <f>IF('Design Fee'!EC35&gt;0,"✔","-")</f>
        <v>-</v>
      </c>
      <c r="BA35" s="124" t="str">
        <f>IF('Design Fee'!ED35&gt;0,"✔","-")</f>
        <v>-</v>
      </c>
      <c r="BB35" s="124" t="str">
        <f>IF('Design Fee'!EE35&gt;0,"✔","-")</f>
        <v>-</v>
      </c>
      <c r="BC35" s="124" t="str">
        <f>IF('Design Fee'!EF35&gt;0,"✔","-")</f>
        <v>-</v>
      </c>
      <c r="BD35" s="124" t="str">
        <f>IF('Design Fee'!EG35&gt;0,"✔","-")</f>
        <v>-</v>
      </c>
      <c r="BE35" s="125" t="str">
        <f>IF('Design Fee'!EI35&gt;0,"✔","-")</f>
        <v>-</v>
      </c>
      <c r="BF35" s="125" t="str">
        <f>IF('Design Fee'!EJ35&gt;0,"✔","-")</f>
        <v>-</v>
      </c>
      <c r="BG35" s="125" t="str">
        <f>IF('Design Fee'!EK35&gt;0,"✔","-")</f>
        <v>-</v>
      </c>
      <c r="BH35" s="125" t="str">
        <f>IF('Design Fee'!EL35&gt;0,"✔","-")</f>
        <v>-</v>
      </c>
      <c r="BI35" s="125" t="str">
        <f>IF('Design Fee'!EM35&gt;0,"✔","-")</f>
        <v>-</v>
      </c>
      <c r="BJ35" s="86"/>
    </row>
    <row r="36" spans="2:62" ht="12.6" hidden="1" customHeight="1" outlineLevel="2">
      <c r="B36" s="86"/>
      <c r="C36" s="121">
        <v>6</v>
      </c>
      <c r="D36" s="76" t="s">
        <v>38</v>
      </c>
      <c r="F36" s="322"/>
      <c r="G36" s="322"/>
      <c r="H36" s="322"/>
      <c r="I36" s="451"/>
      <c r="J36" s="76"/>
      <c r="K36" s="129" t="str">
        <f>IF('Design Fee'!V36&gt;0,"✔","-")</f>
        <v>-</v>
      </c>
      <c r="L36" s="123"/>
      <c r="M36" s="124" t="str">
        <f>IF('Design Fee'!AA36&gt;0,"✔","-")</f>
        <v>-</v>
      </c>
      <c r="N36" s="124" t="str">
        <f>IF('Design Fee'!AB36&gt;0,"✔","-")</f>
        <v>-</v>
      </c>
      <c r="O36" s="124" t="str">
        <f>IF('Design Fee'!AC36&gt;0,"✔","-")</f>
        <v>-</v>
      </c>
      <c r="P36" s="124" t="str">
        <f>IF('Design Fee'!AD36&gt;0,"✔","-")</f>
        <v>-</v>
      </c>
      <c r="Q36" s="124" t="str">
        <f>IF('Design Fee'!AE36&gt;0,"✔","-")</f>
        <v>-</v>
      </c>
      <c r="R36" s="125" t="str">
        <f>IF('Design Fee'!AG36&gt;0,"✔","-")</f>
        <v>-</v>
      </c>
      <c r="S36" s="125" t="str">
        <f>IF('Design Fee'!AH36&gt;0,"✔","-")</f>
        <v>-</v>
      </c>
      <c r="T36" s="125" t="str">
        <f>IF('Design Fee'!AI36&gt;0,"✔","-")</f>
        <v>-</v>
      </c>
      <c r="U36" s="125" t="str">
        <f>IF('Design Fee'!AJ36&gt;0,"✔","-")</f>
        <v>-</v>
      </c>
      <c r="V36" s="125" t="str">
        <f>IF('Design Fee'!AK36&gt;0,"✔","-")</f>
        <v>-</v>
      </c>
      <c r="W36" s="127"/>
      <c r="X36" s="129" t="str">
        <f>IF('Design Fee'!BE36&gt;0,"✔","-")</f>
        <v>-</v>
      </c>
      <c r="Y36" s="128"/>
      <c r="Z36" s="124" t="str">
        <f>IF('Design Fee'!BJ36&gt;0,"✔","-")</f>
        <v>-</v>
      </c>
      <c r="AA36" s="124" t="str">
        <f>IF('Design Fee'!BK36&gt;0,"✔","-")</f>
        <v>-</v>
      </c>
      <c r="AB36" s="124" t="str">
        <f>IF('Design Fee'!BL36&gt;0,"✔","-")</f>
        <v>-</v>
      </c>
      <c r="AC36" s="124" t="str">
        <f>IF('Design Fee'!BM36&gt;0,"✔","-")</f>
        <v>-</v>
      </c>
      <c r="AD36" s="124" t="str">
        <f>IF('Design Fee'!BN36&gt;0,"✔","-")</f>
        <v>-</v>
      </c>
      <c r="AE36" s="125" t="str">
        <f>IF('Design Fee'!BP36&gt;0,"✔","-")</f>
        <v>-</v>
      </c>
      <c r="AF36" s="125" t="str">
        <f>IF('Design Fee'!BQ36&gt;0,"✔","-")</f>
        <v>-</v>
      </c>
      <c r="AG36" s="125" t="str">
        <f>IF('Design Fee'!BR36&gt;0,"✔","-")</f>
        <v>-</v>
      </c>
      <c r="AH36" s="125" t="str">
        <f>IF('Design Fee'!BS36&gt;0,"✔","-")</f>
        <v>-</v>
      </c>
      <c r="AI36" s="125" t="str">
        <f>IF('Design Fee'!BT36&gt;0,"✔","-")</f>
        <v>-</v>
      </c>
      <c r="AJ36" s="128"/>
      <c r="AK36" s="129" t="str">
        <f>IF('Design Fee'!CN36&gt;0,"✔","-")</f>
        <v>-</v>
      </c>
      <c r="AL36" s="128"/>
      <c r="AM36" s="124" t="str">
        <f>IF('Design Fee'!CS36&gt;0,"✔","-")</f>
        <v>-</v>
      </c>
      <c r="AN36" s="124" t="str">
        <f>IF('Design Fee'!CT36&gt;0,"✔","-")</f>
        <v>-</v>
      </c>
      <c r="AO36" s="124" t="str">
        <f>IF('Design Fee'!CU36&gt;0,"✔","-")</f>
        <v>-</v>
      </c>
      <c r="AP36" s="124" t="str">
        <f>IF('Design Fee'!CV36&gt;0,"✔","-")</f>
        <v>-</v>
      </c>
      <c r="AQ36" s="124" t="str">
        <f>IF('Design Fee'!CW36&gt;0,"✔","-")</f>
        <v>-</v>
      </c>
      <c r="AR36" s="125" t="str">
        <f>IF('Design Fee'!CY36&gt;0,"✔","-")</f>
        <v>-</v>
      </c>
      <c r="AS36" s="125" t="str">
        <f>IF('Design Fee'!CZ36&gt;0,"✔","-")</f>
        <v>-</v>
      </c>
      <c r="AT36" s="125" t="str">
        <f>IF('Design Fee'!DA36&gt;0,"✔","-")</f>
        <v>-</v>
      </c>
      <c r="AU36" s="125" t="str">
        <f>IF('Design Fee'!DB36&gt;0,"✔","-")</f>
        <v>-</v>
      </c>
      <c r="AV36" s="125" t="str">
        <f>IF('Design Fee'!DC36&gt;0,"✔","-")</f>
        <v>-</v>
      </c>
      <c r="AW36" s="127"/>
      <c r="AX36" s="129" t="str">
        <f>IF('Design Fee'!DX36&gt;0,"✔","-")</f>
        <v>-</v>
      </c>
      <c r="AY36" s="128"/>
      <c r="AZ36" s="124" t="str">
        <f>IF('Design Fee'!EC36&gt;0,"✔","-")</f>
        <v>-</v>
      </c>
      <c r="BA36" s="124" t="str">
        <f>IF('Design Fee'!ED36&gt;0,"✔","-")</f>
        <v>-</v>
      </c>
      <c r="BB36" s="124" t="str">
        <f>IF('Design Fee'!EE36&gt;0,"✔","-")</f>
        <v>-</v>
      </c>
      <c r="BC36" s="124" t="str">
        <f>IF('Design Fee'!EF36&gt;0,"✔","-")</f>
        <v>-</v>
      </c>
      <c r="BD36" s="124" t="str">
        <f>IF('Design Fee'!EG36&gt;0,"✔","-")</f>
        <v>-</v>
      </c>
      <c r="BE36" s="125" t="str">
        <f>IF('Design Fee'!EI36&gt;0,"✔","-")</f>
        <v>-</v>
      </c>
      <c r="BF36" s="125" t="str">
        <f>IF('Design Fee'!EJ36&gt;0,"✔","-")</f>
        <v>-</v>
      </c>
      <c r="BG36" s="125" t="str">
        <f>IF('Design Fee'!EK36&gt;0,"✔","-")</f>
        <v>-</v>
      </c>
      <c r="BH36" s="125" t="str">
        <f>IF('Design Fee'!EL36&gt;0,"✔","-")</f>
        <v>-</v>
      </c>
      <c r="BI36" s="125" t="str">
        <f>IF('Design Fee'!EM36&gt;0,"✔","-")</f>
        <v>-</v>
      </c>
      <c r="BJ36" s="86"/>
    </row>
    <row r="37" spans="2:62" ht="12.6" hidden="1" customHeight="1" outlineLevel="2">
      <c r="B37" s="86"/>
      <c r="C37" s="121">
        <v>7</v>
      </c>
      <c r="D37" s="76" t="s">
        <v>39</v>
      </c>
      <c r="F37" s="322"/>
      <c r="G37" s="322"/>
      <c r="H37" s="322"/>
      <c r="I37" s="451"/>
      <c r="J37" s="76"/>
      <c r="K37" s="129" t="str">
        <f>IF('Design Fee'!V37&gt;0,"✔","-")</f>
        <v>-</v>
      </c>
      <c r="L37" s="123"/>
      <c r="M37" s="124" t="str">
        <f>IF('Design Fee'!AA37&gt;0,"✔","-")</f>
        <v>-</v>
      </c>
      <c r="N37" s="124" t="str">
        <f>IF('Design Fee'!AB37&gt;0,"✔","-")</f>
        <v>-</v>
      </c>
      <c r="O37" s="124" t="str">
        <f>IF('Design Fee'!AC37&gt;0,"✔","-")</f>
        <v>-</v>
      </c>
      <c r="P37" s="124" t="str">
        <f>IF('Design Fee'!AD37&gt;0,"✔","-")</f>
        <v>-</v>
      </c>
      <c r="Q37" s="124" t="str">
        <f>IF('Design Fee'!AE37&gt;0,"✔","-")</f>
        <v>-</v>
      </c>
      <c r="R37" s="125" t="str">
        <f>IF('Design Fee'!AG37&gt;0,"✔","-")</f>
        <v>-</v>
      </c>
      <c r="S37" s="125" t="str">
        <f>IF('Design Fee'!AH37&gt;0,"✔","-")</f>
        <v>-</v>
      </c>
      <c r="T37" s="125" t="str">
        <f>IF('Design Fee'!AI37&gt;0,"✔","-")</f>
        <v>-</v>
      </c>
      <c r="U37" s="125" t="str">
        <f>IF('Design Fee'!AJ37&gt;0,"✔","-")</f>
        <v>-</v>
      </c>
      <c r="V37" s="125" t="str">
        <f>IF('Design Fee'!AK37&gt;0,"✔","-")</f>
        <v>-</v>
      </c>
      <c r="W37" s="127"/>
      <c r="X37" s="129" t="str">
        <f>IF('Design Fee'!BE37&gt;0,"✔","-")</f>
        <v>-</v>
      </c>
      <c r="Y37" s="128"/>
      <c r="Z37" s="124" t="str">
        <f>IF('Design Fee'!BJ37&gt;0,"✔","-")</f>
        <v>-</v>
      </c>
      <c r="AA37" s="124" t="str">
        <f>IF('Design Fee'!BK37&gt;0,"✔","-")</f>
        <v>-</v>
      </c>
      <c r="AB37" s="124" t="str">
        <f>IF('Design Fee'!BL37&gt;0,"✔","-")</f>
        <v>-</v>
      </c>
      <c r="AC37" s="124" t="str">
        <f>IF('Design Fee'!BM37&gt;0,"✔","-")</f>
        <v>-</v>
      </c>
      <c r="AD37" s="124" t="str">
        <f>IF('Design Fee'!BN37&gt;0,"✔","-")</f>
        <v>-</v>
      </c>
      <c r="AE37" s="125" t="str">
        <f>IF('Design Fee'!BP37&gt;0,"✔","-")</f>
        <v>-</v>
      </c>
      <c r="AF37" s="125" t="str">
        <f>IF('Design Fee'!BQ37&gt;0,"✔","-")</f>
        <v>-</v>
      </c>
      <c r="AG37" s="125" t="str">
        <f>IF('Design Fee'!BR37&gt;0,"✔","-")</f>
        <v>-</v>
      </c>
      <c r="AH37" s="125" t="str">
        <f>IF('Design Fee'!BS37&gt;0,"✔","-")</f>
        <v>-</v>
      </c>
      <c r="AI37" s="125" t="str">
        <f>IF('Design Fee'!BT37&gt;0,"✔","-")</f>
        <v>-</v>
      </c>
      <c r="AJ37" s="128"/>
      <c r="AK37" s="129" t="str">
        <f>IF('Design Fee'!CN37&gt;0,"✔","-")</f>
        <v>-</v>
      </c>
      <c r="AL37" s="128"/>
      <c r="AM37" s="124" t="str">
        <f>IF('Design Fee'!CS37&gt;0,"✔","-")</f>
        <v>-</v>
      </c>
      <c r="AN37" s="124" t="str">
        <f>IF('Design Fee'!CT37&gt;0,"✔","-")</f>
        <v>-</v>
      </c>
      <c r="AO37" s="124" t="str">
        <f>IF('Design Fee'!CU37&gt;0,"✔","-")</f>
        <v>-</v>
      </c>
      <c r="AP37" s="124" t="str">
        <f>IF('Design Fee'!CV37&gt;0,"✔","-")</f>
        <v>-</v>
      </c>
      <c r="AQ37" s="124" t="str">
        <f>IF('Design Fee'!CW37&gt;0,"✔","-")</f>
        <v>-</v>
      </c>
      <c r="AR37" s="125" t="str">
        <f>IF('Design Fee'!CY37&gt;0,"✔","-")</f>
        <v>-</v>
      </c>
      <c r="AS37" s="125" t="str">
        <f>IF('Design Fee'!CZ37&gt;0,"✔","-")</f>
        <v>-</v>
      </c>
      <c r="AT37" s="125" t="str">
        <f>IF('Design Fee'!DA37&gt;0,"✔","-")</f>
        <v>-</v>
      </c>
      <c r="AU37" s="125" t="str">
        <f>IF('Design Fee'!DB37&gt;0,"✔","-")</f>
        <v>-</v>
      </c>
      <c r="AV37" s="125" t="str">
        <f>IF('Design Fee'!DC37&gt;0,"✔","-")</f>
        <v>-</v>
      </c>
      <c r="AW37" s="127"/>
      <c r="AX37" s="129" t="str">
        <f>IF('Design Fee'!DX37&gt;0,"✔","-")</f>
        <v>-</v>
      </c>
      <c r="AY37" s="128"/>
      <c r="AZ37" s="124" t="str">
        <f>IF('Design Fee'!EC37&gt;0,"✔","-")</f>
        <v>-</v>
      </c>
      <c r="BA37" s="124" t="str">
        <f>IF('Design Fee'!ED37&gt;0,"✔","-")</f>
        <v>-</v>
      </c>
      <c r="BB37" s="124" t="str">
        <f>IF('Design Fee'!EE37&gt;0,"✔","-")</f>
        <v>-</v>
      </c>
      <c r="BC37" s="124" t="str">
        <f>IF('Design Fee'!EF37&gt;0,"✔","-")</f>
        <v>-</v>
      </c>
      <c r="BD37" s="124" t="str">
        <f>IF('Design Fee'!EG37&gt;0,"✔","-")</f>
        <v>-</v>
      </c>
      <c r="BE37" s="125" t="str">
        <f>IF('Design Fee'!EI37&gt;0,"✔","-")</f>
        <v>-</v>
      </c>
      <c r="BF37" s="125" t="str">
        <f>IF('Design Fee'!EJ37&gt;0,"✔","-")</f>
        <v>-</v>
      </c>
      <c r="BG37" s="125" t="str">
        <f>IF('Design Fee'!EK37&gt;0,"✔","-")</f>
        <v>-</v>
      </c>
      <c r="BH37" s="125" t="str">
        <f>IF('Design Fee'!EL37&gt;0,"✔","-")</f>
        <v>-</v>
      </c>
      <c r="BI37" s="125" t="str">
        <f>IF('Design Fee'!EM37&gt;0,"✔","-")</f>
        <v>-</v>
      </c>
      <c r="BJ37" s="86"/>
    </row>
    <row r="38" spans="2:62" ht="3" hidden="1" customHeight="1" outlineLevel="1">
      <c r="B38" s="86"/>
      <c r="F38" s="322"/>
      <c r="G38" s="322"/>
      <c r="H38" s="322"/>
      <c r="I38" s="451"/>
      <c r="J38" s="76"/>
      <c r="K38" s="129"/>
      <c r="L38" s="123"/>
      <c r="M38" s="124"/>
      <c r="N38" s="124"/>
      <c r="O38" s="124"/>
      <c r="P38" s="124"/>
      <c r="Q38" s="124"/>
      <c r="R38" s="111"/>
      <c r="S38" s="111"/>
      <c r="T38" s="111"/>
      <c r="U38" s="111"/>
      <c r="V38" s="111"/>
      <c r="W38" s="127"/>
      <c r="X38" s="129"/>
      <c r="Y38" s="128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28"/>
      <c r="AK38" s="129"/>
      <c r="AL38" s="128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27"/>
      <c r="AX38" s="129"/>
      <c r="AY38" s="128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86"/>
    </row>
    <row r="39" spans="2:62" ht="11.85" hidden="1" customHeight="1" outlineLevel="1">
      <c r="B39" s="86"/>
      <c r="C39" s="114">
        <v>5</v>
      </c>
      <c r="D39" s="115" t="s">
        <v>40</v>
      </c>
      <c r="E39" s="321"/>
      <c r="F39" s="439">
        <f>COUNTIF('Design Fee'!V39,"&gt;0")+COUNTIF('Design Fee'!BE39,"&gt;0")+COUNTIF('Design Fee'!CN39,"&gt;0")+COUNTIF('Design Fee'!DZ39,"&gt;0")</f>
        <v>4</v>
      </c>
      <c r="G39" s="439">
        <f>COUNTIF('Design Fee'!Y39,"&gt;0")+COUNTIF('Design Fee'!BH39,"&gt;0")+COUNTIF('Design Fee'!CQ39,"&gt;0")+COUNTIF('Design Fee'!EA39,"&gt;0")</f>
        <v>4</v>
      </c>
      <c r="H39" s="439">
        <f>COUNTIF('Design Fee'!Z39,"&gt;0")+COUNTIF('Design Fee'!BI39,"&gt;0")+COUNTIF('Design Fee'!CR39,"&gt;0")+COUNTIF('Design Fee'!EB39,"&gt;0")</f>
        <v>4</v>
      </c>
      <c r="I39" s="450">
        <f>F39-G39</f>
        <v>0</v>
      </c>
      <c r="J39" s="116"/>
      <c r="K39" s="117" t="str">
        <f>IF('Design Fee'!V44&gt;0,"✔","-")</f>
        <v>✔</v>
      </c>
      <c r="L39" s="117"/>
      <c r="M39" s="118" t="str">
        <f>IF('Design Fee'!AA44&gt;0,"✔","-")</f>
        <v>-</v>
      </c>
      <c r="N39" s="118" t="str">
        <f>IF('Design Fee'!AB44&gt;0,"✔","-")</f>
        <v>-</v>
      </c>
      <c r="O39" s="118" t="str">
        <f>IF('Design Fee'!AC44&gt;0,"✔","-")</f>
        <v>-</v>
      </c>
      <c r="P39" s="118" t="str">
        <f>IF('Design Fee'!AD44&gt;0,"✔","-")</f>
        <v>-</v>
      </c>
      <c r="Q39" s="118" t="str">
        <f>IF('Design Fee'!AE44&gt;0,"✔","-")</f>
        <v>-</v>
      </c>
      <c r="R39" s="119" t="str">
        <f>IF('Design Fee'!AG44&gt;0,"✔","-")</f>
        <v>-</v>
      </c>
      <c r="S39" s="119" t="str">
        <f>IF('Design Fee'!AH44&gt;0,"✔","-")</f>
        <v>-</v>
      </c>
      <c r="T39" s="137" t="str">
        <f>IF('Design Fee'!AI44&gt;0,"✔","-")</f>
        <v>-</v>
      </c>
      <c r="U39" s="137" t="str">
        <f>IF('Design Fee'!AJ44&gt;0,"✔","-")</f>
        <v>-</v>
      </c>
      <c r="V39" s="137" t="str">
        <f>IF('Design Fee'!AK44&gt;0,"✔","-")</f>
        <v>-</v>
      </c>
      <c r="W39" s="120"/>
      <c r="X39" s="117" t="str">
        <f>IF('Design Fee'!BE44&gt;0,"✔","-")</f>
        <v>-</v>
      </c>
      <c r="Y39" s="117"/>
      <c r="Z39" s="118" t="str">
        <f>IF('Design Fee'!BJ44&gt;0,"✔","-")</f>
        <v>-</v>
      </c>
      <c r="AA39" s="118" t="str">
        <f>IF('Design Fee'!BK44&gt;0,"✔","-")</f>
        <v>-</v>
      </c>
      <c r="AB39" s="118" t="str">
        <f>IF('Design Fee'!BL44&gt;0,"✔","-")</f>
        <v>-</v>
      </c>
      <c r="AC39" s="118" t="str">
        <f>IF('Design Fee'!BM44&gt;0,"✔","-")</f>
        <v>-</v>
      </c>
      <c r="AD39" s="118" t="str">
        <f>IF('Design Fee'!BN44&gt;0,"✔","-")</f>
        <v>-</v>
      </c>
      <c r="AE39" s="119" t="str">
        <f>IF('Design Fee'!BP44&gt;0,"✔","-")</f>
        <v>-</v>
      </c>
      <c r="AF39" s="119" t="str">
        <f>IF('Design Fee'!BQ44&gt;0,"✔","-")</f>
        <v>-</v>
      </c>
      <c r="AG39" s="137" t="str">
        <f>IF('Design Fee'!BR44&gt;0,"✔","-")</f>
        <v>-</v>
      </c>
      <c r="AH39" s="137" t="str">
        <f>IF('Design Fee'!BS44&gt;0,"✔","-")</f>
        <v>-</v>
      </c>
      <c r="AI39" s="137" t="str">
        <f>IF('Design Fee'!BT44&gt;0,"✔","-")</f>
        <v>-</v>
      </c>
      <c r="AJ39" s="117"/>
      <c r="AK39" s="117" t="str">
        <f>IF('Design Fee'!CN44&gt;0,"✔","-")</f>
        <v>-</v>
      </c>
      <c r="AL39" s="117"/>
      <c r="AM39" s="118" t="str">
        <f>IF('Design Fee'!CS44&gt;0,"✔","-")</f>
        <v>-</v>
      </c>
      <c r="AN39" s="118" t="str">
        <f>IF('Design Fee'!CT44&gt;0,"✔","-")</f>
        <v>-</v>
      </c>
      <c r="AO39" s="118" t="str">
        <f>IF('Design Fee'!CU44&gt;0,"✔","-")</f>
        <v>-</v>
      </c>
      <c r="AP39" s="118" t="str">
        <f>IF('Design Fee'!CV44&gt;0,"✔","-")</f>
        <v>-</v>
      </c>
      <c r="AQ39" s="118" t="str">
        <f>IF('Design Fee'!CW44&gt;0,"✔","-")</f>
        <v>-</v>
      </c>
      <c r="AR39" s="119" t="str">
        <f>IF('Design Fee'!CY44&gt;0,"✔","-")</f>
        <v>-</v>
      </c>
      <c r="AS39" s="119" t="str">
        <f>IF('Design Fee'!CZ44&gt;0,"✔","-")</f>
        <v>-</v>
      </c>
      <c r="AT39" s="137" t="str">
        <f>IF('Design Fee'!DA44&gt;0,"✔","-")</f>
        <v>-</v>
      </c>
      <c r="AU39" s="137" t="str">
        <f>IF('Design Fee'!DB44&gt;0,"✔","-")</f>
        <v>-</v>
      </c>
      <c r="AV39" s="137" t="str">
        <f>IF('Design Fee'!DC44&gt;0,"✔","-")</f>
        <v>-</v>
      </c>
      <c r="AW39" s="120"/>
      <c r="AX39" s="117" t="str">
        <f>IF('Design Fee'!DX44&gt;0,"✔","-")</f>
        <v>✔</v>
      </c>
      <c r="AY39" s="117"/>
      <c r="AZ39" s="118" t="str">
        <f>IF('Design Fee'!EC44&gt;0,"✔","-")</f>
        <v>-</v>
      </c>
      <c r="BA39" s="118" t="str">
        <f>IF('Design Fee'!ED44&gt;0,"✔","-")</f>
        <v>-</v>
      </c>
      <c r="BB39" s="118" t="str">
        <f>IF('Design Fee'!EE44&gt;0,"✔","-")</f>
        <v>-</v>
      </c>
      <c r="BC39" s="118" t="str">
        <f>IF('Design Fee'!EF44&gt;0,"✔","-")</f>
        <v>-</v>
      </c>
      <c r="BD39" s="118" t="str">
        <f>IF('Design Fee'!EG44&gt;0,"✔","-")</f>
        <v>-</v>
      </c>
      <c r="BE39" s="119" t="str">
        <f>IF('Design Fee'!EI44&gt;0,"✔","-")</f>
        <v>-</v>
      </c>
      <c r="BF39" s="119" t="str">
        <f>IF('Design Fee'!EJ44&gt;0,"✔","-")</f>
        <v>-</v>
      </c>
      <c r="BG39" s="137" t="str">
        <f>IF('Design Fee'!EK44&gt;0,"✔","-")</f>
        <v>-</v>
      </c>
      <c r="BH39" s="137" t="str">
        <f>IF('Design Fee'!EL44&gt;0,"✔","-")</f>
        <v>-</v>
      </c>
      <c r="BI39" s="137" t="str">
        <f>IF('Design Fee'!EM44&gt;0,"✔","-")</f>
        <v>-</v>
      </c>
      <c r="BJ39" s="86"/>
    </row>
    <row r="40" spans="2:62" ht="11.85" hidden="1" customHeight="1" outlineLevel="2">
      <c r="B40" s="86"/>
      <c r="C40" s="121">
        <v>1</v>
      </c>
      <c r="D40" s="76" t="s">
        <v>41</v>
      </c>
      <c r="F40" s="322"/>
      <c r="G40" s="322"/>
      <c r="H40" s="322"/>
      <c r="I40" s="451"/>
      <c r="J40" s="76"/>
      <c r="K40" s="129" t="str">
        <f>IF('Design Fee'!V45&gt;0,"✔","-")</f>
        <v>-</v>
      </c>
      <c r="L40" s="123"/>
      <c r="M40" s="124" t="str">
        <f>IF('Design Fee'!AA45&gt;0,"✔","-")</f>
        <v>-</v>
      </c>
      <c r="N40" s="124" t="str">
        <f>IF('Design Fee'!AB45&gt;0,"✔","-")</f>
        <v>-</v>
      </c>
      <c r="O40" s="124" t="str">
        <f>IF('Design Fee'!AC45&gt;0,"✔","-")</f>
        <v>-</v>
      </c>
      <c r="P40" s="124" t="str">
        <f>IF('Design Fee'!AD45&gt;0,"✔","-")</f>
        <v>-</v>
      </c>
      <c r="Q40" s="124" t="str">
        <f>IF('Design Fee'!AE45&gt;0,"✔","-")</f>
        <v>-</v>
      </c>
      <c r="R40" s="125" t="str">
        <f>IF('Design Fee'!AG45&gt;0,"✔","-")</f>
        <v>-</v>
      </c>
      <c r="S40" s="125" t="str">
        <f>IF('Design Fee'!AH45&gt;0,"✔","-")</f>
        <v>-</v>
      </c>
      <c r="T40" s="125" t="str">
        <f>IF('Design Fee'!AI45&gt;0,"✔","-")</f>
        <v>-</v>
      </c>
      <c r="U40" s="125" t="str">
        <f>IF('Design Fee'!AJ45&gt;0,"✔","-")</f>
        <v>-</v>
      </c>
      <c r="V40" s="125" t="str">
        <f>IF('Design Fee'!AK45&gt;0,"✔","-")</f>
        <v>-</v>
      </c>
      <c r="W40" s="127"/>
      <c r="X40" s="129" t="str">
        <f>IF('Design Fee'!BE45&gt;0,"✔","-")</f>
        <v>-</v>
      </c>
      <c r="Y40" s="128"/>
      <c r="Z40" s="124" t="str">
        <f>IF('Design Fee'!BJ45&gt;0,"✔","-")</f>
        <v>-</v>
      </c>
      <c r="AA40" s="124" t="str">
        <f>IF('Design Fee'!BK45&gt;0,"✔","-")</f>
        <v>-</v>
      </c>
      <c r="AB40" s="124" t="str">
        <f>IF('Design Fee'!BL45&gt;0,"✔","-")</f>
        <v>-</v>
      </c>
      <c r="AC40" s="124" t="str">
        <f>IF('Design Fee'!BM45&gt;0,"✔","-")</f>
        <v>-</v>
      </c>
      <c r="AD40" s="124" t="str">
        <f>IF('Design Fee'!BN45&gt;0,"✔","-")</f>
        <v>-</v>
      </c>
      <c r="AE40" s="125" t="str">
        <f>IF('Design Fee'!BP45&gt;0,"✔","-")</f>
        <v>-</v>
      </c>
      <c r="AF40" s="125" t="str">
        <f>IF('Design Fee'!BQ45&gt;0,"✔","-")</f>
        <v>-</v>
      </c>
      <c r="AG40" s="125" t="str">
        <f>IF('Design Fee'!BR45&gt;0,"✔","-")</f>
        <v>-</v>
      </c>
      <c r="AH40" s="125" t="str">
        <f>IF('Design Fee'!BS45&gt;0,"✔","-")</f>
        <v>-</v>
      </c>
      <c r="AI40" s="125" t="str">
        <f>IF('Design Fee'!BT45&gt;0,"✔","-")</f>
        <v>-</v>
      </c>
      <c r="AJ40" s="128"/>
      <c r="AK40" s="129" t="str">
        <f>IF('Design Fee'!CN45&gt;0,"✔","-")</f>
        <v>-</v>
      </c>
      <c r="AL40" s="128"/>
      <c r="AM40" s="124" t="str">
        <f>IF('Design Fee'!CS45&gt;0,"✔","-")</f>
        <v>-</v>
      </c>
      <c r="AN40" s="124" t="str">
        <f>IF('Design Fee'!CT45&gt;0,"✔","-")</f>
        <v>-</v>
      </c>
      <c r="AO40" s="124" t="str">
        <f>IF('Design Fee'!CU45&gt;0,"✔","-")</f>
        <v>-</v>
      </c>
      <c r="AP40" s="124" t="str">
        <f>IF('Design Fee'!CV45&gt;0,"✔","-")</f>
        <v>-</v>
      </c>
      <c r="AQ40" s="124" t="str">
        <f>IF('Design Fee'!CW45&gt;0,"✔","-")</f>
        <v>-</v>
      </c>
      <c r="AR40" s="125" t="str">
        <f>IF('Design Fee'!CY45&gt;0,"✔","-")</f>
        <v>-</v>
      </c>
      <c r="AS40" s="125" t="str">
        <f>IF('Design Fee'!CZ45&gt;0,"✔","-")</f>
        <v>-</v>
      </c>
      <c r="AT40" s="125" t="str">
        <f>IF('Design Fee'!DA45&gt;0,"✔","-")</f>
        <v>-</v>
      </c>
      <c r="AU40" s="125" t="str">
        <f>IF('Design Fee'!DB45&gt;0,"✔","-")</f>
        <v>-</v>
      </c>
      <c r="AV40" s="125" t="str">
        <f>IF('Design Fee'!DC45&gt;0,"✔","-")</f>
        <v>-</v>
      </c>
      <c r="AW40" s="127"/>
      <c r="AX40" s="129" t="str">
        <f>IF('Design Fee'!DX45&gt;0,"✔","-")</f>
        <v>-</v>
      </c>
      <c r="AY40" s="128"/>
      <c r="AZ40" s="124" t="str">
        <f>IF('Design Fee'!EC45&gt;0,"✔","-")</f>
        <v>-</v>
      </c>
      <c r="BA40" s="124" t="str">
        <f>IF('Design Fee'!ED45&gt;0,"✔","-")</f>
        <v>-</v>
      </c>
      <c r="BB40" s="124" t="str">
        <f>IF('Design Fee'!EE45&gt;0,"✔","-")</f>
        <v>-</v>
      </c>
      <c r="BC40" s="124" t="str">
        <f>IF('Design Fee'!EF45&gt;0,"✔","-")</f>
        <v>-</v>
      </c>
      <c r="BD40" s="124" t="str">
        <f>IF('Design Fee'!EG45&gt;0,"✔","-")</f>
        <v>-</v>
      </c>
      <c r="BE40" s="125" t="str">
        <f>IF('Design Fee'!EI45&gt;0,"✔","-")</f>
        <v>-</v>
      </c>
      <c r="BF40" s="125" t="str">
        <f>IF('Design Fee'!EJ45&gt;0,"✔","-")</f>
        <v>-</v>
      </c>
      <c r="BG40" s="125" t="str">
        <f>IF('Design Fee'!EK45&gt;0,"✔","-")</f>
        <v>-</v>
      </c>
      <c r="BH40" s="125" t="str">
        <f>IF('Design Fee'!EL45&gt;0,"✔","-")</f>
        <v>-</v>
      </c>
      <c r="BI40" s="125" t="str">
        <f>IF('Design Fee'!EM45&gt;0,"✔","-")</f>
        <v>-</v>
      </c>
      <c r="BJ40" s="86"/>
    </row>
    <row r="41" spans="2:62" ht="11.85" hidden="1" customHeight="1" outlineLevel="2">
      <c r="B41" s="86"/>
      <c r="C41" s="121">
        <v>2</v>
      </c>
      <c r="D41" s="76" t="s">
        <v>30</v>
      </c>
      <c r="F41" s="322"/>
      <c r="G41" s="322"/>
      <c r="H41" s="322"/>
      <c r="I41" s="451"/>
      <c r="J41" s="76"/>
      <c r="K41" s="129" t="str">
        <f>IF('Design Fee'!V46&gt;0,"✔","-")</f>
        <v>-</v>
      </c>
      <c r="L41" s="123"/>
      <c r="M41" s="124" t="str">
        <f>IF('Design Fee'!AA46&gt;0,"✔","-")</f>
        <v>-</v>
      </c>
      <c r="N41" s="124" t="str">
        <f>IF('Design Fee'!AB46&gt;0,"✔","-")</f>
        <v>-</v>
      </c>
      <c r="O41" s="124" t="str">
        <f>IF('Design Fee'!AC46&gt;0,"✔","-")</f>
        <v>-</v>
      </c>
      <c r="P41" s="124" t="str">
        <f>IF('Design Fee'!AD46&gt;0,"✔","-")</f>
        <v>-</v>
      </c>
      <c r="Q41" s="124" t="str">
        <f>IF('Design Fee'!AE46&gt;0,"✔","-")</f>
        <v>-</v>
      </c>
      <c r="R41" s="125" t="str">
        <f>IF('Design Fee'!AG46&gt;0,"✔","-")</f>
        <v>-</v>
      </c>
      <c r="S41" s="125" t="str">
        <f>IF('Design Fee'!AH46&gt;0,"✔","-")</f>
        <v>-</v>
      </c>
      <c r="T41" s="125" t="str">
        <f>IF('Design Fee'!AI46&gt;0,"✔","-")</f>
        <v>-</v>
      </c>
      <c r="U41" s="125" t="str">
        <f>IF('Design Fee'!AJ46&gt;0,"✔","-")</f>
        <v>-</v>
      </c>
      <c r="V41" s="125" t="str">
        <f>IF('Design Fee'!AK46&gt;0,"✔","-")</f>
        <v>-</v>
      </c>
      <c r="W41" s="127"/>
      <c r="X41" s="129" t="str">
        <f>IF('Design Fee'!BE46&gt;0,"✔","-")</f>
        <v>-</v>
      </c>
      <c r="Y41" s="128"/>
      <c r="Z41" s="124" t="str">
        <f>IF('Design Fee'!BJ46&gt;0,"✔","-")</f>
        <v>-</v>
      </c>
      <c r="AA41" s="124" t="str">
        <f>IF('Design Fee'!BK46&gt;0,"✔","-")</f>
        <v>-</v>
      </c>
      <c r="AB41" s="124" t="str">
        <f>IF('Design Fee'!BL46&gt;0,"✔","-")</f>
        <v>-</v>
      </c>
      <c r="AC41" s="124" t="str">
        <f>IF('Design Fee'!BM46&gt;0,"✔","-")</f>
        <v>-</v>
      </c>
      <c r="AD41" s="124" t="str">
        <f>IF('Design Fee'!BN46&gt;0,"✔","-")</f>
        <v>-</v>
      </c>
      <c r="AE41" s="125" t="str">
        <f>IF('Design Fee'!BP46&gt;0,"✔","-")</f>
        <v>-</v>
      </c>
      <c r="AF41" s="125" t="str">
        <f>IF('Design Fee'!BQ46&gt;0,"✔","-")</f>
        <v>-</v>
      </c>
      <c r="AG41" s="125" t="str">
        <f>IF('Design Fee'!BR46&gt;0,"✔","-")</f>
        <v>-</v>
      </c>
      <c r="AH41" s="125" t="str">
        <f>IF('Design Fee'!BS46&gt;0,"✔","-")</f>
        <v>-</v>
      </c>
      <c r="AI41" s="125" t="str">
        <f>IF('Design Fee'!BT46&gt;0,"✔","-")</f>
        <v>-</v>
      </c>
      <c r="AJ41" s="128"/>
      <c r="AK41" s="129" t="str">
        <f>IF('Design Fee'!CN46&gt;0,"✔","-")</f>
        <v>-</v>
      </c>
      <c r="AL41" s="128"/>
      <c r="AM41" s="124" t="str">
        <f>IF('Design Fee'!CS46&gt;0,"✔","-")</f>
        <v>-</v>
      </c>
      <c r="AN41" s="124" t="str">
        <f>IF('Design Fee'!CT46&gt;0,"✔","-")</f>
        <v>-</v>
      </c>
      <c r="AO41" s="124" t="str">
        <f>IF('Design Fee'!CU46&gt;0,"✔","-")</f>
        <v>-</v>
      </c>
      <c r="AP41" s="124" t="str">
        <f>IF('Design Fee'!CV46&gt;0,"✔","-")</f>
        <v>-</v>
      </c>
      <c r="AQ41" s="124" t="str">
        <f>IF('Design Fee'!CW46&gt;0,"✔","-")</f>
        <v>-</v>
      </c>
      <c r="AR41" s="125" t="str">
        <f>IF('Design Fee'!CY46&gt;0,"✔","-")</f>
        <v>-</v>
      </c>
      <c r="AS41" s="125" t="str">
        <f>IF('Design Fee'!CZ46&gt;0,"✔","-")</f>
        <v>-</v>
      </c>
      <c r="AT41" s="125" t="str">
        <f>IF('Design Fee'!DA46&gt;0,"✔","-")</f>
        <v>-</v>
      </c>
      <c r="AU41" s="125" t="str">
        <f>IF('Design Fee'!DB46&gt;0,"✔","-")</f>
        <v>-</v>
      </c>
      <c r="AV41" s="125" t="str">
        <f>IF('Design Fee'!DC46&gt;0,"✔","-")</f>
        <v>-</v>
      </c>
      <c r="AW41" s="127"/>
      <c r="AX41" s="129" t="str">
        <f>IF('Design Fee'!DX46&gt;0,"✔","-")</f>
        <v>-</v>
      </c>
      <c r="AY41" s="128"/>
      <c r="AZ41" s="124" t="str">
        <f>IF('Design Fee'!EC46&gt;0,"✔","-")</f>
        <v>-</v>
      </c>
      <c r="BA41" s="124" t="str">
        <f>IF('Design Fee'!ED46&gt;0,"✔","-")</f>
        <v>-</v>
      </c>
      <c r="BB41" s="124" t="str">
        <f>IF('Design Fee'!EE46&gt;0,"✔","-")</f>
        <v>-</v>
      </c>
      <c r="BC41" s="124" t="str">
        <f>IF('Design Fee'!EF46&gt;0,"✔","-")</f>
        <v>-</v>
      </c>
      <c r="BD41" s="124" t="str">
        <f>IF('Design Fee'!EG46&gt;0,"✔","-")</f>
        <v>-</v>
      </c>
      <c r="BE41" s="125" t="str">
        <f>IF('Design Fee'!EI46&gt;0,"✔","-")</f>
        <v>-</v>
      </c>
      <c r="BF41" s="125" t="str">
        <f>IF('Design Fee'!EJ46&gt;0,"✔","-")</f>
        <v>-</v>
      </c>
      <c r="BG41" s="125" t="str">
        <f>IF('Design Fee'!EK46&gt;0,"✔","-")</f>
        <v>-</v>
      </c>
      <c r="BH41" s="125" t="str">
        <f>IF('Design Fee'!EL46&gt;0,"✔","-")</f>
        <v>-</v>
      </c>
      <c r="BI41" s="125" t="str">
        <f>IF('Design Fee'!EM46&gt;0,"✔","-")</f>
        <v>-</v>
      </c>
      <c r="BJ41" s="86"/>
    </row>
    <row r="42" spans="2:62" ht="11.85" hidden="1" customHeight="1" outlineLevel="2">
      <c r="B42" s="86"/>
      <c r="C42" s="121">
        <v>3</v>
      </c>
      <c r="D42" s="76" t="s">
        <v>31</v>
      </c>
      <c r="F42" s="322"/>
      <c r="G42" s="322"/>
      <c r="H42" s="322"/>
      <c r="I42" s="451"/>
      <c r="J42" s="76"/>
      <c r="K42" s="129" t="str">
        <f>IF('Design Fee'!V47&gt;0,"✔","-")</f>
        <v>-</v>
      </c>
      <c r="L42" s="123"/>
      <c r="M42" s="124" t="str">
        <f>IF('Design Fee'!AA47&gt;0,"✔","-")</f>
        <v>-</v>
      </c>
      <c r="N42" s="124" t="str">
        <f>IF('Design Fee'!AB47&gt;0,"✔","-")</f>
        <v>-</v>
      </c>
      <c r="O42" s="124" t="str">
        <f>IF('Design Fee'!AC47&gt;0,"✔","-")</f>
        <v>-</v>
      </c>
      <c r="P42" s="124" t="str">
        <f>IF('Design Fee'!AD47&gt;0,"✔","-")</f>
        <v>-</v>
      </c>
      <c r="Q42" s="124" t="str">
        <f>IF('Design Fee'!AE47&gt;0,"✔","-")</f>
        <v>-</v>
      </c>
      <c r="R42" s="125" t="str">
        <f>IF('Design Fee'!AG47&gt;0,"✔","-")</f>
        <v>-</v>
      </c>
      <c r="S42" s="125" t="str">
        <f>IF('Design Fee'!AH47&gt;0,"✔","-")</f>
        <v>-</v>
      </c>
      <c r="T42" s="125" t="str">
        <f>IF('Design Fee'!AI47&gt;0,"✔","-")</f>
        <v>-</v>
      </c>
      <c r="U42" s="125" t="str">
        <f>IF('Design Fee'!AJ47&gt;0,"✔","-")</f>
        <v>-</v>
      </c>
      <c r="V42" s="125" t="str">
        <f>IF('Design Fee'!AK47&gt;0,"✔","-")</f>
        <v>-</v>
      </c>
      <c r="W42" s="127"/>
      <c r="X42" s="129" t="str">
        <f>IF('Design Fee'!BE47&gt;0,"✔","-")</f>
        <v>-</v>
      </c>
      <c r="Y42" s="128"/>
      <c r="Z42" s="124" t="str">
        <f>IF('Design Fee'!BJ47&gt;0,"✔","-")</f>
        <v>-</v>
      </c>
      <c r="AA42" s="124" t="str">
        <f>IF('Design Fee'!BK47&gt;0,"✔","-")</f>
        <v>-</v>
      </c>
      <c r="AB42" s="124" t="str">
        <f>IF('Design Fee'!BL47&gt;0,"✔","-")</f>
        <v>-</v>
      </c>
      <c r="AC42" s="124" t="str">
        <f>IF('Design Fee'!BM47&gt;0,"✔","-")</f>
        <v>-</v>
      </c>
      <c r="AD42" s="124" t="str">
        <f>IF('Design Fee'!BN47&gt;0,"✔","-")</f>
        <v>-</v>
      </c>
      <c r="AE42" s="125" t="str">
        <f>IF('Design Fee'!BP47&gt;0,"✔","-")</f>
        <v>-</v>
      </c>
      <c r="AF42" s="125" t="str">
        <f>IF('Design Fee'!BQ47&gt;0,"✔","-")</f>
        <v>-</v>
      </c>
      <c r="AG42" s="125" t="str">
        <f>IF('Design Fee'!BR47&gt;0,"✔","-")</f>
        <v>-</v>
      </c>
      <c r="AH42" s="125" t="str">
        <f>IF('Design Fee'!BS47&gt;0,"✔","-")</f>
        <v>-</v>
      </c>
      <c r="AI42" s="125" t="str">
        <f>IF('Design Fee'!BT47&gt;0,"✔","-")</f>
        <v>-</v>
      </c>
      <c r="AJ42" s="128"/>
      <c r="AK42" s="129" t="str">
        <f>IF('Design Fee'!CN47&gt;0,"✔","-")</f>
        <v>-</v>
      </c>
      <c r="AL42" s="128"/>
      <c r="AM42" s="124" t="str">
        <f>IF('Design Fee'!CS47&gt;0,"✔","-")</f>
        <v>-</v>
      </c>
      <c r="AN42" s="124" t="str">
        <f>IF('Design Fee'!CT47&gt;0,"✔","-")</f>
        <v>-</v>
      </c>
      <c r="AO42" s="124" t="str">
        <f>IF('Design Fee'!CU47&gt;0,"✔","-")</f>
        <v>-</v>
      </c>
      <c r="AP42" s="124" t="str">
        <f>IF('Design Fee'!CV47&gt;0,"✔","-")</f>
        <v>-</v>
      </c>
      <c r="AQ42" s="124" t="str">
        <f>IF('Design Fee'!CW47&gt;0,"✔","-")</f>
        <v>-</v>
      </c>
      <c r="AR42" s="125" t="str">
        <f>IF('Design Fee'!CY47&gt;0,"✔","-")</f>
        <v>-</v>
      </c>
      <c r="AS42" s="125" t="str">
        <f>IF('Design Fee'!CZ47&gt;0,"✔","-")</f>
        <v>-</v>
      </c>
      <c r="AT42" s="125" t="str">
        <f>IF('Design Fee'!DA47&gt;0,"✔","-")</f>
        <v>-</v>
      </c>
      <c r="AU42" s="125" t="str">
        <f>IF('Design Fee'!DB47&gt;0,"✔","-")</f>
        <v>-</v>
      </c>
      <c r="AV42" s="125" t="str">
        <f>IF('Design Fee'!DC47&gt;0,"✔","-")</f>
        <v>-</v>
      </c>
      <c r="AW42" s="127"/>
      <c r="AX42" s="129" t="str">
        <f>IF('Design Fee'!DX47&gt;0,"✔","-")</f>
        <v>-</v>
      </c>
      <c r="AY42" s="128"/>
      <c r="AZ42" s="124" t="str">
        <f>IF('Design Fee'!EC47&gt;0,"✔","-")</f>
        <v>-</v>
      </c>
      <c r="BA42" s="124" t="str">
        <f>IF('Design Fee'!ED47&gt;0,"✔","-")</f>
        <v>-</v>
      </c>
      <c r="BB42" s="124" t="str">
        <f>IF('Design Fee'!EE47&gt;0,"✔","-")</f>
        <v>-</v>
      </c>
      <c r="BC42" s="124" t="str">
        <f>IF('Design Fee'!EF47&gt;0,"✔","-")</f>
        <v>-</v>
      </c>
      <c r="BD42" s="124" t="str">
        <f>IF('Design Fee'!EG47&gt;0,"✔","-")</f>
        <v>-</v>
      </c>
      <c r="BE42" s="125" t="str">
        <f>IF('Design Fee'!EI47&gt;0,"✔","-")</f>
        <v>-</v>
      </c>
      <c r="BF42" s="125" t="str">
        <f>IF('Design Fee'!EJ47&gt;0,"✔","-")</f>
        <v>-</v>
      </c>
      <c r="BG42" s="125" t="str">
        <f>IF('Design Fee'!EK47&gt;0,"✔","-")</f>
        <v>-</v>
      </c>
      <c r="BH42" s="125" t="str">
        <f>IF('Design Fee'!EL47&gt;0,"✔","-")</f>
        <v>-</v>
      </c>
      <c r="BI42" s="125" t="str">
        <f>IF('Design Fee'!EM47&gt;0,"✔","-")</f>
        <v>-</v>
      </c>
      <c r="BJ42" s="86"/>
    </row>
    <row r="43" spans="2:62" ht="11.85" hidden="1" customHeight="1" outlineLevel="2">
      <c r="B43" s="86"/>
      <c r="C43" s="121">
        <v>4</v>
      </c>
      <c r="D43" s="76" t="s">
        <v>42</v>
      </c>
      <c r="F43" s="322"/>
      <c r="G43" s="322"/>
      <c r="H43" s="322"/>
      <c r="I43" s="451"/>
      <c r="J43" s="76"/>
      <c r="K43" s="129" t="str">
        <f>IF('Design Fee'!V48&gt;0,"✔","-")</f>
        <v>-</v>
      </c>
      <c r="L43" s="123"/>
      <c r="M43" s="124" t="str">
        <f>IF('Design Fee'!AA48&gt;0,"✔","-")</f>
        <v>-</v>
      </c>
      <c r="N43" s="124" t="str">
        <f>IF('Design Fee'!AB48&gt;0,"✔","-")</f>
        <v>-</v>
      </c>
      <c r="O43" s="124" t="str">
        <f>IF('Design Fee'!AC48&gt;0,"✔","-")</f>
        <v>-</v>
      </c>
      <c r="P43" s="124" t="str">
        <f>IF('Design Fee'!AD48&gt;0,"✔","-")</f>
        <v>-</v>
      </c>
      <c r="Q43" s="124" t="str">
        <f>IF('Design Fee'!AE48&gt;0,"✔","-")</f>
        <v>-</v>
      </c>
      <c r="R43" s="125" t="str">
        <f>IF('Design Fee'!AG48&gt;0,"✔","-")</f>
        <v>-</v>
      </c>
      <c r="S43" s="125" t="str">
        <f>IF('Design Fee'!AH48&gt;0,"✔","-")</f>
        <v>-</v>
      </c>
      <c r="T43" s="125" t="str">
        <f>IF('Design Fee'!AI48&gt;0,"✔","-")</f>
        <v>-</v>
      </c>
      <c r="U43" s="125" t="str">
        <f>IF('Design Fee'!AJ48&gt;0,"✔","-")</f>
        <v>-</v>
      </c>
      <c r="V43" s="125" t="str">
        <f>IF('Design Fee'!AK48&gt;0,"✔","-")</f>
        <v>-</v>
      </c>
      <c r="W43" s="136"/>
      <c r="X43" s="129" t="str">
        <f>IF('Design Fee'!BE48&gt;0,"✔","-")</f>
        <v>-</v>
      </c>
      <c r="Y43" s="128"/>
      <c r="Z43" s="124" t="str">
        <f>IF('Design Fee'!BJ48&gt;0,"✔","-")</f>
        <v>-</v>
      </c>
      <c r="AA43" s="124" t="str">
        <f>IF('Design Fee'!BK48&gt;0,"✔","-")</f>
        <v>-</v>
      </c>
      <c r="AB43" s="124" t="str">
        <f>IF('Design Fee'!BL48&gt;0,"✔","-")</f>
        <v>-</v>
      </c>
      <c r="AC43" s="124" t="str">
        <f>IF('Design Fee'!BM48&gt;0,"✔","-")</f>
        <v>-</v>
      </c>
      <c r="AD43" s="124" t="str">
        <f>IF('Design Fee'!BN48&gt;0,"✔","-")</f>
        <v>-</v>
      </c>
      <c r="AE43" s="125" t="str">
        <f>IF('Design Fee'!BP48&gt;0,"✔","-")</f>
        <v>-</v>
      </c>
      <c r="AF43" s="125" t="str">
        <f>IF('Design Fee'!BQ48&gt;0,"✔","-")</f>
        <v>-</v>
      </c>
      <c r="AG43" s="125" t="str">
        <f>IF('Design Fee'!BR48&gt;0,"✔","-")</f>
        <v>-</v>
      </c>
      <c r="AH43" s="125" t="str">
        <f>IF('Design Fee'!BS48&gt;0,"✔","-")</f>
        <v>-</v>
      </c>
      <c r="AI43" s="125" t="str">
        <f>IF('Design Fee'!BT48&gt;0,"✔","-")</f>
        <v>-</v>
      </c>
      <c r="AJ43" s="128"/>
      <c r="AK43" s="129" t="str">
        <f>IF('Design Fee'!CN48&gt;0,"✔","-")</f>
        <v>-</v>
      </c>
      <c r="AL43" s="128"/>
      <c r="AM43" s="124" t="str">
        <f>IF('Design Fee'!CS48&gt;0,"✔","-")</f>
        <v>-</v>
      </c>
      <c r="AN43" s="124" t="str">
        <f>IF('Design Fee'!CT48&gt;0,"✔","-")</f>
        <v>-</v>
      </c>
      <c r="AO43" s="124" t="str">
        <f>IF('Design Fee'!CU48&gt;0,"✔","-")</f>
        <v>-</v>
      </c>
      <c r="AP43" s="124" t="str">
        <f>IF('Design Fee'!CV48&gt;0,"✔","-")</f>
        <v>-</v>
      </c>
      <c r="AQ43" s="124" t="str">
        <f>IF('Design Fee'!CW48&gt;0,"✔","-")</f>
        <v>-</v>
      </c>
      <c r="AR43" s="125" t="str">
        <f>IF('Design Fee'!CY48&gt;0,"✔","-")</f>
        <v>-</v>
      </c>
      <c r="AS43" s="125" t="str">
        <f>IF('Design Fee'!CZ48&gt;0,"✔","-")</f>
        <v>-</v>
      </c>
      <c r="AT43" s="125" t="str">
        <f>IF('Design Fee'!DA48&gt;0,"✔","-")</f>
        <v>-</v>
      </c>
      <c r="AU43" s="125" t="str">
        <f>IF('Design Fee'!DB48&gt;0,"✔","-")</f>
        <v>-</v>
      </c>
      <c r="AV43" s="125" t="str">
        <f>IF('Design Fee'!DC48&gt;0,"✔","-")</f>
        <v>-</v>
      </c>
      <c r="AW43" s="136"/>
      <c r="AX43" s="129" t="str">
        <f>IF('Design Fee'!DX48&gt;0,"✔","-")</f>
        <v>-</v>
      </c>
      <c r="AY43" s="128"/>
      <c r="AZ43" s="124" t="str">
        <f>IF('Design Fee'!EC48&gt;0,"✔","-")</f>
        <v>-</v>
      </c>
      <c r="BA43" s="124" t="str">
        <f>IF('Design Fee'!ED48&gt;0,"✔","-")</f>
        <v>-</v>
      </c>
      <c r="BB43" s="124" t="str">
        <f>IF('Design Fee'!EE48&gt;0,"✔","-")</f>
        <v>-</v>
      </c>
      <c r="BC43" s="124" t="str">
        <f>IF('Design Fee'!EF48&gt;0,"✔","-")</f>
        <v>-</v>
      </c>
      <c r="BD43" s="124" t="str">
        <f>IF('Design Fee'!EG48&gt;0,"✔","-")</f>
        <v>-</v>
      </c>
      <c r="BE43" s="125" t="str">
        <f>IF('Design Fee'!EI48&gt;0,"✔","-")</f>
        <v>-</v>
      </c>
      <c r="BF43" s="125" t="str">
        <f>IF('Design Fee'!EJ48&gt;0,"✔","-")</f>
        <v>-</v>
      </c>
      <c r="BG43" s="125" t="str">
        <f>IF('Design Fee'!EK48&gt;0,"✔","-")</f>
        <v>-</v>
      </c>
      <c r="BH43" s="125" t="str">
        <f>IF('Design Fee'!EL48&gt;0,"✔","-")</f>
        <v>-</v>
      </c>
      <c r="BI43" s="125" t="str">
        <f>IF('Design Fee'!EM48&gt;0,"✔","-")</f>
        <v>-</v>
      </c>
      <c r="BJ43" s="86"/>
    </row>
    <row r="44" spans="2:62" ht="11.85" hidden="1" customHeight="1" outlineLevel="2">
      <c r="B44" s="86"/>
      <c r="C44" s="121">
        <v>5</v>
      </c>
      <c r="D44" s="76" t="s">
        <v>43</v>
      </c>
      <c r="F44" s="322"/>
      <c r="G44" s="322"/>
      <c r="H44" s="322"/>
      <c r="I44" s="451"/>
      <c r="J44" s="76"/>
      <c r="K44" s="129" t="str">
        <f>IF('Design Fee'!V49&gt;0,"✔","-")</f>
        <v>-</v>
      </c>
      <c r="L44" s="123"/>
      <c r="M44" s="124" t="str">
        <f>IF('Design Fee'!AA49&gt;0,"✔","-")</f>
        <v>-</v>
      </c>
      <c r="N44" s="124" t="str">
        <f>IF('Design Fee'!AB49&gt;0,"✔","-")</f>
        <v>-</v>
      </c>
      <c r="O44" s="124" t="str">
        <f>IF('Design Fee'!AC49&gt;0,"✔","-")</f>
        <v>-</v>
      </c>
      <c r="P44" s="124" t="str">
        <f>IF('Design Fee'!AD49&gt;0,"✔","-")</f>
        <v>-</v>
      </c>
      <c r="Q44" s="124" t="str">
        <f>IF('Design Fee'!AE49&gt;0,"✔","-")</f>
        <v>-</v>
      </c>
      <c r="R44" s="125" t="str">
        <f>IF('Design Fee'!AG49&gt;0,"✔","-")</f>
        <v>-</v>
      </c>
      <c r="S44" s="125" t="str">
        <f>IF('Design Fee'!AH49&gt;0,"✔","-")</f>
        <v>-</v>
      </c>
      <c r="T44" s="125" t="str">
        <f>IF('Design Fee'!AI49&gt;0,"✔","-")</f>
        <v>-</v>
      </c>
      <c r="U44" s="125" t="str">
        <f>IF('Design Fee'!AJ49&gt;0,"✔","-")</f>
        <v>-</v>
      </c>
      <c r="V44" s="125" t="str">
        <f>IF('Design Fee'!AK49&gt;0,"✔","-")</f>
        <v>-</v>
      </c>
      <c r="W44" s="136"/>
      <c r="X44" s="129" t="str">
        <f>IF('Design Fee'!BE49&gt;0,"✔","-")</f>
        <v>-</v>
      </c>
      <c r="Y44" s="128"/>
      <c r="Z44" s="124" t="str">
        <f>IF('Design Fee'!BJ49&gt;0,"✔","-")</f>
        <v>-</v>
      </c>
      <c r="AA44" s="124" t="str">
        <f>IF('Design Fee'!BK49&gt;0,"✔","-")</f>
        <v>-</v>
      </c>
      <c r="AB44" s="124" t="str">
        <f>IF('Design Fee'!BL49&gt;0,"✔","-")</f>
        <v>-</v>
      </c>
      <c r="AC44" s="124" t="str">
        <f>IF('Design Fee'!BM49&gt;0,"✔","-")</f>
        <v>-</v>
      </c>
      <c r="AD44" s="124" t="str">
        <f>IF('Design Fee'!BN49&gt;0,"✔","-")</f>
        <v>-</v>
      </c>
      <c r="AE44" s="125" t="str">
        <f>IF('Design Fee'!BP49&gt;0,"✔","-")</f>
        <v>-</v>
      </c>
      <c r="AF44" s="125" t="str">
        <f>IF('Design Fee'!BQ49&gt;0,"✔","-")</f>
        <v>-</v>
      </c>
      <c r="AG44" s="125" t="str">
        <f>IF('Design Fee'!BR49&gt;0,"✔","-")</f>
        <v>-</v>
      </c>
      <c r="AH44" s="125" t="str">
        <f>IF('Design Fee'!BS49&gt;0,"✔","-")</f>
        <v>-</v>
      </c>
      <c r="AI44" s="125" t="str">
        <f>IF('Design Fee'!BT49&gt;0,"✔","-")</f>
        <v>-</v>
      </c>
      <c r="AJ44" s="128"/>
      <c r="AK44" s="129" t="str">
        <f>IF('Design Fee'!CN49&gt;0,"✔","-")</f>
        <v>-</v>
      </c>
      <c r="AL44" s="128"/>
      <c r="AM44" s="124" t="str">
        <f>IF('Design Fee'!CS49&gt;0,"✔","-")</f>
        <v>-</v>
      </c>
      <c r="AN44" s="124" t="str">
        <f>IF('Design Fee'!CT49&gt;0,"✔","-")</f>
        <v>-</v>
      </c>
      <c r="AO44" s="124" t="str">
        <f>IF('Design Fee'!CU49&gt;0,"✔","-")</f>
        <v>-</v>
      </c>
      <c r="AP44" s="124" t="str">
        <f>IF('Design Fee'!CV49&gt;0,"✔","-")</f>
        <v>-</v>
      </c>
      <c r="AQ44" s="124" t="str">
        <f>IF('Design Fee'!CW49&gt;0,"✔","-")</f>
        <v>-</v>
      </c>
      <c r="AR44" s="125" t="str">
        <f>IF('Design Fee'!CY49&gt;0,"✔","-")</f>
        <v>-</v>
      </c>
      <c r="AS44" s="125" t="str">
        <f>IF('Design Fee'!CZ49&gt;0,"✔","-")</f>
        <v>-</v>
      </c>
      <c r="AT44" s="125" t="str">
        <f>IF('Design Fee'!DA49&gt;0,"✔","-")</f>
        <v>-</v>
      </c>
      <c r="AU44" s="125" t="str">
        <f>IF('Design Fee'!DB49&gt;0,"✔","-")</f>
        <v>-</v>
      </c>
      <c r="AV44" s="125" t="str">
        <f>IF('Design Fee'!DC49&gt;0,"✔","-")</f>
        <v>-</v>
      </c>
      <c r="AW44" s="136"/>
      <c r="AX44" s="129" t="str">
        <f>IF('Design Fee'!DX49&gt;0,"✔","-")</f>
        <v>-</v>
      </c>
      <c r="AY44" s="128"/>
      <c r="AZ44" s="124" t="str">
        <f>IF('Design Fee'!EC49&gt;0,"✔","-")</f>
        <v>-</v>
      </c>
      <c r="BA44" s="124" t="str">
        <f>IF('Design Fee'!ED49&gt;0,"✔","-")</f>
        <v>-</v>
      </c>
      <c r="BB44" s="124" t="str">
        <f>IF('Design Fee'!EE49&gt;0,"✔","-")</f>
        <v>-</v>
      </c>
      <c r="BC44" s="124" t="str">
        <f>IF('Design Fee'!EF49&gt;0,"✔","-")</f>
        <v>-</v>
      </c>
      <c r="BD44" s="124" t="str">
        <f>IF('Design Fee'!EG49&gt;0,"✔","-")</f>
        <v>-</v>
      </c>
      <c r="BE44" s="125" t="str">
        <f>IF('Design Fee'!EI49&gt;0,"✔","-")</f>
        <v>-</v>
      </c>
      <c r="BF44" s="125" t="str">
        <f>IF('Design Fee'!EJ49&gt;0,"✔","-")</f>
        <v>-</v>
      </c>
      <c r="BG44" s="125" t="str">
        <f>IF('Design Fee'!EK49&gt;0,"✔","-")</f>
        <v>-</v>
      </c>
      <c r="BH44" s="125" t="str">
        <f>IF('Design Fee'!EL49&gt;0,"✔","-")</f>
        <v>-</v>
      </c>
      <c r="BI44" s="125" t="str">
        <f>IF('Design Fee'!EM49&gt;0,"✔","-")</f>
        <v>-</v>
      </c>
      <c r="BJ44" s="86"/>
    </row>
    <row r="45" spans="2:62" ht="11.85" hidden="1" customHeight="1" outlineLevel="2">
      <c r="B45" s="86"/>
      <c r="C45" s="121">
        <v>6</v>
      </c>
      <c r="D45" s="76" t="s">
        <v>44</v>
      </c>
      <c r="F45" s="322"/>
      <c r="G45" s="322"/>
      <c r="H45" s="322"/>
      <c r="I45" s="451"/>
      <c r="J45" s="76"/>
      <c r="K45" s="131" t="str">
        <f>IF('Design Fee'!V50&gt;0,"✔","-")</f>
        <v>-</v>
      </c>
      <c r="L45" s="123"/>
      <c r="M45" s="124" t="str">
        <f>IF('Design Fee'!AA50&gt;0,"✔","-")</f>
        <v>-</v>
      </c>
      <c r="N45" s="124" t="str">
        <f>IF('Design Fee'!AB50&gt;0,"✔","-")</f>
        <v>-</v>
      </c>
      <c r="O45" s="124" t="str">
        <f>IF('Design Fee'!AC50&gt;0,"✔","-")</f>
        <v>-</v>
      </c>
      <c r="P45" s="124" t="str">
        <f>IF('Design Fee'!AD50&gt;0,"✔","-")</f>
        <v>-</v>
      </c>
      <c r="Q45" s="124" t="str">
        <f>IF('Design Fee'!AE50&gt;0,"✔","-")</f>
        <v>-</v>
      </c>
      <c r="R45" s="125" t="str">
        <f>IF('Design Fee'!AG50&gt;0,"✔","-")</f>
        <v>-</v>
      </c>
      <c r="S45" s="125" t="str">
        <f>IF('Design Fee'!AH50&gt;0,"✔","-")</f>
        <v>-</v>
      </c>
      <c r="T45" s="125" t="str">
        <f>IF('Design Fee'!AI50&gt;0,"✔","-")</f>
        <v>-</v>
      </c>
      <c r="U45" s="125" t="str">
        <f>IF('Design Fee'!AJ50&gt;0,"✔","-")</f>
        <v>-</v>
      </c>
      <c r="V45" s="125" t="str">
        <f>IF('Design Fee'!AK50&gt;0,"✔","-")</f>
        <v>-</v>
      </c>
      <c r="W45" s="136"/>
      <c r="X45" s="131" t="str">
        <f>IF('Design Fee'!BE50&gt;0,"✔","-")</f>
        <v>-</v>
      </c>
      <c r="Y45" s="128"/>
      <c r="Z45" s="124" t="str">
        <f>IF('Design Fee'!BJ50&gt;0,"✔","-")</f>
        <v>-</v>
      </c>
      <c r="AA45" s="124" t="str">
        <f>IF('Design Fee'!BK50&gt;0,"✔","-")</f>
        <v>-</v>
      </c>
      <c r="AB45" s="124" t="str">
        <f>IF('Design Fee'!BL50&gt;0,"✔","-")</f>
        <v>-</v>
      </c>
      <c r="AC45" s="124" t="str">
        <f>IF('Design Fee'!BM50&gt;0,"✔","-")</f>
        <v>-</v>
      </c>
      <c r="AD45" s="124" t="str">
        <f>IF('Design Fee'!BN50&gt;0,"✔","-")</f>
        <v>-</v>
      </c>
      <c r="AE45" s="125" t="str">
        <f>IF('Design Fee'!BP50&gt;0,"✔","-")</f>
        <v>-</v>
      </c>
      <c r="AF45" s="125" t="str">
        <f>IF('Design Fee'!BQ50&gt;0,"✔","-")</f>
        <v>-</v>
      </c>
      <c r="AG45" s="125" t="str">
        <f>IF('Design Fee'!BR50&gt;0,"✔","-")</f>
        <v>-</v>
      </c>
      <c r="AH45" s="125" t="str">
        <f>IF('Design Fee'!BS50&gt;0,"✔","-")</f>
        <v>-</v>
      </c>
      <c r="AI45" s="125" t="str">
        <f>IF('Design Fee'!BT50&gt;0,"✔","-")</f>
        <v>-</v>
      </c>
      <c r="AJ45" s="128"/>
      <c r="AK45" s="131" t="str">
        <f>IF('Design Fee'!CN50&gt;0,"✔","-")</f>
        <v>-</v>
      </c>
      <c r="AL45" s="128"/>
      <c r="AM45" s="124" t="str">
        <f>IF('Design Fee'!CS50&gt;0,"✔","-")</f>
        <v>-</v>
      </c>
      <c r="AN45" s="124" t="str">
        <f>IF('Design Fee'!CT50&gt;0,"✔","-")</f>
        <v>-</v>
      </c>
      <c r="AO45" s="124" t="str">
        <f>IF('Design Fee'!CU50&gt;0,"✔","-")</f>
        <v>-</v>
      </c>
      <c r="AP45" s="124" t="str">
        <f>IF('Design Fee'!CV50&gt;0,"✔","-")</f>
        <v>-</v>
      </c>
      <c r="AQ45" s="124" t="str">
        <f>IF('Design Fee'!CW50&gt;0,"✔","-")</f>
        <v>-</v>
      </c>
      <c r="AR45" s="125" t="str">
        <f>IF('Design Fee'!CY50&gt;0,"✔","-")</f>
        <v>-</v>
      </c>
      <c r="AS45" s="125" t="str">
        <f>IF('Design Fee'!CZ50&gt;0,"✔","-")</f>
        <v>-</v>
      </c>
      <c r="AT45" s="125" t="str">
        <f>IF('Design Fee'!DA50&gt;0,"✔","-")</f>
        <v>-</v>
      </c>
      <c r="AU45" s="125" t="str">
        <f>IF('Design Fee'!DB50&gt;0,"✔","-")</f>
        <v>-</v>
      </c>
      <c r="AV45" s="125" t="str">
        <f>IF('Design Fee'!DC50&gt;0,"✔","-")</f>
        <v>-</v>
      </c>
      <c r="AW45" s="136"/>
      <c r="AX45" s="131" t="str">
        <f>IF('Design Fee'!DX50&gt;0,"✔","-")</f>
        <v>-</v>
      </c>
      <c r="AY45" s="128"/>
      <c r="AZ45" s="124" t="str">
        <f>IF('Design Fee'!EC50&gt;0,"✔","-")</f>
        <v>-</v>
      </c>
      <c r="BA45" s="124" t="str">
        <f>IF('Design Fee'!ED50&gt;0,"✔","-")</f>
        <v>-</v>
      </c>
      <c r="BB45" s="124" t="str">
        <f>IF('Design Fee'!EE50&gt;0,"✔","-")</f>
        <v>-</v>
      </c>
      <c r="BC45" s="124" t="str">
        <f>IF('Design Fee'!EF50&gt;0,"✔","-")</f>
        <v>-</v>
      </c>
      <c r="BD45" s="124" t="str">
        <f>IF('Design Fee'!EG50&gt;0,"✔","-")</f>
        <v>-</v>
      </c>
      <c r="BE45" s="125" t="str">
        <f>IF('Design Fee'!EI50&gt;0,"✔","-")</f>
        <v>-</v>
      </c>
      <c r="BF45" s="125" t="str">
        <f>IF('Design Fee'!EJ50&gt;0,"✔","-")</f>
        <v>-</v>
      </c>
      <c r="BG45" s="125" t="str">
        <f>IF('Design Fee'!EK50&gt;0,"✔","-")</f>
        <v>-</v>
      </c>
      <c r="BH45" s="125" t="str">
        <f>IF('Design Fee'!EL50&gt;0,"✔","-")</f>
        <v>-</v>
      </c>
      <c r="BI45" s="125" t="str">
        <f>IF('Design Fee'!EM50&gt;0,"✔","-")</f>
        <v>-</v>
      </c>
      <c r="BJ45" s="86"/>
    </row>
    <row r="46" spans="2:62" ht="11.85" hidden="1" customHeight="1" outlineLevel="2">
      <c r="B46" s="86"/>
      <c r="C46" s="121">
        <v>7</v>
      </c>
      <c r="D46" s="76" t="s">
        <v>45</v>
      </c>
      <c r="F46" s="322"/>
      <c r="G46" s="322"/>
      <c r="H46" s="322"/>
      <c r="I46" s="451"/>
      <c r="J46" s="76"/>
      <c r="K46" s="131" t="str">
        <f>IF('Design Fee'!V51&gt;0,"✔","-")</f>
        <v>-</v>
      </c>
      <c r="L46" s="123"/>
      <c r="M46" s="124" t="str">
        <f>IF('Design Fee'!AA51&gt;0,"✔","-")</f>
        <v>-</v>
      </c>
      <c r="N46" s="124" t="str">
        <f>IF('Design Fee'!AB51&gt;0,"✔","-")</f>
        <v>-</v>
      </c>
      <c r="O46" s="124" t="str">
        <f>IF('Design Fee'!AC51&gt;0,"✔","-")</f>
        <v>-</v>
      </c>
      <c r="P46" s="124" t="str">
        <f>IF('Design Fee'!AD51&gt;0,"✔","-")</f>
        <v>-</v>
      </c>
      <c r="Q46" s="124" t="str">
        <f>IF('Design Fee'!AE51&gt;0,"✔","-")</f>
        <v>-</v>
      </c>
      <c r="R46" s="125" t="str">
        <f>IF('Design Fee'!AG51&gt;0,"✔","-")</f>
        <v>-</v>
      </c>
      <c r="S46" s="125" t="str">
        <f>IF('Design Fee'!AH51&gt;0,"✔","-")</f>
        <v>-</v>
      </c>
      <c r="T46" s="125" t="str">
        <f>IF('Design Fee'!AI51&gt;0,"✔","-")</f>
        <v>-</v>
      </c>
      <c r="U46" s="125" t="str">
        <f>IF('Design Fee'!AJ51&gt;0,"✔","-")</f>
        <v>-</v>
      </c>
      <c r="V46" s="125" t="str">
        <f>IF('Design Fee'!AK51&gt;0,"✔","-")</f>
        <v>-</v>
      </c>
      <c r="W46" s="136"/>
      <c r="X46" s="131" t="str">
        <f>IF('Design Fee'!BE51&gt;0,"✔","-")</f>
        <v>-</v>
      </c>
      <c r="Y46" s="128"/>
      <c r="Z46" s="124" t="str">
        <f>IF('Design Fee'!BJ51&gt;0,"✔","-")</f>
        <v>-</v>
      </c>
      <c r="AA46" s="124" t="str">
        <f>IF('Design Fee'!BK51&gt;0,"✔","-")</f>
        <v>-</v>
      </c>
      <c r="AB46" s="124" t="str">
        <f>IF('Design Fee'!BL51&gt;0,"✔","-")</f>
        <v>-</v>
      </c>
      <c r="AC46" s="124" t="str">
        <f>IF('Design Fee'!BM51&gt;0,"✔","-")</f>
        <v>-</v>
      </c>
      <c r="AD46" s="124" t="str">
        <f>IF('Design Fee'!BN51&gt;0,"✔","-")</f>
        <v>-</v>
      </c>
      <c r="AE46" s="125" t="str">
        <f>IF('Design Fee'!BP51&gt;0,"✔","-")</f>
        <v>-</v>
      </c>
      <c r="AF46" s="125" t="str">
        <f>IF('Design Fee'!BQ51&gt;0,"✔","-")</f>
        <v>-</v>
      </c>
      <c r="AG46" s="125" t="str">
        <f>IF('Design Fee'!BR51&gt;0,"✔","-")</f>
        <v>-</v>
      </c>
      <c r="AH46" s="125" t="str">
        <f>IF('Design Fee'!BS51&gt;0,"✔","-")</f>
        <v>-</v>
      </c>
      <c r="AI46" s="125" t="str">
        <f>IF('Design Fee'!BT51&gt;0,"✔","-")</f>
        <v>-</v>
      </c>
      <c r="AJ46" s="128"/>
      <c r="AK46" s="131" t="str">
        <f>IF('Design Fee'!CN51&gt;0,"✔","-")</f>
        <v>-</v>
      </c>
      <c r="AL46" s="128"/>
      <c r="AM46" s="124" t="str">
        <f>IF('Design Fee'!CS51&gt;0,"✔","-")</f>
        <v>-</v>
      </c>
      <c r="AN46" s="124" t="str">
        <f>IF('Design Fee'!CT51&gt;0,"✔","-")</f>
        <v>-</v>
      </c>
      <c r="AO46" s="124" t="str">
        <f>IF('Design Fee'!CU51&gt;0,"✔","-")</f>
        <v>-</v>
      </c>
      <c r="AP46" s="124" t="str">
        <f>IF('Design Fee'!CV51&gt;0,"✔","-")</f>
        <v>-</v>
      </c>
      <c r="AQ46" s="124" t="str">
        <f>IF('Design Fee'!CW51&gt;0,"✔","-")</f>
        <v>-</v>
      </c>
      <c r="AR46" s="125" t="str">
        <f>IF('Design Fee'!CY51&gt;0,"✔","-")</f>
        <v>-</v>
      </c>
      <c r="AS46" s="125" t="str">
        <f>IF('Design Fee'!CZ51&gt;0,"✔","-")</f>
        <v>-</v>
      </c>
      <c r="AT46" s="125" t="str">
        <f>IF('Design Fee'!DA51&gt;0,"✔","-")</f>
        <v>-</v>
      </c>
      <c r="AU46" s="125" t="str">
        <f>IF('Design Fee'!DB51&gt;0,"✔","-")</f>
        <v>-</v>
      </c>
      <c r="AV46" s="125" t="str">
        <f>IF('Design Fee'!DC51&gt;0,"✔","-")</f>
        <v>-</v>
      </c>
      <c r="AW46" s="136"/>
      <c r="AX46" s="131" t="str">
        <f>IF('Design Fee'!DX51&gt;0,"✔","-")</f>
        <v>-</v>
      </c>
      <c r="AY46" s="128"/>
      <c r="AZ46" s="124" t="str">
        <f>IF('Design Fee'!EC51&gt;0,"✔","-")</f>
        <v>-</v>
      </c>
      <c r="BA46" s="124" t="str">
        <f>IF('Design Fee'!ED51&gt;0,"✔","-")</f>
        <v>-</v>
      </c>
      <c r="BB46" s="124" t="str">
        <f>IF('Design Fee'!EE51&gt;0,"✔","-")</f>
        <v>-</v>
      </c>
      <c r="BC46" s="124" t="str">
        <f>IF('Design Fee'!EF51&gt;0,"✔","-")</f>
        <v>-</v>
      </c>
      <c r="BD46" s="124" t="str">
        <f>IF('Design Fee'!EG51&gt;0,"✔","-")</f>
        <v>-</v>
      </c>
      <c r="BE46" s="125" t="str">
        <f>IF('Design Fee'!EI51&gt;0,"✔","-")</f>
        <v>-</v>
      </c>
      <c r="BF46" s="125" t="str">
        <f>IF('Design Fee'!EJ51&gt;0,"✔","-")</f>
        <v>-</v>
      </c>
      <c r="BG46" s="125" t="str">
        <f>IF('Design Fee'!EK51&gt;0,"✔","-")</f>
        <v>-</v>
      </c>
      <c r="BH46" s="125" t="str">
        <f>IF('Design Fee'!EL51&gt;0,"✔","-")</f>
        <v>-</v>
      </c>
      <c r="BI46" s="125" t="str">
        <f>IF('Design Fee'!EM51&gt;0,"✔","-")</f>
        <v>-</v>
      </c>
      <c r="BJ46" s="86"/>
    </row>
    <row r="47" spans="2:62" ht="11.85" hidden="1" customHeight="1" outlineLevel="2">
      <c r="B47" s="86"/>
      <c r="C47" s="121">
        <v>8</v>
      </c>
      <c r="D47" s="76" t="s">
        <v>46</v>
      </c>
      <c r="F47" s="322"/>
      <c r="G47" s="322"/>
      <c r="H47" s="322"/>
      <c r="I47" s="451"/>
      <c r="J47" s="76"/>
      <c r="K47" s="131" t="str">
        <f>IF('Design Fee'!V52&gt;0,"✔","-")</f>
        <v>-</v>
      </c>
      <c r="L47" s="123"/>
      <c r="M47" s="124" t="str">
        <f>IF('Design Fee'!AA52&gt;0,"✔","-")</f>
        <v>-</v>
      </c>
      <c r="N47" s="124" t="str">
        <f>IF('Design Fee'!AB52&gt;0,"✔","-")</f>
        <v>-</v>
      </c>
      <c r="O47" s="124" t="str">
        <f>IF('Design Fee'!AC52&gt;0,"✔","-")</f>
        <v>-</v>
      </c>
      <c r="P47" s="124" t="str">
        <f>IF('Design Fee'!AD52&gt;0,"✔","-")</f>
        <v>-</v>
      </c>
      <c r="Q47" s="124" t="str">
        <f>IF('Design Fee'!AE52&gt;0,"✔","-")</f>
        <v>-</v>
      </c>
      <c r="R47" s="125" t="str">
        <f>IF('Design Fee'!AG52&gt;0,"✔","-")</f>
        <v>-</v>
      </c>
      <c r="S47" s="125" t="str">
        <f>IF('Design Fee'!AH52&gt;0,"✔","-")</f>
        <v>-</v>
      </c>
      <c r="T47" s="125" t="str">
        <f>IF('Design Fee'!AI52&gt;0,"✔","-")</f>
        <v>-</v>
      </c>
      <c r="U47" s="125" t="str">
        <f>IF('Design Fee'!AJ52&gt;0,"✔","-")</f>
        <v>-</v>
      </c>
      <c r="V47" s="125" t="str">
        <f>IF('Design Fee'!AK52&gt;0,"✔","-")</f>
        <v>-</v>
      </c>
      <c r="W47" s="136"/>
      <c r="X47" s="131" t="str">
        <f>IF('Design Fee'!BE52&gt;0,"✔","-")</f>
        <v>-</v>
      </c>
      <c r="Y47" s="128"/>
      <c r="Z47" s="124" t="str">
        <f>IF('Design Fee'!BJ52&gt;0,"✔","-")</f>
        <v>-</v>
      </c>
      <c r="AA47" s="124" t="str">
        <f>IF('Design Fee'!BK52&gt;0,"✔","-")</f>
        <v>-</v>
      </c>
      <c r="AB47" s="124" t="str">
        <f>IF('Design Fee'!BL52&gt;0,"✔","-")</f>
        <v>-</v>
      </c>
      <c r="AC47" s="124" t="str">
        <f>IF('Design Fee'!BM52&gt;0,"✔","-")</f>
        <v>-</v>
      </c>
      <c r="AD47" s="124" t="str">
        <f>IF('Design Fee'!BN52&gt;0,"✔","-")</f>
        <v>-</v>
      </c>
      <c r="AE47" s="125" t="str">
        <f>IF('Design Fee'!BP52&gt;0,"✔","-")</f>
        <v>-</v>
      </c>
      <c r="AF47" s="125" t="str">
        <f>IF('Design Fee'!BQ52&gt;0,"✔","-")</f>
        <v>-</v>
      </c>
      <c r="AG47" s="125" t="str">
        <f>IF('Design Fee'!BR52&gt;0,"✔","-")</f>
        <v>-</v>
      </c>
      <c r="AH47" s="125" t="str">
        <f>IF('Design Fee'!BS52&gt;0,"✔","-")</f>
        <v>-</v>
      </c>
      <c r="AI47" s="125" t="str">
        <f>IF('Design Fee'!BT52&gt;0,"✔","-")</f>
        <v>-</v>
      </c>
      <c r="AJ47" s="128"/>
      <c r="AK47" s="131" t="str">
        <f>IF('Design Fee'!CN52&gt;0,"✔","-")</f>
        <v>-</v>
      </c>
      <c r="AL47" s="128"/>
      <c r="AM47" s="124" t="str">
        <f>IF('Design Fee'!CS52&gt;0,"✔","-")</f>
        <v>-</v>
      </c>
      <c r="AN47" s="124" t="str">
        <f>IF('Design Fee'!CT52&gt;0,"✔","-")</f>
        <v>-</v>
      </c>
      <c r="AO47" s="124" t="str">
        <f>IF('Design Fee'!CU52&gt;0,"✔","-")</f>
        <v>-</v>
      </c>
      <c r="AP47" s="124" t="str">
        <f>IF('Design Fee'!CV52&gt;0,"✔","-")</f>
        <v>-</v>
      </c>
      <c r="AQ47" s="124" t="str">
        <f>IF('Design Fee'!CW52&gt;0,"✔","-")</f>
        <v>-</v>
      </c>
      <c r="AR47" s="125" t="str">
        <f>IF('Design Fee'!CY52&gt;0,"✔","-")</f>
        <v>-</v>
      </c>
      <c r="AS47" s="125" t="str">
        <f>IF('Design Fee'!CZ52&gt;0,"✔","-")</f>
        <v>-</v>
      </c>
      <c r="AT47" s="125" t="str">
        <f>IF('Design Fee'!DA52&gt;0,"✔","-")</f>
        <v>-</v>
      </c>
      <c r="AU47" s="125" t="str">
        <f>IF('Design Fee'!DB52&gt;0,"✔","-")</f>
        <v>-</v>
      </c>
      <c r="AV47" s="125" t="str">
        <f>IF('Design Fee'!DC52&gt;0,"✔","-")</f>
        <v>-</v>
      </c>
      <c r="AW47" s="136"/>
      <c r="AX47" s="131" t="str">
        <f>IF('Design Fee'!DX52&gt;0,"✔","-")</f>
        <v>-</v>
      </c>
      <c r="AY47" s="128"/>
      <c r="AZ47" s="124" t="str">
        <f>IF('Design Fee'!EC52&gt;0,"✔","-")</f>
        <v>-</v>
      </c>
      <c r="BA47" s="124" t="str">
        <f>IF('Design Fee'!ED52&gt;0,"✔","-")</f>
        <v>-</v>
      </c>
      <c r="BB47" s="124" t="str">
        <f>IF('Design Fee'!EE52&gt;0,"✔","-")</f>
        <v>-</v>
      </c>
      <c r="BC47" s="124" t="str">
        <f>IF('Design Fee'!EF52&gt;0,"✔","-")</f>
        <v>-</v>
      </c>
      <c r="BD47" s="124" t="str">
        <f>IF('Design Fee'!EG52&gt;0,"✔","-")</f>
        <v>-</v>
      </c>
      <c r="BE47" s="125" t="str">
        <f>IF('Design Fee'!EI52&gt;0,"✔","-")</f>
        <v>-</v>
      </c>
      <c r="BF47" s="125" t="str">
        <f>IF('Design Fee'!EJ52&gt;0,"✔","-")</f>
        <v>-</v>
      </c>
      <c r="BG47" s="125" t="str">
        <f>IF('Design Fee'!EK52&gt;0,"✔","-")</f>
        <v>-</v>
      </c>
      <c r="BH47" s="125" t="str">
        <f>IF('Design Fee'!EL52&gt;0,"✔","-")</f>
        <v>-</v>
      </c>
      <c r="BI47" s="125" t="str">
        <f>IF('Design Fee'!EM52&gt;0,"✔","-")</f>
        <v>-</v>
      </c>
      <c r="BJ47" s="86"/>
    </row>
    <row r="48" spans="2:62" ht="3" customHeight="1">
      <c r="B48" s="86"/>
      <c r="C48" s="121"/>
      <c r="F48" s="322"/>
      <c r="G48" s="322"/>
      <c r="H48" s="322"/>
      <c r="I48" s="451"/>
      <c r="J48" s="76"/>
      <c r="K48" s="129"/>
      <c r="L48" s="123"/>
      <c r="M48" s="124"/>
      <c r="N48" s="124"/>
      <c r="O48" s="124"/>
      <c r="P48" s="124"/>
      <c r="Q48" s="124"/>
      <c r="R48" s="111"/>
      <c r="S48" s="111"/>
      <c r="T48" s="111"/>
      <c r="U48" s="111"/>
      <c r="V48" s="111"/>
      <c r="W48" s="127"/>
      <c r="X48" s="129"/>
      <c r="Y48" s="128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28"/>
      <c r="AK48" s="129"/>
      <c r="AL48" s="128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27"/>
      <c r="AX48" s="129"/>
      <c r="AY48" s="128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86"/>
    </row>
    <row r="49" spans="2:62" ht="17.399999999999999">
      <c r="B49" s="86"/>
      <c r="C49" s="607" t="s">
        <v>47</v>
      </c>
      <c r="D49" s="607"/>
      <c r="E49" s="320"/>
      <c r="F49" s="326">
        <f>F51+F63+F69+F79+F85</f>
        <v>72</v>
      </c>
      <c r="G49" s="326">
        <f t="shared" ref="G49:I49" si="6">G51+G63+G69+G79+G85</f>
        <v>24</v>
      </c>
      <c r="H49" s="326">
        <f t="shared" ref="H49" si="7">H51+H63+H69+H79+H85</f>
        <v>20</v>
      </c>
      <c r="I49" s="449">
        <f t="shared" si="6"/>
        <v>48</v>
      </c>
      <c r="J49" s="96"/>
      <c r="K49" s="449"/>
      <c r="L49" s="97"/>
      <c r="M49" s="449"/>
      <c r="N49" s="449"/>
      <c r="O49" s="449"/>
      <c r="P49" s="449"/>
      <c r="Q49" s="449"/>
      <c r="R49" s="449"/>
      <c r="S49" s="449"/>
      <c r="T49" s="449"/>
      <c r="U49" s="449"/>
      <c r="V49" s="449"/>
      <c r="W49" s="94"/>
      <c r="X49" s="449"/>
      <c r="Y49" s="97"/>
      <c r="Z49" s="449"/>
      <c r="AA49" s="449"/>
      <c r="AB49" s="449"/>
      <c r="AC49" s="449"/>
      <c r="AD49" s="449"/>
      <c r="AE49" s="449"/>
      <c r="AF49" s="449"/>
      <c r="AG49" s="449"/>
      <c r="AH49" s="449"/>
      <c r="AI49" s="449"/>
      <c r="AJ49" s="97"/>
      <c r="AK49" s="449"/>
      <c r="AL49" s="97"/>
      <c r="AM49" s="449"/>
      <c r="AN49" s="449"/>
      <c r="AO49" s="449"/>
      <c r="AP49" s="449"/>
      <c r="AQ49" s="449"/>
      <c r="AR49" s="449"/>
      <c r="AS49" s="449"/>
      <c r="AT49" s="449"/>
      <c r="AU49" s="449"/>
      <c r="AV49" s="449"/>
      <c r="AW49" s="94"/>
      <c r="AX49" s="449"/>
      <c r="AY49" s="97"/>
      <c r="AZ49" s="449"/>
      <c r="BA49" s="449"/>
      <c r="BB49" s="449"/>
      <c r="BC49" s="449"/>
      <c r="BD49" s="449"/>
      <c r="BE49" s="449"/>
      <c r="BF49" s="449"/>
      <c r="BG49" s="449"/>
      <c r="BH49" s="449"/>
      <c r="BI49" s="449"/>
      <c r="BJ49" s="86"/>
    </row>
    <row r="50" spans="2:62" ht="3" customHeight="1" outlineLevel="1">
      <c r="B50" s="86"/>
      <c r="D50" s="95"/>
      <c r="E50" s="95"/>
      <c r="F50" s="324"/>
      <c r="G50" s="324"/>
      <c r="H50" s="324"/>
      <c r="I50" s="453"/>
      <c r="J50" s="96"/>
      <c r="L50" s="97"/>
      <c r="M50" s="138"/>
      <c r="N50" s="138"/>
      <c r="O50" s="138"/>
      <c r="P50" s="138"/>
      <c r="Q50" s="138"/>
      <c r="R50" s="111"/>
      <c r="S50" s="111"/>
      <c r="T50" s="111"/>
      <c r="U50" s="111"/>
      <c r="V50" s="111"/>
      <c r="W50" s="127"/>
      <c r="Y50" s="88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88"/>
      <c r="AL50" s="88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27"/>
      <c r="AY50" s="88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86"/>
    </row>
    <row r="51" spans="2:62" ht="11.85" customHeight="1" outlineLevel="1">
      <c r="B51" s="86"/>
      <c r="C51" s="114" t="s">
        <v>48</v>
      </c>
      <c r="D51" s="115" t="s">
        <v>49</v>
      </c>
      <c r="E51" s="321"/>
      <c r="F51" s="440">
        <f>SUM(F52:F61)</f>
        <v>21</v>
      </c>
      <c r="G51" s="440">
        <f t="shared" ref="G51:I51" si="8">SUM(G52:G61)</f>
        <v>12</v>
      </c>
      <c r="H51" s="440">
        <f t="shared" ref="H51" si="9">SUM(H52:H61)</f>
        <v>11</v>
      </c>
      <c r="I51" s="454">
        <f t="shared" si="8"/>
        <v>9</v>
      </c>
      <c r="J51" s="115"/>
      <c r="K51" s="546">
        <f>COUNTIF(K52:K61,"✔")</f>
        <v>10</v>
      </c>
      <c r="L51" s="117"/>
      <c r="M51" s="441">
        <f>COUNTIF(M52:M61,"✔")</f>
        <v>6</v>
      </c>
      <c r="N51" s="441">
        <f t="shared" ref="N51:V51" si="10">COUNTIF(N52:N61,"✔")</f>
        <v>6</v>
      </c>
      <c r="O51" s="441">
        <f t="shared" si="10"/>
        <v>0</v>
      </c>
      <c r="P51" s="441">
        <f t="shared" si="10"/>
        <v>0</v>
      </c>
      <c r="Q51" s="441">
        <f t="shared" si="10"/>
        <v>0</v>
      </c>
      <c r="R51" s="441">
        <f t="shared" si="10"/>
        <v>1</v>
      </c>
      <c r="S51" s="441">
        <f t="shared" si="10"/>
        <v>0</v>
      </c>
      <c r="T51" s="441">
        <f t="shared" si="10"/>
        <v>1</v>
      </c>
      <c r="U51" s="441">
        <f t="shared" si="10"/>
        <v>0</v>
      </c>
      <c r="V51" s="441">
        <f t="shared" si="10"/>
        <v>0</v>
      </c>
      <c r="W51" s="441"/>
      <c r="X51" s="546">
        <f>COUNTIF(X52:X61,"✔")</f>
        <v>7</v>
      </c>
      <c r="Y51" s="139"/>
      <c r="Z51" s="441">
        <f t="shared" ref="Z51:AI51" si="11">COUNTIF(Z52:Z61,"✔")</f>
        <v>2</v>
      </c>
      <c r="AA51" s="441">
        <f t="shared" si="11"/>
        <v>2</v>
      </c>
      <c r="AB51" s="441">
        <f t="shared" si="11"/>
        <v>0</v>
      </c>
      <c r="AC51" s="441">
        <f t="shared" si="11"/>
        <v>0</v>
      </c>
      <c r="AD51" s="441">
        <f t="shared" si="11"/>
        <v>0</v>
      </c>
      <c r="AE51" s="441">
        <f t="shared" si="11"/>
        <v>0</v>
      </c>
      <c r="AF51" s="441">
        <f t="shared" si="11"/>
        <v>0</v>
      </c>
      <c r="AG51" s="441">
        <f t="shared" si="11"/>
        <v>0</v>
      </c>
      <c r="AH51" s="441">
        <f t="shared" si="11"/>
        <v>0</v>
      </c>
      <c r="AI51" s="441">
        <f t="shared" si="11"/>
        <v>0</v>
      </c>
      <c r="AJ51" s="139"/>
      <c r="AK51" s="546">
        <f>COUNTIF(AK52:AK61,"✔")</f>
        <v>4</v>
      </c>
      <c r="AL51" s="139"/>
      <c r="AM51" s="441">
        <f t="shared" ref="AM51:BI51" si="12">COUNTIF(AM52:AM61,"✔")</f>
        <v>2</v>
      </c>
      <c r="AN51" s="441">
        <f t="shared" si="12"/>
        <v>0</v>
      </c>
      <c r="AO51" s="441">
        <f t="shared" si="12"/>
        <v>2</v>
      </c>
      <c r="AP51" s="441">
        <f t="shared" si="12"/>
        <v>0</v>
      </c>
      <c r="AQ51" s="441">
        <f t="shared" si="12"/>
        <v>0</v>
      </c>
      <c r="AR51" s="441">
        <f t="shared" si="12"/>
        <v>0</v>
      </c>
      <c r="AS51" s="441">
        <f t="shared" si="12"/>
        <v>0</v>
      </c>
      <c r="AT51" s="441">
        <f t="shared" si="12"/>
        <v>0</v>
      </c>
      <c r="AU51" s="441">
        <f t="shared" si="12"/>
        <v>0</v>
      </c>
      <c r="AV51" s="441">
        <f t="shared" si="12"/>
        <v>0</v>
      </c>
      <c r="AW51" s="441">
        <f t="shared" si="12"/>
        <v>0</v>
      </c>
      <c r="AX51" s="546">
        <f>COUNTIF(AX52:AX61,"✔")</f>
        <v>0</v>
      </c>
      <c r="AY51" s="441">
        <f t="shared" si="12"/>
        <v>0</v>
      </c>
      <c r="AZ51" s="441">
        <f t="shared" si="12"/>
        <v>0</v>
      </c>
      <c r="BA51" s="441">
        <f t="shared" si="12"/>
        <v>0</v>
      </c>
      <c r="BB51" s="441">
        <f t="shared" si="12"/>
        <v>0</v>
      </c>
      <c r="BC51" s="441">
        <f t="shared" si="12"/>
        <v>0</v>
      </c>
      <c r="BD51" s="441">
        <f t="shared" si="12"/>
        <v>0</v>
      </c>
      <c r="BE51" s="441">
        <f t="shared" si="12"/>
        <v>0</v>
      </c>
      <c r="BF51" s="441">
        <f t="shared" si="12"/>
        <v>0</v>
      </c>
      <c r="BG51" s="441">
        <f t="shared" si="12"/>
        <v>0</v>
      </c>
      <c r="BH51" s="441">
        <f t="shared" si="12"/>
        <v>0</v>
      </c>
      <c r="BI51" s="441">
        <f t="shared" si="12"/>
        <v>0</v>
      </c>
      <c r="BJ51" s="86"/>
    </row>
    <row r="52" spans="2:62" ht="11.85" customHeight="1" outlineLevel="2">
      <c r="B52" s="86"/>
      <c r="C52" s="140" t="s">
        <v>50</v>
      </c>
      <c r="D52" s="76" t="s">
        <v>51</v>
      </c>
      <c r="F52" s="585">
        <f>COUNTIF('Design Fee'!V57,"&gt;0")+COUNTIF('Design Fee'!BE57,"&gt;0")+COUNTIF('Design Fee'!CN57,"&gt;0")+COUNTIF('Design Fee'!DZ57,"&gt;0")</f>
        <v>3</v>
      </c>
      <c r="G52" s="585">
        <f>COUNTIF('Design Fee'!Y57,"&gt;0")+COUNTIF('Design Fee'!BH57,"&gt;0")+COUNTIF('Design Fee'!CQ57,"&gt;0")+COUNTIF('Design Fee'!EA57,"&gt;0")</f>
        <v>3</v>
      </c>
      <c r="H52" s="585">
        <f>COUNTIF('Design Fee'!Z57,"&gt;0")+COUNTIF('Design Fee'!BI57,"&gt;0")+COUNTIF('Design Fee'!CR57,"&gt;0")+COUNTIF('Design Fee'!EB57,"&gt;0")</f>
        <v>3</v>
      </c>
      <c r="I52" s="586">
        <f>F52-G52</f>
        <v>0</v>
      </c>
      <c r="J52" s="587"/>
      <c r="K52" s="141" t="str">
        <f>IF('Design Fee'!V57&gt;0,"✔","-")</f>
        <v>✔</v>
      </c>
      <c r="L52" s="588"/>
      <c r="M52" s="141" t="str">
        <f>IF('Design Fee'!AA57&gt;0,"✔","-")</f>
        <v>-</v>
      </c>
      <c r="N52" s="141" t="str">
        <f>IF('Design Fee'!AB57&gt;0,"✔","-")</f>
        <v>-</v>
      </c>
      <c r="O52" s="141" t="str">
        <f>IF('Design Fee'!AC57&gt;0,"✔","-")</f>
        <v>-</v>
      </c>
      <c r="P52" s="141" t="str">
        <f>IF('Design Fee'!AD57&gt;0,"✔","-")</f>
        <v>-</v>
      </c>
      <c r="Q52" s="141" t="str">
        <f>IF('Design Fee'!AE57&gt;0,"✔","-")</f>
        <v>-</v>
      </c>
      <c r="R52" s="141" t="str">
        <f>IF('Design Fee'!AG57&gt;0,"✔","-")</f>
        <v>-</v>
      </c>
      <c r="S52" s="141" t="str">
        <f>IF('Design Fee'!AH57&gt;0,"✔","-")</f>
        <v>-</v>
      </c>
      <c r="T52" s="141" t="str">
        <f>IF('Design Fee'!AI57&gt;0,"✔","-")</f>
        <v>-</v>
      </c>
      <c r="U52" s="141" t="str">
        <f>IF('Design Fee'!AJ57&gt;0,"✔","-")</f>
        <v>-</v>
      </c>
      <c r="V52" s="141" t="str">
        <f>IF('Design Fee'!AK57&gt;0,"✔","-")</f>
        <v>-</v>
      </c>
      <c r="W52" s="589"/>
      <c r="X52" s="141" t="str">
        <f>IF('Design Fee'!BE57&gt;0,"✔","-")</f>
        <v>✔</v>
      </c>
      <c r="Y52" s="590"/>
      <c r="Z52" s="141" t="str">
        <f>IF('Design Fee'!BJ57&gt;0,"✔","-")</f>
        <v>-</v>
      </c>
      <c r="AA52" s="141" t="str">
        <f>IF('Design Fee'!BK57&gt;0,"✔","-")</f>
        <v>-</v>
      </c>
      <c r="AB52" s="141" t="str">
        <f>IF('Design Fee'!BL57&gt;0,"✔","-")</f>
        <v>-</v>
      </c>
      <c r="AC52" s="141" t="str">
        <f>IF('Design Fee'!BM57&gt;0,"✔","-")</f>
        <v>-</v>
      </c>
      <c r="AD52" s="141" t="str">
        <f>IF('Design Fee'!BN57&gt;0,"✔","-")</f>
        <v>-</v>
      </c>
      <c r="AE52" s="141" t="str">
        <f>IF('Design Fee'!BP57&gt;0,"✔","-")</f>
        <v>-</v>
      </c>
      <c r="AF52" s="141" t="str">
        <f>IF('Design Fee'!BQ57&gt;0,"✔","-")</f>
        <v>-</v>
      </c>
      <c r="AG52" s="141" t="str">
        <f>IF('Design Fee'!BR57&gt;0,"✔","-")</f>
        <v>-</v>
      </c>
      <c r="AH52" s="141" t="str">
        <f>IF('Design Fee'!BS57&gt;0,"✔","-")</f>
        <v>-</v>
      </c>
      <c r="AI52" s="141" t="str">
        <f>IF('Design Fee'!BT57&gt;0,"✔","-")</f>
        <v>-</v>
      </c>
      <c r="AJ52" s="590"/>
      <c r="AK52" s="141" t="str">
        <f>IF('Design Fee'!CN57&gt;0,"✔","-")</f>
        <v>✔</v>
      </c>
      <c r="AL52" s="590"/>
      <c r="AM52" s="141" t="str">
        <f>IF('Design Fee'!CS57&gt;0,"✔","-")</f>
        <v>-</v>
      </c>
      <c r="AN52" s="141" t="str">
        <f>IF('Design Fee'!CT57&gt;0,"✔","-")</f>
        <v>-</v>
      </c>
      <c r="AO52" s="141" t="str">
        <f>IF('Design Fee'!CU57&gt;0,"✔","-")</f>
        <v>-</v>
      </c>
      <c r="AP52" s="141" t="str">
        <f>IF('Design Fee'!CV57&gt;0,"✔","-")</f>
        <v>-</v>
      </c>
      <c r="AQ52" s="141" t="str">
        <f>IF('Design Fee'!CW57&gt;0,"✔","-")</f>
        <v>-</v>
      </c>
      <c r="AR52" s="141" t="str">
        <f>IF('Design Fee'!CY57&gt;0,"✔","-")</f>
        <v>-</v>
      </c>
      <c r="AS52" s="141" t="str">
        <f>IF('Design Fee'!CZ57&gt;0,"✔","-")</f>
        <v>-</v>
      </c>
      <c r="AT52" s="141" t="str">
        <f>IF('Design Fee'!DA57&gt;0,"✔","-")</f>
        <v>-</v>
      </c>
      <c r="AU52" s="141" t="str">
        <f>IF('Design Fee'!DB57&gt;0,"✔","-")</f>
        <v>-</v>
      </c>
      <c r="AV52" s="141" t="str">
        <f>IF('Design Fee'!DC57&gt;0,"✔","-")</f>
        <v>-</v>
      </c>
      <c r="AW52" s="589"/>
      <c r="AX52" s="141" t="str">
        <f>IF('Design Fee'!DX57&gt;0,"✔","-")</f>
        <v>-</v>
      </c>
      <c r="AY52" s="590"/>
      <c r="AZ52" s="141" t="str">
        <f>IF('Design Fee'!EC57&gt;0,"✔","-")</f>
        <v>-</v>
      </c>
      <c r="BA52" s="141" t="str">
        <f>IF('Design Fee'!ED57&gt;0,"✔","-")</f>
        <v>-</v>
      </c>
      <c r="BB52" s="141" t="str">
        <f>IF('Design Fee'!EE57&gt;0,"✔","-")</f>
        <v>-</v>
      </c>
      <c r="BC52" s="141" t="str">
        <f>IF('Design Fee'!EF57&gt;0,"✔","-")</f>
        <v>-</v>
      </c>
      <c r="BD52" s="141" t="str">
        <f>IF('Design Fee'!EG57&gt;0,"✔","-")</f>
        <v>-</v>
      </c>
      <c r="BE52" s="141" t="str">
        <f>IF('Design Fee'!EI57&gt;0,"✔","-")</f>
        <v>-</v>
      </c>
      <c r="BF52" s="141" t="str">
        <f>IF('Design Fee'!EJ57&gt;0,"✔","-")</f>
        <v>-</v>
      </c>
      <c r="BG52" s="141" t="str">
        <f>IF('Design Fee'!EK57&gt;0,"✔","-")</f>
        <v>-</v>
      </c>
      <c r="BH52" s="141" t="str">
        <f>IF('Design Fee'!EL57&gt;0,"✔","-")</f>
        <v>-</v>
      </c>
      <c r="BI52" s="141" t="str">
        <f>IF('Design Fee'!EM57&gt;0,"✔","-")</f>
        <v>-</v>
      </c>
      <c r="BJ52" s="86"/>
    </row>
    <row r="53" spans="2:62" ht="11.85" customHeight="1" outlineLevel="2">
      <c r="B53" s="86"/>
      <c r="C53" s="140" t="s">
        <v>52</v>
      </c>
      <c r="D53" s="142" t="s">
        <v>53</v>
      </c>
      <c r="E53" s="142"/>
      <c r="F53" s="585">
        <f>COUNTIF('Design Fee'!V58,"&gt;0")+COUNTIF('Design Fee'!BE58,"&gt;0")+COUNTIF('Design Fee'!CN58,"&gt;0")+COUNTIF('Design Fee'!DZ58,"&gt;0")</f>
        <v>2</v>
      </c>
      <c r="G53" s="585">
        <f>COUNTIF('Design Fee'!Y58,"&gt;0")+COUNTIF('Design Fee'!BH58,"&gt;0")+COUNTIF('Design Fee'!CQ58,"&gt;0")+COUNTIF('Design Fee'!EA58,"&gt;0")</f>
        <v>2</v>
      </c>
      <c r="H53" s="585">
        <f>COUNTIF('Design Fee'!Z58,"&gt;0")+COUNTIF('Design Fee'!BI58,"&gt;0")+COUNTIF('Design Fee'!CR58,"&gt;0")+COUNTIF('Design Fee'!EB58,"&gt;0")</f>
        <v>2</v>
      </c>
      <c r="I53" s="586">
        <f t="shared" ref="I53:I61" si="13">F53-G53</f>
        <v>0</v>
      </c>
      <c r="J53" s="587"/>
      <c r="K53" s="141" t="str">
        <f>IF('Design Fee'!V58&gt;0,"✔","-")</f>
        <v>✔</v>
      </c>
      <c r="L53" s="588"/>
      <c r="M53" s="141" t="str">
        <f>IF('Design Fee'!AA58&gt;0,"✔","-")</f>
        <v>-</v>
      </c>
      <c r="N53" s="141" t="str">
        <f>IF('Design Fee'!AB58&gt;0,"✔","-")</f>
        <v>-</v>
      </c>
      <c r="O53" s="141" t="str">
        <f>IF('Design Fee'!AC58&gt;0,"✔","-")</f>
        <v>-</v>
      </c>
      <c r="P53" s="141" t="str">
        <f>IF('Design Fee'!AD58&gt;0,"✔","-")</f>
        <v>-</v>
      </c>
      <c r="Q53" s="141" t="str">
        <f>IF('Design Fee'!AE58&gt;0,"✔","-")</f>
        <v>-</v>
      </c>
      <c r="R53" s="141" t="str">
        <f>IF('Design Fee'!AG58&gt;0,"✔","-")</f>
        <v>-</v>
      </c>
      <c r="S53" s="141" t="str">
        <f>IF('Design Fee'!AH58&gt;0,"✔","-")</f>
        <v>-</v>
      </c>
      <c r="T53" s="141" t="str">
        <f>IF('Design Fee'!AI58&gt;0,"✔","-")</f>
        <v>-</v>
      </c>
      <c r="U53" s="141" t="str">
        <f>IF('Design Fee'!AJ58&gt;0,"✔","-")</f>
        <v>-</v>
      </c>
      <c r="V53" s="141" t="str">
        <f>IF('Design Fee'!AK58&gt;0,"✔","-")</f>
        <v>-</v>
      </c>
      <c r="W53" s="591"/>
      <c r="X53" s="141" t="str">
        <f>IF('Design Fee'!BE58&gt;0,"✔","-")</f>
        <v>✔</v>
      </c>
      <c r="Y53" s="590"/>
      <c r="Z53" s="141" t="str">
        <f>IF('Design Fee'!BJ58&gt;0,"✔","-")</f>
        <v>-</v>
      </c>
      <c r="AA53" s="141" t="str">
        <f>IF('Design Fee'!BK58&gt;0,"✔","-")</f>
        <v>-</v>
      </c>
      <c r="AB53" s="141" t="str">
        <f>IF('Design Fee'!BL58&gt;0,"✔","-")</f>
        <v>-</v>
      </c>
      <c r="AC53" s="141" t="str">
        <f>IF('Design Fee'!BM58&gt;0,"✔","-")</f>
        <v>-</v>
      </c>
      <c r="AD53" s="141" t="str">
        <f>IF('Design Fee'!BN58&gt;0,"✔","-")</f>
        <v>-</v>
      </c>
      <c r="AE53" s="141" t="str">
        <f>IF('Design Fee'!BP58&gt;0,"✔","-")</f>
        <v>-</v>
      </c>
      <c r="AF53" s="141" t="str">
        <f>IF('Design Fee'!BQ58&gt;0,"✔","-")</f>
        <v>-</v>
      </c>
      <c r="AG53" s="141" t="str">
        <f>IF('Design Fee'!BR58&gt;0,"✔","-")</f>
        <v>-</v>
      </c>
      <c r="AH53" s="141" t="str">
        <f>IF('Design Fee'!BS58&gt;0,"✔","-")</f>
        <v>-</v>
      </c>
      <c r="AI53" s="141" t="str">
        <f>IF('Design Fee'!BT58&gt;0,"✔","-")</f>
        <v>-</v>
      </c>
      <c r="AJ53" s="590"/>
      <c r="AK53" s="141" t="str">
        <f>IF('Design Fee'!CN58&gt;0,"✔","-")</f>
        <v>-</v>
      </c>
      <c r="AL53" s="590"/>
      <c r="AM53" s="141" t="str">
        <f>IF('Design Fee'!CS58&gt;0,"✔","-")</f>
        <v>-</v>
      </c>
      <c r="AN53" s="141" t="str">
        <f>IF('Design Fee'!CT58&gt;0,"✔","-")</f>
        <v>-</v>
      </c>
      <c r="AO53" s="141" t="str">
        <f>IF('Design Fee'!CU58&gt;0,"✔","-")</f>
        <v>-</v>
      </c>
      <c r="AP53" s="141" t="str">
        <f>IF('Design Fee'!CV58&gt;0,"✔","-")</f>
        <v>-</v>
      </c>
      <c r="AQ53" s="141" t="str">
        <f>IF('Design Fee'!CW58&gt;0,"✔","-")</f>
        <v>-</v>
      </c>
      <c r="AR53" s="141" t="str">
        <f>IF('Design Fee'!CY58&gt;0,"✔","-")</f>
        <v>-</v>
      </c>
      <c r="AS53" s="141" t="str">
        <f>IF('Design Fee'!CZ58&gt;0,"✔","-")</f>
        <v>-</v>
      </c>
      <c r="AT53" s="141" t="str">
        <f>IF('Design Fee'!DA58&gt;0,"✔","-")</f>
        <v>-</v>
      </c>
      <c r="AU53" s="141" t="str">
        <f>IF('Design Fee'!DB58&gt;0,"✔","-")</f>
        <v>-</v>
      </c>
      <c r="AV53" s="141" t="str">
        <f>IF('Design Fee'!DC58&gt;0,"✔","-")</f>
        <v>-</v>
      </c>
      <c r="AW53" s="591"/>
      <c r="AX53" s="141" t="str">
        <f>IF('Design Fee'!DX58&gt;0,"✔","-")</f>
        <v>-</v>
      </c>
      <c r="AY53" s="590"/>
      <c r="AZ53" s="141" t="str">
        <f>IF('Design Fee'!EC58&gt;0,"✔","-")</f>
        <v>-</v>
      </c>
      <c r="BA53" s="141" t="str">
        <f>IF('Design Fee'!ED58&gt;0,"✔","-")</f>
        <v>-</v>
      </c>
      <c r="BB53" s="141" t="str">
        <f>IF('Design Fee'!EE58&gt;0,"✔","-")</f>
        <v>-</v>
      </c>
      <c r="BC53" s="141" t="str">
        <f>IF('Design Fee'!EF58&gt;0,"✔","-")</f>
        <v>-</v>
      </c>
      <c r="BD53" s="141" t="str">
        <f>IF('Design Fee'!EG58&gt;0,"✔","-")</f>
        <v>-</v>
      </c>
      <c r="BE53" s="141" t="str">
        <f>IF('Design Fee'!EI58&gt;0,"✔","-")</f>
        <v>-</v>
      </c>
      <c r="BF53" s="141" t="str">
        <f>IF('Design Fee'!EJ58&gt;0,"✔","-")</f>
        <v>-</v>
      </c>
      <c r="BG53" s="141" t="str">
        <f>IF('Design Fee'!EK58&gt;0,"✔","-")</f>
        <v>-</v>
      </c>
      <c r="BH53" s="141" t="str">
        <f>IF('Design Fee'!EL58&gt;0,"✔","-")</f>
        <v>-</v>
      </c>
      <c r="BI53" s="141" t="str">
        <f>IF('Design Fee'!EM58&gt;0,"✔","-")</f>
        <v>-</v>
      </c>
      <c r="BJ53" s="86"/>
    </row>
    <row r="54" spans="2:62" ht="11.85" customHeight="1" outlineLevel="2">
      <c r="B54" s="86"/>
      <c r="C54" s="140" t="s">
        <v>54</v>
      </c>
      <c r="D54" s="76" t="s">
        <v>55</v>
      </c>
      <c r="F54" s="585">
        <f>COUNTIF('Design Fee'!V59,"&gt;0")+COUNTIF('Design Fee'!BE59,"&gt;0")+COUNTIF('Design Fee'!CN59,"&gt;0")+COUNTIF('Design Fee'!DZ59,"&gt;0")</f>
        <v>1</v>
      </c>
      <c r="G54" s="585">
        <f>COUNTIF('Design Fee'!Y59,"&gt;0")+COUNTIF('Design Fee'!BH59,"&gt;0")+COUNTIF('Design Fee'!CQ59,"&gt;0")+COUNTIF('Design Fee'!EA59,"&gt;0")</f>
        <v>1</v>
      </c>
      <c r="H54" s="585">
        <f>COUNTIF('Design Fee'!Z59,"&gt;0")+COUNTIF('Design Fee'!BI59,"&gt;0")+COUNTIF('Design Fee'!CR59,"&gt;0")+COUNTIF('Design Fee'!EB59,"&gt;0")</f>
        <v>1</v>
      </c>
      <c r="I54" s="586">
        <f t="shared" si="13"/>
        <v>0</v>
      </c>
      <c r="J54" s="587"/>
      <c r="K54" s="141" t="str">
        <f>IF('Design Fee'!V59&gt;0,"✔","-")</f>
        <v>✔</v>
      </c>
      <c r="L54" s="588"/>
      <c r="M54" s="141" t="str">
        <f>IF('Design Fee'!AA59&gt;0,"✔","-")</f>
        <v>-</v>
      </c>
      <c r="N54" s="141" t="str">
        <f>IF('Design Fee'!AB59&gt;0,"✔","-")</f>
        <v>-</v>
      </c>
      <c r="O54" s="141" t="str">
        <f>IF('Design Fee'!AC59&gt;0,"✔","-")</f>
        <v>-</v>
      </c>
      <c r="P54" s="141" t="str">
        <f>IF('Design Fee'!AD59&gt;0,"✔","-")</f>
        <v>-</v>
      </c>
      <c r="Q54" s="141" t="str">
        <f>IF('Design Fee'!AE59&gt;0,"✔","-")</f>
        <v>-</v>
      </c>
      <c r="R54" s="141" t="str">
        <f>IF('Design Fee'!AG59&gt;0,"✔","-")</f>
        <v>-</v>
      </c>
      <c r="S54" s="141" t="str">
        <f>IF('Design Fee'!AH59&gt;0,"✔","-")</f>
        <v>-</v>
      </c>
      <c r="T54" s="141" t="str">
        <f>IF('Design Fee'!AI59&gt;0,"✔","-")</f>
        <v>-</v>
      </c>
      <c r="U54" s="141" t="str">
        <f>IF('Design Fee'!AJ59&gt;0,"✔","-")</f>
        <v>-</v>
      </c>
      <c r="V54" s="141" t="str">
        <f>IF('Design Fee'!AK59&gt;0,"✔","-")</f>
        <v>-</v>
      </c>
      <c r="W54" s="591"/>
      <c r="X54" s="141" t="str">
        <f>IF('Design Fee'!BE59&gt;0,"✔","-")</f>
        <v>-</v>
      </c>
      <c r="Y54" s="590"/>
      <c r="Z54" s="141" t="str">
        <f>IF('Design Fee'!BJ59&gt;0,"✔","-")</f>
        <v>-</v>
      </c>
      <c r="AA54" s="141" t="str">
        <f>IF('Design Fee'!BK59&gt;0,"✔","-")</f>
        <v>-</v>
      </c>
      <c r="AB54" s="141" t="str">
        <f>IF('Design Fee'!BL59&gt;0,"✔","-")</f>
        <v>-</v>
      </c>
      <c r="AC54" s="141" t="str">
        <f>IF('Design Fee'!BM59&gt;0,"✔","-")</f>
        <v>-</v>
      </c>
      <c r="AD54" s="141" t="str">
        <f>IF('Design Fee'!BN59&gt;0,"✔","-")</f>
        <v>-</v>
      </c>
      <c r="AE54" s="141" t="str">
        <f>IF('Design Fee'!BP59&gt;0,"✔","-")</f>
        <v>-</v>
      </c>
      <c r="AF54" s="141" t="str">
        <f>IF('Design Fee'!BQ59&gt;0,"✔","-")</f>
        <v>-</v>
      </c>
      <c r="AG54" s="141" t="str">
        <f>IF('Design Fee'!BR59&gt;0,"✔","-")</f>
        <v>-</v>
      </c>
      <c r="AH54" s="141" t="str">
        <f>IF('Design Fee'!BS59&gt;0,"✔","-")</f>
        <v>-</v>
      </c>
      <c r="AI54" s="141" t="str">
        <f>IF('Design Fee'!BT59&gt;0,"✔","-")</f>
        <v>-</v>
      </c>
      <c r="AJ54" s="590"/>
      <c r="AK54" s="141" t="str">
        <f>IF('Design Fee'!CN59&gt;0,"✔","-")</f>
        <v>-</v>
      </c>
      <c r="AL54" s="590"/>
      <c r="AM54" s="141" t="str">
        <f>IF('Design Fee'!CS59&gt;0,"✔","-")</f>
        <v>-</v>
      </c>
      <c r="AN54" s="141" t="str">
        <f>IF('Design Fee'!CT59&gt;0,"✔","-")</f>
        <v>-</v>
      </c>
      <c r="AO54" s="141" t="str">
        <f>IF('Design Fee'!CU59&gt;0,"✔","-")</f>
        <v>-</v>
      </c>
      <c r="AP54" s="141" t="str">
        <f>IF('Design Fee'!CV59&gt;0,"✔","-")</f>
        <v>-</v>
      </c>
      <c r="AQ54" s="141" t="str">
        <f>IF('Design Fee'!CW59&gt;0,"✔","-")</f>
        <v>-</v>
      </c>
      <c r="AR54" s="141" t="str">
        <f>IF('Design Fee'!CY59&gt;0,"✔","-")</f>
        <v>-</v>
      </c>
      <c r="AS54" s="141" t="str">
        <f>IF('Design Fee'!CZ59&gt;0,"✔","-")</f>
        <v>-</v>
      </c>
      <c r="AT54" s="141" t="str">
        <f>IF('Design Fee'!DA59&gt;0,"✔","-")</f>
        <v>-</v>
      </c>
      <c r="AU54" s="141" t="str">
        <f>IF('Design Fee'!DB59&gt;0,"✔","-")</f>
        <v>-</v>
      </c>
      <c r="AV54" s="141" t="str">
        <f>IF('Design Fee'!DC59&gt;0,"✔","-")</f>
        <v>-</v>
      </c>
      <c r="AW54" s="591"/>
      <c r="AX54" s="141" t="str">
        <f>IF('Design Fee'!DX59&gt;0,"✔","-")</f>
        <v>-</v>
      </c>
      <c r="AY54" s="590"/>
      <c r="AZ54" s="141" t="str">
        <f>IF('Design Fee'!EC59&gt;0,"✔","-")</f>
        <v>-</v>
      </c>
      <c r="BA54" s="141" t="str">
        <f>IF('Design Fee'!ED59&gt;0,"✔","-")</f>
        <v>-</v>
      </c>
      <c r="BB54" s="141" t="str">
        <f>IF('Design Fee'!EE59&gt;0,"✔","-")</f>
        <v>-</v>
      </c>
      <c r="BC54" s="141" t="str">
        <f>IF('Design Fee'!EF59&gt;0,"✔","-")</f>
        <v>-</v>
      </c>
      <c r="BD54" s="141" t="str">
        <f>IF('Design Fee'!EG59&gt;0,"✔","-")</f>
        <v>-</v>
      </c>
      <c r="BE54" s="141" t="str">
        <f>IF('Design Fee'!EI59&gt;0,"✔","-")</f>
        <v>-</v>
      </c>
      <c r="BF54" s="141" t="str">
        <f>IF('Design Fee'!EJ59&gt;0,"✔","-")</f>
        <v>-</v>
      </c>
      <c r="BG54" s="141" t="str">
        <f>IF('Design Fee'!EK59&gt;0,"✔","-")</f>
        <v>-</v>
      </c>
      <c r="BH54" s="141" t="str">
        <f>IF('Design Fee'!EL59&gt;0,"✔","-")</f>
        <v>-</v>
      </c>
      <c r="BI54" s="141" t="str">
        <f>IF('Design Fee'!EM59&gt;0,"✔","-")</f>
        <v>-</v>
      </c>
      <c r="BJ54" s="86"/>
    </row>
    <row r="55" spans="2:62" ht="11.85" customHeight="1" outlineLevel="2">
      <c r="B55" s="86"/>
      <c r="C55" s="140" t="s">
        <v>56</v>
      </c>
      <c r="D55" s="76" t="s">
        <v>57</v>
      </c>
      <c r="F55" s="585">
        <f>COUNTIF('Design Fee'!V60,"&gt;0")+COUNTIF('Design Fee'!BE60,"&gt;0")+COUNTIF('Design Fee'!CN60,"&gt;0")+COUNTIF('Design Fee'!DZ60,"&gt;0")</f>
        <v>3</v>
      </c>
      <c r="G55" s="585">
        <f>COUNTIF('Design Fee'!Y60,"&gt;0")+COUNTIF('Design Fee'!BH60,"&gt;0")+COUNTIF('Design Fee'!CQ60,"&gt;0")+COUNTIF('Design Fee'!EA60,"&gt;0")</f>
        <v>2</v>
      </c>
      <c r="H55" s="585">
        <f>COUNTIF('Design Fee'!Z60,"&gt;0")+COUNTIF('Design Fee'!BI60,"&gt;0")+COUNTIF('Design Fee'!CR60,"&gt;0")+COUNTIF('Design Fee'!EB60,"&gt;0")</f>
        <v>2</v>
      </c>
      <c r="I55" s="586">
        <f t="shared" si="13"/>
        <v>1</v>
      </c>
      <c r="J55" s="587"/>
      <c r="K55" s="141" t="str">
        <f>IF('Design Fee'!V60&gt;0,"✔","-")</f>
        <v>✔</v>
      </c>
      <c r="L55" s="588"/>
      <c r="M55" s="141" t="str">
        <f>IF('Design Fee'!AA60&gt;0,"✔","-")</f>
        <v>✔</v>
      </c>
      <c r="N55" s="141" t="str">
        <f>IF('Design Fee'!AB60&gt;0,"✔","-")</f>
        <v>✔</v>
      </c>
      <c r="O55" s="141" t="str">
        <f>IF('Design Fee'!AC60&gt;0,"✔","-")</f>
        <v>-</v>
      </c>
      <c r="P55" s="141" t="str">
        <f>IF('Design Fee'!AD60&gt;0,"✔","-")</f>
        <v>-</v>
      </c>
      <c r="Q55" s="141" t="str">
        <f>IF('Design Fee'!AE60&gt;0,"✔","-")</f>
        <v>-</v>
      </c>
      <c r="R55" s="141" t="str">
        <f>IF('Design Fee'!AG60&gt;0,"✔","-")</f>
        <v>-</v>
      </c>
      <c r="S55" s="141" t="str">
        <f>IF('Design Fee'!AH60&gt;0,"✔","-")</f>
        <v>-</v>
      </c>
      <c r="T55" s="141" t="str">
        <f>IF('Design Fee'!AI60&gt;0,"✔","-")</f>
        <v>-</v>
      </c>
      <c r="U55" s="141" t="str">
        <f>IF('Design Fee'!AJ60&gt;0,"✔","-")</f>
        <v>-</v>
      </c>
      <c r="V55" s="141" t="str">
        <f>IF('Design Fee'!AK60&gt;0,"✔","-")</f>
        <v>-</v>
      </c>
      <c r="W55" s="591"/>
      <c r="X55" s="141" t="str">
        <f>IF('Design Fee'!BE60&gt;0,"✔","-")</f>
        <v>✔</v>
      </c>
      <c r="Y55" s="590"/>
      <c r="Z55" s="141" t="str">
        <f>IF('Design Fee'!BJ60&gt;0,"✔","-")</f>
        <v>-</v>
      </c>
      <c r="AA55" s="141" t="str">
        <f>IF('Design Fee'!BK60&gt;0,"✔","-")</f>
        <v>-</v>
      </c>
      <c r="AB55" s="141" t="str">
        <f>IF('Design Fee'!BL60&gt;0,"✔","-")</f>
        <v>-</v>
      </c>
      <c r="AC55" s="141" t="str">
        <f>IF('Design Fee'!BM60&gt;0,"✔","-")</f>
        <v>-</v>
      </c>
      <c r="AD55" s="141" t="str">
        <f>IF('Design Fee'!BN60&gt;0,"✔","-")</f>
        <v>-</v>
      </c>
      <c r="AE55" s="141" t="str">
        <f>IF('Design Fee'!BP60&gt;0,"✔","-")</f>
        <v>-</v>
      </c>
      <c r="AF55" s="141" t="str">
        <f>IF('Design Fee'!BQ60&gt;0,"✔","-")</f>
        <v>-</v>
      </c>
      <c r="AG55" s="141" t="str">
        <f>IF('Design Fee'!BR60&gt;0,"✔","-")</f>
        <v>-</v>
      </c>
      <c r="AH55" s="141" t="str">
        <f>IF('Design Fee'!BS60&gt;0,"✔","-")</f>
        <v>-</v>
      </c>
      <c r="AI55" s="141" t="str">
        <f>IF('Design Fee'!BT60&gt;0,"✔","-")</f>
        <v>-</v>
      </c>
      <c r="AJ55" s="590"/>
      <c r="AK55" s="141" t="str">
        <f>IF('Design Fee'!CN60&gt;0,"✔","-")</f>
        <v>✔</v>
      </c>
      <c r="AL55" s="590"/>
      <c r="AM55" s="141" t="str">
        <f>IF('Design Fee'!CS60&gt;0,"✔","-")</f>
        <v>-</v>
      </c>
      <c r="AN55" s="141" t="str">
        <f>IF('Design Fee'!CT60&gt;0,"✔","-")</f>
        <v>-</v>
      </c>
      <c r="AO55" s="141" t="str">
        <f>IF('Design Fee'!CU60&gt;0,"✔","-")</f>
        <v>-</v>
      </c>
      <c r="AP55" s="141" t="str">
        <f>IF('Design Fee'!CV60&gt;0,"✔","-")</f>
        <v>-</v>
      </c>
      <c r="AQ55" s="141" t="str">
        <f>IF('Design Fee'!CW60&gt;0,"✔","-")</f>
        <v>-</v>
      </c>
      <c r="AR55" s="141" t="str">
        <f>IF('Design Fee'!CY60&gt;0,"✔","-")</f>
        <v>-</v>
      </c>
      <c r="AS55" s="141" t="str">
        <f>IF('Design Fee'!CZ60&gt;0,"✔","-")</f>
        <v>-</v>
      </c>
      <c r="AT55" s="141" t="str">
        <f>IF('Design Fee'!DA60&gt;0,"✔","-")</f>
        <v>-</v>
      </c>
      <c r="AU55" s="141" t="str">
        <f>IF('Design Fee'!DB60&gt;0,"✔","-")</f>
        <v>-</v>
      </c>
      <c r="AV55" s="141" t="str">
        <f>IF('Design Fee'!DC60&gt;0,"✔","-")</f>
        <v>-</v>
      </c>
      <c r="AW55" s="591"/>
      <c r="AX55" s="141" t="str">
        <f>IF('Design Fee'!DX60&gt;0,"✔","-")</f>
        <v>-</v>
      </c>
      <c r="AY55" s="590"/>
      <c r="AZ55" s="141" t="str">
        <f>IF('Design Fee'!EC60&gt;0,"✔","-")</f>
        <v>-</v>
      </c>
      <c r="BA55" s="141" t="str">
        <f>IF('Design Fee'!ED60&gt;0,"✔","-")</f>
        <v>-</v>
      </c>
      <c r="BB55" s="141" t="str">
        <f>IF('Design Fee'!EE60&gt;0,"✔","-")</f>
        <v>-</v>
      </c>
      <c r="BC55" s="141" t="str">
        <f>IF('Design Fee'!EF60&gt;0,"✔","-")</f>
        <v>-</v>
      </c>
      <c r="BD55" s="141" t="str">
        <f>IF('Design Fee'!EG60&gt;0,"✔","-")</f>
        <v>-</v>
      </c>
      <c r="BE55" s="141" t="str">
        <f>IF('Design Fee'!EI60&gt;0,"✔","-")</f>
        <v>-</v>
      </c>
      <c r="BF55" s="141" t="str">
        <f>IF('Design Fee'!EJ60&gt;0,"✔","-")</f>
        <v>-</v>
      </c>
      <c r="BG55" s="141" t="str">
        <f>IF('Design Fee'!EK60&gt;0,"✔","-")</f>
        <v>-</v>
      </c>
      <c r="BH55" s="141" t="str">
        <f>IF('Design Fee'!EL60&gt;0,"✔","-")</f>
        <v>-</v>
      </c>
      <c r="BI55" s="141" t="str">
        <f>IF('Design Fee'!EM60&gt;0,"✔","-")</f>
        <v>-</v>
      </c>
      <c r="BJ55" s="86"/>
    </row>
    <row r="56" spans="2:62" ht="11.85" customHeight="1" outlineLevel="2">
      <c r="B56" s="86"/>
      <c r="C56" s="140" t="s">
        <v>58</v>
      </c>
      <c r="D56" s="76" t="s">
        <v>59</v>
      </c>
      <c r="F56" s="585">
        <f>COUNTIF('Design Fee'!V61,"&gt;0")+COUNTIF('Design Fee'!BE61,"&gt;0")+COUNTIF('Design Fee'!CN61,"&gt;0")+COUNTIF('Design Fee'!DZ61,"&gt;0")</f>
        <v>2</v>
      </c>
      <c r="G56" s="585">
        <f>COUNTIF('Design Fee'!Y61,"&gt;0")+COUNTIF('Design Fee'!BH61,"&gt;0")+COUNTIF('Design Fee'!CQ61,"&gt;0")+COUNTIF('Design Fee'!EA61,"&gt;0")</f>
        <v>2</v>
      </c>
      <c r="H56" s="585">
        <f>COUNTIF('Design Fee'!Z61,"&gt;0")+COUNTIF('Design Fee'!BI61,"&gt;0")+COUNTIF('Design Fee'!CR61,"&gt;0")+COUNTIF('Design Fee'!EB61,"&gt;0")</f>
        <v>2</v>
      </c>
      <c r="I56" s="586">
        <f t="shared" si="13"/>
        <v>0</v>
      </c>
      <c r="J56" s="587"/>
      <c r="K56" s="141" t="str">
        <f>IF('Design Fee'!V61&gt;0,"✔","-")</f>
        <v>✔</v>
      </c>
      <c r="L56" s="588"/>
      <c r="M56" s="141" t="str">
        <f>IF('Design Fee'!AA61&gt;0,"✔","-")</f>
        <v>-</v>
      </c>
      <c r="N56" s="141" t="str">
        <f>IF('Design Fee'!AB61&gt;0,"✔","-")</f>
        <v>-</v>
      </c>
      <c r="O56" s="141" t="str">
        <f>IF('Design Fee'!AC61&gt;0,"✔","-")</f>
        <v>-</v>
      </c>
      <c r="P56" s="141" t="str">
        <f>IF('Design Fee'!AD61&gt;0,"✔","-")</f>
        <v>-</v>
      </c>
      <c r="Q56" s="141" t="str">
        <f>IF('Design Fee'!AE61&gt;0,"✔","-")</f>
        <v>-</v>
      </c>
      <c r="R56" s="141" t="str">
        <f>IF('Design Fee'!AG61&gt;0,"✔","-")</f>
        <v>-</v>
      </c>
      <c r="S56" s="141" t="str">
        <f>IF('Design Fee'!AH61&gt;0,"✔","-")</f>
        <v>-</v>
      </c>
      <c r="T56" s="141" t="str">
        <f>IF('Design Fee'!AI61&gt;0,"✔","-")</f>
        <v>-</v>
      </c>
      <c r="U56" s="141" t="str">
        <f>IF('Design Fee'!AJ61&gt;0,"✔","-")</f>
        <v>-</v>
      </c>
      <c r="V56" s="141" t="str">
        <f>IF('Design Fee'!AK61&gt;0,"✔","-")</f>
        <v>-</v>
      </c>
      <c r="W56" s="589"/>
      <c r="X56" s="141" t="str">
        <f>IF('Design Fee'!BE61&gt;0,"✔","-")</f>
        <v>✔</v>
      </c>
      <c r="Y56" s="590"/>
      <c r="Z56" s="141" t="str">
        <f>IF('Design Fee'!BJ61&gt;0,"✔","-")</f>
        <v>-</v>
      </c>
      <c r="AA56" s="141" t="str">
        <f>IF('Design Fee'!BK61&gt;0,"✔","-")</f>
        <v>-</v>
      </c>
      <c r="AB56" s="141" t="str">
        <f>IF('Design Fee'!BL61&gt;0,"✔","-")</f>
        <v>-</v>
      </c>
      <c r="AC56" s="141" t="str">
        <f>IF('Design Fee'!BM61&gt;0,"✔","-")</f>
        <v>-</v>
      </c>
      <c r="AD56" s="141" t="str">
        <f>IF('Design Fee'!BN61&gt;0,"✔","-")</f>
        <v>-</v>
      </c>
      <c r="AE56" s="141" t="str">
        <f>IF('Design Fee'!BP61&gt;0,"✔","-")</f>
        <v>-</v>
      </c>
      <c r="AF56" s="141" t="str">
        <f>IF('Design Fee'!BQ61&gt;0,"✔","-")</f>
        <v>-</v>
      </c>
      <c r="AG56" s="141" t="str">
        <f>IF('Design Fee'!BR61&gt;0,"✔","-")</f>
        <v>-</v>
      </c>
      <c r="AH56" s="141" t="str">
        <f>IF('Design Fee'!BS61&gt;0,"✔","-")</f>
        <v>-</v>
      </c>
      <c r="AI56" s="141" t="str">
        <f>IF('Design Fee'!BT61&gt;0,"✔","-")</f>
        <v>-</v>
      </c>
      <c r="AJ56" s="590"/>
      <c r="AK56" s="141" t="str">
        <f>IF('Design Fee'!CN61&gt;0,"✔","-")</f>
        <v>-</v>
      </c>
      <c r="AL56" s="590"/>
      <c r="AM56" s="141" t="str">
        <f>IF('Design Fee'!CS61&gt;0,"✔","-")</f>
        <v>-</v>
      </c>
      <c r="AN56" s="141" t="str">
        <f>IF('Design Fee'!CT61&gt;0,"✔","-")</f>
        <v>-</v>
      </c>
      <c r="AO56" s="141" t="str">
        <f>IF('Design Fee'!CU61&gt;0,"✔","-")</f>
        <v>-</v>
      </c>
      <c r="AP56" s="141" t="str">
        <f>IF('Design Fee'!CV61&gt;0,"✔","-")</f>
        <v>-</v>
      </c>
      <c r="AQ56" s="141" t="str">
        <f>IF('Design Fee'!CW61&gt;0,"✔","-")</f>
        <v>-</v>
      </c>
      <c r="AR56" s="141" t="str">
        <f>IF('Design Fee'!CY61&gt;0,"✔","-")</f>
        <v>-</v>
      </c>
      <c r="AS56" s="141" t="str">
        <f>IF('Design Fee'!CZ61&gt;0,"✔","-")</f>
        <v>-</v>
      </c>
      <c r="AT56" s="141" t="str">
        <f>IF('Design Fee'!DA61&gt;0,"✔","-")</f>
        <v>-</v>
      </c>
      <c r="AU56" s="141" t="str">
        <f>IF('Design Fee'!DB61&gt;0,"✔","-")</f>
        <v>-</v>
      </c>
      <c r="AV56" s="141" t="str">
        <f>IF('Design Fee'!DC61&gt;0,"✔","-")</f>
        <v>-</v>
      </c>
      <c r="AW56" s="589"/>
      <c r="AX56" s="141" t="str">
        <f>IF('Design Fee'!DX61&gt;0,"✔","-")</f>
        <v>-</v>
      </c>
      <c r="AY56" s="590"/>
      <c r="AZ56" s="141" t="str">
        <f>IF('Design Fee'!EC61&gt;0,"✔","-")</f>
        <v>-</v>
      </c>
      <c r="BA56" s="141" t="str">
        <f>IF('Design Fee'!ED61&gt;0,"✔","-")</f>
        <v>-</v>
      </c>
      <c r="BB56" s="141" t="str">
        <f>IF('Design Fee'!EE61&gt;0,"✔","-")</f>
        <v>-</v>
      </c>
      <c r="BC56" s="141" t="str">
        <f>IF('Design Fee'!EF61&gt;0,"✔","-")</f>
        <v>-</v>
      </c>
      <c r="BD56" s="141" t="str">
        <f>IF('Design Fee'!EG61&gt;0,"✔","-")</f>
        <v>-</v>
      </c>
      <c r="BE56" s="141" t="str">
        <f>IF('Design Fee'!EI61&gt;0,"✔","-")</f>
        <v>-</v>
      </c>
      <c r="BF56" s="141" t="str">
        <f>IF('Design Fee'!EJ61&gt;0,"✔","-")</f>
        <v>-</v>
      </c>
      <c r="BG56" s="141" t="str">
        <f>IF('Design Fee'!EK61&gt;0,"✔","-")</f>
        <v>-</v>
      </c>
      <c r="BH56" s="141" t="str">
        <f>IF('Design Fee'!EL61&gt;0,"✔","-")</f>
        <v>-</v>
      </c>
      <c r="BI56" s="141" t="str">
        <f>IF('Design Fee'!EM61&gt;0,"✔","-")</f>
        <v>-</v>
      </c>
      <c r="BJ56" s="86"/>
    </row>
    <row r="57" spans="2:62" ht="11.85" customHeight="1" outlineLevel="2">
      <c r="B57" s="86"/>
      <c r="C57" s="140" t="s">
        <v>60</v>
      </c>
      <c r="D57" s="76" t="s">
        <v>61</v>
      </c>
      <c r="F57" s="585">
        <f>COUNTIF('Design Fee'!V62,"&gt;0")+COUNTIF('Design Fee'!BE62,"&gt;0")+COUNTIF('Design Fee'!CN62,"&gt;0")+COUNTIF('Design Fee'!DZ62,"&gt;0")</f>
        <v>2</v>
      </c>
      <c r="G57" s="585">
        <f>COUNTIF('Design Fee'!Y62,"&gt;0")+COUNTIF('Design Fee'!BH62,"&gt;0")+COUNTIF('Design Fee'!CQ62,"&gt;0")+COUNTIF('Design Fee'!EA62,"&gt;0")</f>
        <v>2</v>
      </c>
      <c r="H57" s="585">
        <f>COUNTIF('Design Fee'!Z62,"&gt;0")+COUNTIF('Design Fee'!BI62,"&gt;0")+COUNTIF('Design Fee'!CR62,"&gt;0")+COUNTIF('Design Fee'!EB62,"&gt;0")</f>
        <v>1</v>
      </c>
      <c r="I57" s="586">
        <f t="shared" si="13"/>
        <v>0</v>
      </c>
      <c r="J57" s="587"/>
      <c r="K57" s="141" t="str">
        <f>IF('Design Fee'!V62&gt;0,"✔","-")</f>
        <v>✔</v>
      </c>
      <c r="L57" s="588"/>
      <c r="M57" s="141" t="str">
        <f>IF('Design Fee'!AA62&gt;0,"✔","-")</f>
        <v>✔</v>
      </c>
      <c r="N57" s="141" t="str">
        <f>IF('Design Fee'!AB62&gt;0,"✔","-")</f>
        <v>✔</v>
      </c>
      <c r="O57" s="141" t="str">
        <f>IF('Design Fee'!AC62&gt;0,"✔","-")</f>
        <v>-</v>
      </c>
      <c r="P57" s="141" t="str">
        <f>IF('Design Fee'!AD62&gt;0,"✔","-")</f>
        <v>-</v>
      </c>
      <c r="Q57" s="141" t="str">
        <f>IF('Design Fee'!AE62&gt;0,"✔","-")</f>
        <v>-</v>
      </c>
      <c r="R57" s="141" t="str">
        <f>IF('Design Fee'!AG62&gt;0,"✔","-")</f>
        <v>✔</v>
      </c>
      <c r="S57" s="141" t="str">
        <f>IF('Design Fee'!AH62&gt;0,"✔","-")</f>
        <v>-</v>
      </c>
      <c r="T57" s="141" t="str">
        <f>IF('Design Fee'!AI62&gt;0,"✔","-")</f>
        <v>✔</v>
      </c>
      <c r="U57" s="141" t="str">
        <f>IF('Design Fee'!AJ62&gt;0,"✔","-")</f>
        <v>-</v>
      </c>
      <c r="V57" s="141" t="str">
        <f>IF('Design Fee'!AK62&gt;0,"✔","-")</f>
        <v>-</v>
      </c>
      <c r="W57" s="589"/>
      <c r="X57" s="141" t="str">
        <f>IF('Design Fee'!BE62&gt;0,"✔","-")</f>
        <v>✔</v>
      </c>
      <c r="Y57" s="590"/>
      <c r="Z57" s="141" t="str">
        <f>IF('Design Fee'!BJ62&gt;0,"✔","-")</f>
        <v>-</v>
      </c>
      <c r="AA57" s="141" t="str">
        <f>IF('Design Fee'!BK62&gt;0,"✔","-")</f>
        <v>-</v>
      </c>
      <c r="AB57" s="141" t="str">
        <f>IF('Design Fee'!BL62&gt;0,"✔","-")</f>
        <v>-</v>
      </c>
      <c r="AC57" s="141" t="str">
        <f>IF('Design Fee'!BM62&gt;0,"✔","-")</f>
        <v>-</v>
      </c>
      <c r="AD57" s="141" t="str">
        <f>IF('Design Fee'!BN62&gt;0,"✔","-")</f>
        <v>-</v>
      </c>
      <c r="AE57" s="141" t="str">
        <f>IF('Design Fee'!BP62&gt;0,"✔","-")</f>
        <v>-</v>
      </c>
      <c r="AF57" s="141" t="str">
        <f>IF('Design Fee'!BQ62&gt;0,"✔","-")</f>
        <v>-</v>
      </c>
      <c r="AG57" s="141" t="str">
        <f>IF('Design Fee'!BR62&gt;0,"✔","-")</f>
        <v>-</v>
      </c>
      <c r="AH57" s="141" t="str">
        <f>IF('Design Fee'!BS62&gt;0,"✔","-")</f>
        <v>-</v>
      </c>
      <c r="AI57" s="141" t="str">
        <f>IF('Design Fee'!BT62&gt;0,"✔","-")</f>
        <v>-</v>
      </c>
      <c r="AJ57" s="590"/>
      <c r="AK57" s="141" t="str">
        <f>IF('Design Fee'!CN62&gt;0,"✔","-")</f>
        <v>-</v>
      </c>
      <c r="AL57" s="590"/>
      <c r="AM57" s="141" t="str">
        <f>IF('Design Fee'!CS62&gt;0,"✔","-")</f>
        <v>-</v>
      </c>
      <c r="AN57" s="141" t="str">
        <f>IF('Design Fee'!CT62&gt;0,"✔","-")</f>
        <v>-</v>
      </c>
      <c r="AO57" s="141" t="str">
        <f>IF('Design Fee'!CU62&gt;0,"✔","-")</f>
        <v>-</v>
      </c>
      <c r="AP57" s="141" t="str">
        <f>IF('Design Fee'!CV62&gt;0,"✔","-")</f>
        <v>-</v>
      </c>
      <c r="AQ57" s="141" t="str">
        <f>IF('Design Fee'!CW62&gt;0,"✔","-")</f>
        <v>-</v>
      </c>
      <c r="AR57" s="141" t="str">
        <f>IF('Design Fee'!CY62&gt;0,"✔","-")</f>
        <v>-</v>
      </c>
      <c r="AS57" s="141" t="str">
        <f>IF('Design Fee'!CZ62&gt;0,"✔","-")</f>
        <v>-</v>
      </c>
      <c r="AT57" s="141" t="str">
        <f>IF('Design Fee'!DA62&gt;0,"✔","-")</f>
        <v>-</v>
      </c>
      <c r="AU57" s="141" t="str">
        <f>IF('Design Fee'!DB62&gt;0,"✔","-")</f>
        <v>-</v>
      </c>
      <c r="AV57" s="141" t="str">
        <f>IF('Design Fee'!DC62&gt;0,"✔","-")</f>
        <v>-</v>
      </c>
      <c r="AW57" s="589"/>
      <c r="AX57" s="141" t="str">
        <f>IF('Design Fee'!DX62&gt;0,"✔","-")</f>
        <v>-</v>
      </c>
      <c r="AY57" s="590"/>
      <c r="AZ57" s="141" t="str">
        <f>IF('Design Fee'!EC62&gt;0,"✔","-")</f>
        <v>-</v>
      </c>
      <c r="BA57" s="141" t="str">
        <f>IF('Design Fee'!ED62&gt;0,"✔","-")</f>
        <v>-</v>
      </c>
      <c r="BB57" s="141" t="str">
        <f>IF('Design Fee'!EE62&gt;0,"✔","-")</f>
        <v>-</v>
      </c>
      <c r="BC57" s="141" t="str">
        <f>IF('Design Fee'!EF62&gt;0,"✔","-")</f>
        <v>-</v>
      </c>
      <c r="BD57" s="141" t="str">
        <f>IF('Design Fee'!EG62&gt;0,"✔","-")</f>
        <v>-</v>
      </c>
      <c r="BE57" s="141" t="str">
        <f>IF('Design Fee'!EI62&gt;0,"✔","-")</f>
        <v>-</v>
      </c>
      <c r="BF57" s="141" t="str">
        <f>IF('Design Fee'!EJ62&gt;0,"✔","-")</f>
        <v>-</v>
      </c>
      <c r="BG57" s="141" t="str">
        <f>IF('Design Fee'!EK62&gt;0,"✔","-")</f>
        <v>-</v>
      </c>
      <c r="BH57" s="141" t="str">
        <f>IF('Design Fee'!EL62&gt;0,"✔","-")</f>
        <v>-</v>
      </c>
      <c r="BI57" s="141" t="str">
        <f>IF('Design Fee'!EM62&gt;0,"✔","-")</f>
        <v>-</v>
      </c>
      <c r="BJ57" s="86"/>
    </row>
    <row r="58" spans="2:62" ht="11.85" customHeight="1" outlineLevel="2">
      <c r="B58" s="86"/>
      <c r="C58" s="140" t="s">
        <v>62</v>
      </c>
      <c r="D58" s="76" t="s">
        <v>63</v>
      </c>
      <c r="F58" s="585">
        <f>COUNTIF('Design Fee'!V63,"&gt;0")+COUNTIF('Design Fee'!BE63,"&gt;0")+COUNTIF('Design Fee'!CN63,"&gt;0")+COUNTIF('Design Fee'!DZ63,"&gt;0")</f>
        <v>1</v>
      </c>
      <c r="G58" s="585">
        <f>COUNTIF('Design Fee'!Y63,"&gt;0")+COUNTIF('Design Fee'!BH63,"&gt;0")+COUNTIF('Design Fee'!CQ63,"&gt;0")+COUNTIF('Design Fee'!EA63,"&gt;0")</f>
        <v>0</v>
      </c>
      <c r="H58" s="585">
        <f>COUNTIF('Design Fee'!Z63,"&gt;0")+COUNTIF('Design Fee'!BI63,"&gt;0")+COUNTIF('Design Fee'!CR63,"&gt;0")+COUNTIF('Design Fee'!EB63,"&gt;0")</f>
        <v>0</v>
      </c>
      <c r="I58" s="586">
        <f t="shared" si="13"/>
        <v>1</v>
      </c>
      <c r="J58" s="587"/>
      <c r="K58" s="141" t="str">
        <f>IF('Design Fee'!V63&gt;0,"✔","-")</f>
        <v>✔</v>
      </c>
      <c r="L58" s="588"/>
      <c r="M58" s="141" t="str">
        <f>IF('Design Fee'!AA63&gt;0,"✔","-")</f>
        <v>✔</v>
      </c>
      <c r="N58" s="141" t="str">
        <f>IF('Design Fee'!AB63&gt;0,"✔","-")</f>
        <v>✔</v>
      </c>
      <c r="O58" s="141" t="str">
        <f>IF('Design Fee'!AC63&gt;0,"✔","-")</f>
        <v>-</v>
      </c>
      <c r="P58" s="141" t="str">
        <f>IF('Design Fee'!AD63&gt;0,"✔","-")</f>
        <v>-</v>
      </c>
      <c r="Q58" s="141" t="str">
        <f>IF('Design Fee'!AE63&gt;0,"✔","-")</f>
        <v>-</v>
      </c>
      <c r="R58" s="141" t="str">
        <f>IF('Design Fee'!AG63&gt;0,"✔","-")</f>
        <v>-</v>
      </c>
      <c r="S58" s="141" t="str">
        <f>IF('Design Fee'!AH63&gt;0,"✔","-")</f>
        <v>-</v>
      </c>
      <c r="T58" s="141" t="str">
        <f>IF('Design Fee'!AI63&gt;0,"✔","-")</f>
        <v>-</v>
      </c>
      <c r="U58" s="141" t="str">
        <f>IF('Design Fee'!AJ63&gt;0,"✔","-")</f>
        <v>-</v>
      </c>
      <c r="V58" s="141" t="str">
        <f>IF('Design Fee'!AK63&gt;0,"✔","-")</f>
        <v>-</v>
      </c>
      <c r="W58" s="589"/>
      <c r="X58" s="141" t="str">
        <f>IF('Design Fee'!BE63&gt;0,"✔","-")</f>
        <v>-</v>
      </c>
      <c r="Y58" s="590"/>
      <c r="Z58" s="141" t="str">
        <f>IF('Design Fee'!BJ63&gt;0,"✔","-")</f>
        <v>-</v>
      </c>
      <c r="AA58" s="141" t="str">
        <f>IF('Design Fee'!BK63&gt;0,"✔","-")</f>
        <v>-</v>
      </c>
      <c r="AB58" s="141" t="str">
        <f>IF('Design Fee'!BL63&gt;0,"✔","-")</f>
        <v>-</v>
      </c>
      <c r="AC58" s="141" t="str">
        <f>IF('Design Fee'!BM63&gt;0,"✔","-")</f>
        <v>-</v>
      </c>
      <c r="AD58" s="141" t="str">
        <f>IF('Design Fee'!BN63&gt;0,"✔","-")</f>
        <v>-</v>
      </c>
      <c r="AE58" s="141" t="str">
        <f>IF('Design Fee'!BP63&gt;0,"✔","-")</f>
        <v>-</v>
      </c>
      <c r="AF58" s="141" t="str">
        <f>IF('Design Fee'!BQ63&gt;0,"✔","-")</f>
        <v>-</v>
      </c>
      <c r="AG58" s="141" t="str">
        <f>IF('Design Fee'!BR63&gt;0,"✔","-")</f>
        <v>-</v>
      </c>
      <c r="AH58" s="141" t="str">
        <f>IF('Design Fee'!BS63&gt;0,"✔","-")</f>
        <v>-</v>
      </c>
      <c r="AI58" s="141" t="str">
        <f>IF('Design Fee'!BT63&gt;0,"✔","-")</f>
        <v>-</v>
      </c>
      <c r="AJ58" s="590"/>
      <c r="AK58" s="141" t="str">
        <f>IF('Design Fee'!CN63&gt;0,"✔","-")</f>
        <v>-</v>
      </c>
      <c r="AL58" s="590"/>
      <c r="AM58" s="141" t="str">
        <f>IF('Design Fee'!CS63&gt;0,"✔","-")</f>
        <v>-</v>
      </c>
      <c r="AN58" s="141" t="str">
        <f>IF('Design Fee'!CT63&gt;0,"✔","-")</f>
        <v>-</v>
      </c>
      <c r="AO58" s="141" t="str">
        <f>IF('Design Fee'!CU63&gt;0,"✔","-")</f>
        <v>-</v>
      </c>
      <c r="AP58" s="141" t="str">
        <f>IF('Design Fee'!CV63&gt;0,"✔","-")</f>
        <v>-</v>
      </c>
      <c r="AQ58" s="141" t="str">
        <f>IF('Design Fee'!CW63&gt;0,"✔","-")</f>
        <v>-</v>
      </c>
      <c r="AR58" s="141" t="str">
        <f>IF('Design Fee'!CY63&gt;0,"✔","-")</f>
        <v>-</v>
      </c>
      <c r="AS58" s="141" t="str">
        <f>IF('Design Fee'!CZ63&gt;0,"✔","-")</f>
        <v>-</v>
      </c>
      <c r="AT58" s="141" t="str">
        <f>IF('Design Fee'!DA63&gt;0,"✔","-")</f>
        <v>-</v>
      </c>
      <c r="AU58" s="141" t="str">
        <f>IF('Design Fee'!DB63&gt;0,"✔","-")</f>
        <v>-</v>
      </c>
      <c r="AV58" s="141" t="str">
        <f>IF('Design Fee'!DC63&gt;0,"✔","-")</f>
        <v>-</v>
      </c>
      <c r="AW58" s="589"/>
      <c r="AX58" s="141" t="str">
        <f>IF('Design Fee'!DX63&gt;0,"✔","-")</f>
        <v>-</v>
      </c>
      <c r="AY58" s="590"/>
      <c r="AZ58" s="141" t="str">
        <f>IF('Design Fee'!EC63&gt;0,"✔","-")</f>
        <v>-</v>
      </c>
      <c r="BA58" s="141" t="str">
        <f>IF('Design Fee'!ED63&gt;0,"✔","-")</f>
        <v>-</v>
      </c>
      <c r="BB58" s="141" t="str">
        <f>IF('Design Fee'!EE63&gt;0,"✔","-")</f>
        <v>-</v>
      </c>
      <c r="BC58" s="141" t="str">
        <f>IF('Design Fee'!EF63&gt;0,"✔","-")</f>
        <v>-</v>
      </c>
      <c r="BD58" s="141" t="str">
        <f>IF('Design Fee'!EG63&gt;0,"✔","-")</f>
        <v>-</v>
      </c>
      <c r="BE58" s="141" t="str">
        <f>IF('Design Fee'!EI63&gt;0,"✔","-")</f>
        <v>-</v>
      </c>
      <c r="BF58" s="141" t="str">
        <f>IF('Design Fee'!EJ63&gt;0,"✔","-")</f>
        <v>-</v>
      </c>
      <c r="BG58" s="141" t="str">
        <f>IF('Design Fee'!EK63&gt;0,"✔","-")</f>
        <v>-</v>
      </c>
      <c r="BH58" s="141" t="str">
        <f>IF('Design Fee'!EL63&gt;0,"✔","-")</f>
        <v>-</v>
      </c>
      <c r="BI58" s="141" t="str">
        <f>IF('Design Fee'!EM63&gt;0,"✔","-")</f>
        <v>-</v>
      </c>
      <c r="BJ58" s="86"/>
    </row>
    <row r="59" spans="2:62" ht="11.85" customHeight="1" outlineLevel="2">
      <c r="B59" s="86"/>
      <c r="C59" s="140" t="s">
        <v>64</v>
      </c>
      <c r="D59" s="76" t="s">
        <v>65</v>
      </c>
      <c r="F59" s="585">
        <f>COUNTIF('Design Fee'!V64,"&gt;0")+COUNTIF('Design Fee'!BE64,"&gt;0")+COUNTIF('Design Fee'!CN64,"&gt;0")+COUNTIF('Design Fee'!DZ64,"&gt;0")</f>
        <v>3</v>
      </c>
      <c r="G59" s="585">
        <f>COUNTIF('Design Fee'!Y64,"&gt;0")+COUNTIF('Design Fee'!BH64,"&gt;0")+COUNTIF('Design Fee'!CQ64,"&gt;0")+COUNTIF('Design Fee'!EA64,"&gt;0")</f>
        <v>0</v>
      </c>
      <c r="H59" s="585">
        <f>COUNTIF('Design Fee'!Z64,"&gt;0")+COUNTIF('Design Fee'!BI64,"&gt;0")+COUNTIF('Design Fee'!CR64,"&gt;0")+COUNTIF('Design Fee'!EB64,"&gt;0")</f>
        <v>0</v>
      </c>
      <c r="I59" s="586">
        <f t="shared" si="13"/>
        <v>3</v>
      </c>
      <c r="J59" s="587"/>
      <c r="K59" s="141" t="str">
        <f>IF('Design Fee'!V64&gt;0,"✔","-")</f>
        <v>✔</v>
      </c>
      <c r="L59" s="588"/>
      <c r="M59" s="141" t="str">
        <f>IF('Design Fee'!AA64&gt;0,"✔","-")</f>
        <v>✔</v>
      </c>
      <c r="N59" s="141" t="str">
        <f>IF('Design Fee'!AB64&gt;0,"✔","-")</f>
        <v>✔</v>
      </c>
      <c r="O59" s="141" t="str">
        <f>IF('Design Fee'!AC64&gt;0,"✔","-")</f>
        <v>-</v>
      </c>
      <c r="P59" s="141" t="str">
        <f>IF('Design Fee'!AD64&gt;0,"✔","-")</f>
        <v>-</v>
      </c>
      <c r="Q59" s="141" t="str">
        <f>IF('Design Fee'!AE64&gt;0,"✔","-")</f>
        <v>-</v>
      </c>
      <c r="R59" s="141" t="str">
        <f>IF('Design Fee'!AG64&gt;0,"✔","-")</f>
        <v>-</v>
      </c>
      <c r="S59" s="141" t="str">
        <f>IF('Design Fee'!AH64&gt;0,"✔","-")</f>
        <v>-</v>
      </c>
      <c r="T59" s="141" t="str">
        <f>IF('Design Fee'!AI64&gt;0,"✔","-")</f>
        <v>-</v>
      </c>
      <c r="U59" s="141" t="str">
        <f>IF('Design Fee'!AJ64&gt;0,"✔","-")</f>
        <v>-</v>
      </c>
      <c r="V59" s="141" t="str">
        <f>IF('Design Fee'!AK64&gt;0,"✔","-")</f>
        <v>-</v>
      </c>
      <c r="W59" s="589"/>
      <c r="X59" s="141" t="str">
        <f>IF('Design Fee'!BE64&gt;0,"✔","-")</f>
        <v>✔</v>
      </c>
      <c r="Y59" s="590"/>
      <c r="Z59" s="141" t="str">
        <f>IF('Design Fee'!BJ64&gt;0,"✔","-")</f>
        <v>✔</v>
      </c>
      <c r="AA59" s="141" t="str">
        <f>IF('Design Fee'!BK64&gt;0,"✔","-")</f>
        <v>✔</v>
      </c>
      <c r="AB59" s="141" t="str">
        <f>IF('Design Fee'!BL64&gt;0,"✔","-")</f>
        <v>-</v>
      </c>
      <c r="AC59" s="141" t="str">
        <f>IF('Design Fee'!BM64&gt;0,"✔","-")</f>
        <v>-</v>
      </c>
      <c r="AD59" s="141" t="str">
        <f>IF('Design Fee'!BN64&gt;0,"✔","-")</f>
        <v>-</v>
      </c>
      <c r="AE59" s="141" t="str">
        <f>IF('Design Fee'!BP64&gt;0,"✔","-")</f>
        <v>-</v>
      </c>
      <c r="AF59" s="141" t="str">
        <f>IF('Design Fee'!BQ64&gt;0,"✔","-")</f>
        <v>-</v>
      </c>
      <c r="AG59" s="141" t="str">
        <f>IF('Design Fee'!BR64&gt;0,"✔","-")</f>
        <v>-</v>
      </c>
      <c r="AH59" s="141" t="str">
        <f>IF('Design Fee'!BS64&gt;0,"✔","-")</f>
        <v>-</v>
      </c>
      <c r="AI59" s="141" t="str">
        <f>IF('Design Fee'!BT64&gt;0,"✔","-")</f>
        <v>-</v>
      </c>
      <c r="AJ59" s="590"/>
      <c r="AK59" s="141" t="str">
        <f>IF('Design Fee'!CN64&gt;0,"✔","-")</f>
        <v>✔</v>
      </c>
      <c r="AL59" s="590"/>
      <c r="AM59" s="141" t="str">
        <f>IF('Design Fee'!CS64&gt;0,"✔","-")</f>
        <v>✔</v>
      </c>
      <c r="AN59" s="141" t="str">
        <f>IF('Design Fee'!CT64&gt;0,"✔","-")</f>
        <v>-</v>
      </c>
      <c r="AO59" s="141" t="str">
        <f>IF('Design Fee'!CU64&gt;0,"✔","-")</f>
        <v>✔</v>
      </c>
      <c r="AP59" s="141" t="str">
        <f>IF('Design Fee'!CV64&gt;0,"✔","-")</f>
        <v>-</v>
      </c>
      <c r="AQ59" s="141" t="str">
        <f>IF('Design Fee'!CW64&gt;0,"✔","-")</f>
        <v>-</v>
      </c>
      <c r="AR59" s="141" t="str">
        <f>IF('Design Fee'!CY64&gt;0,"✔","-")</f>
        <v>-</v>
      </c>
      <c r="AS59" s="141" t="str">
        <f>IF('Design Fee'!CZ64&gt;0,"✔","-")</f>
        <v>-</v>
      </c>
      <c r="AT59" s="141" t="str">
        <f>IF('Design Fee'!DA64&gt;0,"✔","-")</f>
        <v>-</v>
      </c>
      <c r="AU59" s="141" t="str">
        <f>IF('Design Fee'!DB64&gt;0,"✔","-")</f>
        <v>-</v>
      </c>
      <c r="AV59" s="141" t="str">
        <f>IF('Design Fee'!DC64&gt;0,"✔","-")</f>
        <v>-</v>
      </c>
      <c r="AW59" s="589"/>
      <c r="AX59" s="141" t="str">
        <f>IF('Design Fee'!DX64&gt;0,"✔","-")</f>
        <v>-</v>
      </c>
      <c r="AY59" s="590"/>
      <c r="AZ59" s="141" t="str">
        <f>IF('Design Fee'!EC64&gt;0,"✔","-")</f>
        <v>-</v>
      </c>
      <c r="BA59" s="141" t="str">
        <f>IF('Design Fee'!ED64&gt;0,"✔","-")</f>
        <v>-</v>
      </c>
      <c r="BB59" s="141" t="str">
        <f>IF('Design Fee'!EE64&gt;0,"✔","-")</f>
        <v>-</v>
      </c>
      <c r="BC59" s="141" t="str">
        <f>IF('Design Fee'!EF64&gt;0,"✔","-")</f>
        <v>-</v>
      </c>
      <c r="BD59" s="141" t="str">
        <f>IF('Design Fee'!EG64&gt;0,"✔","-")</f>
        <v>-</v>
      </c>
      <c r="BE59" s="141" t="str">
        <f>IF('Design Fee'!EI64&gt;0,"✔","-")</f>
        <v>-</v>
      </c>
      <c r="BF59" s="141" t="str">
        <f>IF('Design Fee'!EJ64&gt;0,"✔","-")</f>
        <v>-</v>
      </c>
      <c r="BG59" s="141" t="str">
        <f>IF('Design Fee'!EK64&gt;0,"✔","-")</f>
        <v>-</v>
      </c>
      <c r="BH59" s="141" t="str">
        <f>IF('Design Fee'!EL64&gt;0,"✔","-")</f>
        <v>-</v>
      </c>
      <c r="BI59" s="141" t="str">
        <f>IF('Design Fee'!EM64&gt;0,"✔","-")</f>
        <v>-</v>
      </c>
      <c r="BJ59" s="86"/>
    </row>
    <row r="60" spans="2:62" ht="11.85" customHeight="1" outlineLevel="2">
      <c r="B60" s="86"/>
      <c r="C60" s="140" t="s">
        <v>66</v>
      </c>
      <c r="D60" s="76" t="s">
        <v>67</v>
      </c>
      <c r="F60" s="585">
        <f>COUNTIF('Design Fee'!V65,"&gt;0")+COUNTIF('Design Fee'!BE65,"&gt;0")+COUNTIF('Design Fee'!CN65,"&gt;0")+COUNTIF('Design Fee'!DZ65,"&gt;0")</f>
        <v>3</v>
      </c>
      <c r="G60" s="585">
        <f>COUNTIF('Design Fee'!Y65,"&gt;0")+COUNTIF('Design Fee'!BH65,"&gt;0")+COUNTIF('Design Fee'!CQ65,"&gt;0")+COUNTIF('Design Fee'!EA65,"&gt;0")</f>
        <v>0</v>
      </c>
      <c r="H60" s="585">
        <f>COUNTIF('Design Fee'!Z65,"&gt;0")+COUNTIF('Design Fee'!BI65,"&gt;0")+COUNTIF('Design Fee'!CR65,"&gt;0")+COUNTIF('Design Fee'!EB65,"&gt;0")</f>
        <v>0</v>
      </c>
      <c r="I60" s="586">
        <f t="shared" si="13"/>
        <v>3</v>
      </c>
      <c r="J60" s="587"/>
      <c r="K60" s="141" t="str">
        <f>IF('Design Fee'!V65&gt;0,"✔","-")</f>
        <v>✔</v>
      </c>
      <c r="L60" s="588"/>
      <c r="M60" s="141" t="str">
        <f>IF('Design Fee'!AA65&gt;0,"✔","-")</f>
        <v>✔</v>
      </c>
      <c r="N60" s="141" t="str">
        <f>IF('Design Fee'!AB65&gt;0,"✔","-")</f>
        <v>✔</v>
      </c>
      <c r="O60" s="141" t="str">
        <f>IF('Design Fee'!AC65&gt;0,"✔","-")</f>
        <v>-</v>
      </c>
      <c r="P60" s="141" t="str">
        <f>IF('Design Fee'!AD65&gt;0,"✔","-")</f>
        <v>-</v>
      </c>
      <c r="Q60" s="141" t="str">
        <f>IF('Design Fee'!AE65&gt;0,"✔","-")</f>
        <v>-</v>
      </c>
      <c r="R60" s="141" t="str">
        <f>IF('Design Fee'!AG65&gt;0,"✔","-")</f>
        <v>-</v>
      </c>
      <c r="S60" s="141" t="str">
        <f>IF('Design Fee'!AH65&gt;0,"✔","-")</f>
        <v>-</v>
      </c>
      <c r="T60" s="141" t="str">
        <f>IF('Design Fee'!AI65&gt;0,"✔","-")</f>
        <v>-</v>
      </c>
      <c r="U60" s="141" t="str">
        <f>IF('Design Fee'!AJ65&gt;0,"✔","-")</f>
        <v>-</v>
      </c>
      <c r="V60" s="141" t="str">
        <f>IF('Design Fee'!AK65&gt;0,"✔","-")</f>
        <v>-</v>
      </c>
      <c r="W60" s="589"/>
      <c r="X60" s="141" t="str">
        <f>IF('Design Fee'!BE65&gt;0,"✔","-")</f>
        <v>✔</v>
      </c>
      <c r="Y60" s="590"/>
      <c r="Z60" s="141" t="str">
        <f>IF('Design Fee'!BJ65&gt;0,"✔","-")</f>
        <v>✔</v>
      </c>
      <c r="AA60" s="141" t="str">
        <f>IF('Design Fee'!BK65&gt;0,"✔","-")</f>
        <v>✔</v>
      </c>
      <c r="AB60" s="141" t="str">
        <f>IF('Design Fee'!BL65&gt;0,"✔","-")</f>
        <v>-</v>
      </c>
      <c r="AC60" s="141" t="str">
        <f>IF('Design Fee'!BM65&gt;0,"✔","-")</f>
        <v>-</v>
      </c>
      <c r="AD60" s="141" t="str">
        <f>IF('Design Fee'!BN65&gt;0,"✔","-")</f>
        <v>-</v>
      </c>
      <c r="AE60" s="141" t="str">
        <f>IF('Design Fee'!BP65&gt;0,"✔","-")</f>
        <v>-</v>
      </c>
      <c r="AF60" s="141" t="str">
        <f>IF('Design Fee'!BQ65&gt;0,"✔","-")</f>
        <v>-</v>
      </c>
      <c r="AG60" s="141" t="str">
        <f>IF('Design Fee'!BR65&gt;0,"✔","-")</f>
        <v>-</v>
      </c>
      <c r="AH60" s="141" t="str">
        <f>IF('Design Fee'!BS65&gt;0,"✔","-")</f>
        <v>-</v>
      </c>
      <c r="AI60" s="141" t="str">
        <f>IF('Design Fee'!BT65&gt;0,"✔","-")</f>
        <v>-</v>
      </c>
      <c r="AJ60" s="590"/>
      <c r="AK60" s="141" t="str">
        <f>IF('Design Fee'!CN65&gt;0,"✔","-")</f>
        <v>✔</v>
      </c>
      <c r="AL60" s="590"/>
      <c r="AM60" s="141" t="str">
        <f>IF('Design Fee'!CS65&gt;0,"✔","-")</f>
        <v>✔</v>
      </c>
      <c r="AN60" s="141" t="str">
        <f>IF('Design Fee'!CT65&gt;0,"✔","-")</f>
        <v>-</v>
      </c>
      <c r="AO60" s="141" t="str">
        <f>IF('Design Fee'!CU65&gt;0,"✔","-")</f>
        <v>✔</v>
      </c>
      <c r="AP60" s="141" t="str">
        <f>IF('Design Fee'!CV65&gt;0,"✔","-")</f>
        <v>-</v>
      </c>
      <c r="AQ60" s="141" t="str">
        <f>IF('Design Fee'!CW65&gt;0,"✔","-")</f>
        <v>-</v>
      </c>
      <c r="AR60" s="141" t="str">
        <f>IF('Design Fee'!CY65&gt;0,"✔","-")</f>
        <v>-</v>
      </c>
      <c r="AS60" s="141" t="str">
        <f>IF('Design Fee'!CZ65&gt;0,"✔","-")</f>
        <v>-</v>
      </c>
      <c r="AT60" s="141" t="str">
        <f>IF('Design Fee'!DA65&gt;0,"✔","-")</f>
        <v>-</v>
      </c>
      <c r="AU60" s="141" t="str">
        <f>IF('Design Fee'!DB65&gt;0,"✔","-")</f>
        <v>-</v>
      </c>
      <c r="AV60" s="141" t="str">
        <f>IF('Design Fee'!DC65&gt;0,"✔","-")</f>
        <v>-</v>
      </c>
      <c r="AW60" s="589"/>
      <c r="AX60" s="141" t="str">
        <f>IF('Design Fee'!DX65&gt;0,"✔","-")</f>
        <v>-</v>
      </c>
      <c r="AY60" s="590"/>
      <c r="AZ60" s="141" t="str">
        <f>IF('Design Fee'!EC65&gt;0,"✔","-")</f>
        <v>-</v>
      </c>
      <c r="BA60" s="141" t="str">
        <f>IF('Design Fee'!ED65&gt;0,"✔","-")</f>
        <v>-</v>
      </c>
      <c r="BB60" s="141" t="str">
        <f>IF('Design Fee'!EE65&gt;0,"✔","-")</f>
        <v>-</v>
      </c>
      <c r="BC60" s="141" t="str">
        <f>IF('Design Fee'!EF65&gt;0,"✔","-")</f>
        <v>-</v>
      </c>
      <c r="BD60" s="141" t="str">
        <f>IF('Design Fee'!EG65&gt;0,"✔","-")</f>
        <v>-</v>
      </c>
      <c r="BE60" s="141" t="str">
        <f>IF('Design Fee'!EI65&gt;0,"✔","-")</f>
        <v>-</v>
      </c>
      <c r="BF60" s="141" t="str">
        <f>IF('Design Fee'!EJ65&gt;0,"✔","-")</f>
        <v>-</v>
      </c>
      <c r="BG60" s="141" t="str">
        <f>IF('Design Fee'!EK65&gt;0,"✔","-")</f>
        <v>-</v>
      </c>
      <c r="BH60" s="141" t="str">
        <f>IF('Design Fee'!EL65&gt;0,"✔","-")</f>
        <v>-</v>
      </c>
      <c r="BI60" s="141" t="str">
        <f>IF('Design Fee'!EM65&gt;0,"✔","-")</f>
        <v>-</v>
      </c>
      <c r="BJ60" s="86"/>
    </row>
    <row r="61" spans="2:62" ht="11.85" customHeight="1" outlineLevel="2">
      <c r="B61" s="86"/>
      <c r="C61" s="140" t="s">
        <v>68</v>
      </c>
      <c r="D61" s="76" t="s">
        <v>69</v>
      </c>
      <c r="F61" s="585">
        <f>COUNTIF('Design Fee'!V66,"&gt;0")+COUNTIF('Design Fee'!BE66,"&gt;0")+COUNTIF('Design Fee'!CN66,"&gt;0")+COUNTIF('Design Fee'!DZ66,"&gt;0")</f>
        <v>1</v>
      </c>
      <c r="G61" s="585">
        <f>COUNTIF('Design Fee'!Y66,"&gt;0")+COUNTIF('Design Fee'!BH66,"&gt;0")+COUNTIF('Design Fee'!CQ66,"&gt;0")+COUNTIF('Design Fee'!EA66,"&gt;0")</f>
        <v>0</v>
      </c>
      <c r="H61" s="585">
        <f>COUNTIF('Design Fee'!Z66,"&gt;0")+COUNTIF('Design Fee'!BI66,"&gt;0")+COUNTIF('Design Fee'!CR66,"&gt;0")+COUNTIF('Design Fee'!EB66,"&gt;0")</f>
        <v>0</v>
      </c>
      <c r="I61" s="586">
        <f t="shared" si="13"/>
        <v>1</v>
      </c>
      <c r="J61" s="587"/>
      <c r="K61" s="141" t="str">
        <f>IF('Design Fee'!V66&gt;0,"✔","-")</f>
        <v>✔</v>
      </c>
      <c r="L61" s="588"/>
      <c r="M61" s="141" t="str">
        <f>IF('Design Fee'!AA66&gt;0,"✔","-")</f>
        <v>✔</v>
      </c>
      <c r="N61" s="141" t="str">
        <f>IF('Design Fee'!AB66&gt;0,"✔","-")</f>
        <v>✔</v>
      </c>
      <c r="O61" s="141" t="str">
        <f>IF('Design Fee'!AC66&gt;0,"✔","-")</f>
        <v>-</v>
      </c>
      <c r="P61" s="141" t="str">
        <f>IF('Design Fee'!AD66&gt;0,"✔","-")</f>
        <v>-</v>
      </c>
      <c r="Q61" s="141" t="str">
        <f>IF('Design Fee'!AE66&gt;0,"✔","-")</f>
        <v>-</v>
      </c>
      <c r="R61" s="141" t="str">
        <f>IF('Design Fee'!AG66&gt;0,"✔","-")</f>
        <v>-</v>
      </c>
      <c r="S61" s="141" t="str">
        <f>IF('Design Fee'!AH66&gt;0,"✔","-")</f>
        <v>-</v>
      </c>
      <c r="T61" s="141" t="str">
        <f>IF('Design Fee'!AI66&gt;0,"✔","-")</f>
        <v>-</v>
      </c>
      <c r="U61" s="141" t="str">
        <f>IF('Design Fee'!AJ66&gt;0,"✔","-")</f>
        <v>-</v>
      </c>
      <c r="V61" s="141" t="str">
        <f>IF('Design Fee'!AK66&gt;0,"✔","-")</f>
        <v>-</v>
      </c>
      <c r="W61" s="589"/>
      <c r="X61" s="141" t="str">
        <f>IF('Design Fee'!BE66&gt;0,"✔","-")</f>
        <v>-</v>
      </c>
      <c r="Y61" s="590"/>
      <c r="Z61" s="141" t="str">
        <f>IF('Design Fee'!BJ66&gt;0,"✔","-")</f>
        <v>-</v>
      </c>
      <c r="AA61" s="141" t="str">
        <f>IF('Design Fee'!BK66&gt;0,"✔","-")</f>
        <v>-</v>
      </c>
      <c r="AB61" s="141" t="str">
        <f>IF('Design Fee'!BL66&gt;0,"✔","-")</f>
        <v>-</v>
      </c>
      <c r="AC61" s="141" t="str">
        <f>IF('Design Fee'!BM66&gt;0,"✔","-")</f>
        <v>-</v>
      </c>
      <c r="AD61" s="141" t="str">
        <f>IF('Design Fee'!BN66&gt;0,"✔","-")</f>
        <v>-</v>
      </c>
      <c r="AE61" s="141" t="str">
        <f>IF('Design Fee'!BP66&gt;0,"✔","-")</f>
        <v>-</v>
      </c>
      <c r="AF61" s="141" t="str">
        <f>IF('Design Fee'!BQ66&gt;0,"✔","-")</f>
        <v>-</v>
      </c>
      <c r="AG61" s="141" t="str">
        <f>IF('Design Fee'!BR66&gt;0,"✔","-")</f>
        <v>-</v>
      </c>
      <c r="AH61" s="141" t="str">
        <f>IF('Design Fee'!BS66&gt;0,"✔","-")</f>
        <v>-</v>
      </c>
      <c r="AI61" s="141" t="str">
        <f>IF('Design Fee'!BT66&gt;0,"✔","-")</f>
        <v>-</v>
      </c>
      <c r="AJ61" s="590"/>
      <c r="AK61" s="141" t="str">
        <f>IF('Design Fee'!CN66&gt;0,"✔","-")</f>
        <v>-</v>
      </c>
      <c r="AL61" s="590"/>
      <c r="AM61" s="141" t="str">
        <f>IF('Design Fee'!CS66&gt;0,"✔","-")</f>
        <v>-</v>
      </c>
      <c r="AN61" s="141" t="str">
        <f>IF('Design Fee'!CT66&gt;0,"✔","-")</f>
        <v>-</v>
      </c>
      <c r="AO61" s="141" t="str">
        <f>IF('Design Fee'!CU66&gt;0,"✔","-")</f>
        <v>-</v>
      </c>
      <c r="AP61" s="141" t="str">
        <f>IF('Design Fee'!CV66&gt;0,"✔","-")</f>
        <v>-</v>
      </c>
      <c r="AQ61" s="141" t="str">
        <f>IF('Design Fee'!CW66&gt;0,"✔","-")</f>
        <v>-</v>
      </c>
      <c r="AR61" s="141" t="str">
        <f>IF('Design Fee'!CY66&gt;0,"✔","-")</f>
        <v>-</v>
      </c>
      <c r="AS61" s="141" t="str">
        <f>IF('Design Fee'!CZ66&gt;0,"✔","-")</f>
        <v>-</v>
      </c>
      <c r="AT61" s="141" t="str">
        <f>IF('Design Fee'!DA66&gt;0,"✔","-")</f>
        <v>-</v>
      </c>
      <c r="AU61" s="141" t="str">
        <f>IF('Design Fee'!DB66&gt;0,"✔","-")</f>
        <v>-</v>
      </c>
      <c r="AV61" s="141" t="str">
        <f>IF('Design Fee'!DC66&gt;0,"✔","-")</f>
        <v>-</v>
      </c>
      <c r="AW61" s="589"/>
      <c r="AX61" s="141" t="str">
        <f>IF('Design Fee'!DX66&gt;0,"✔","-")</f>
        <v>-</v>
      </c>
      <c r="AY61" s="590"/>
      <c r="AZ61" s="141" t="str">
        <f>IF('Design Fee'!EC66&gt;0,"✔","-")</f>
        <v>-</v>
      </c>
      <c r="BA61" s="141" t="str">
        <f>IF('Design Fee'!ED66&gt;0,"✔","-")</f>
        <v>-</v>
      </c>
      <c r="BB61" s="141" t="str">
        <f>IF('Design Fee'!EE66&gt;0,"✔","-")</f>
        <v>-</v>
      </c>
      <c r="BC61" s="141" t="str">
        <f>IF('Design Fee'!EF66&gt;0,"✔","-")</f>
        <v>-</v>
      </c>
      <c r="BD61" s="141" t="str">
        <f>IF('Design Fee'!EG66&gt;0,"✔","-")</f>
        <v>-</v>
      </c>
      <c r="BE61" s="141" t="str">
        <f>IF('Design Fee'!EI66&gt;0,"✔","-")</f>
        <v>-</v>
      </c>
      <c r="BF61" s="141" t="str">
        <f>IF('Design Fee'!EJ66&gt;0,"✔","-")</f>
        <v>-</v>
      </c>
      <c r="BG61" s="141" t="str">
        <f>IF('Design Fee'!EK66&gt;0,"✔","-")</f>
        <v>-</v>
      </c>
      <c r="BH61" s="141" t="str">
        <f>IF('Design Fee'!EL66&gt;0,"✔","-")</f>
        <v>-</v>
      </c>
      <c r="BI61" s="141" t="str">
        <f>IF('Design Fee'!EM66&gt;0,"✔","-")</f>
        <v>-</v>
      </c>
      <c r="BJ61" s="86"/>
    </row>
    <row r="62" spans="2:62" ht="3" customHeight="1" outlineLevel="1">
      <c r="B62" s="86"/>
      <c r="C62" s="144"/>
      <c r="F62" s="322"/>
      <c r="G62" s="322"/>
      <c r="H62" s="322"/>
      <c r="I62" s="451"/>
      <c r="J62" s="76"/>
      <c r="K62" s="129"/>
      <c r="L62" s="123"/>
      <c r="M62" s="145"/>
      <c r="N62" s="145"/>
      <c r="O62" s="145"/>
      <c r="P62" s="145"/>
      <c r="Q62" s="145"/>
      <c r="R62" s="111"/>
      <c r="S62" s="111"/>
      <c r="T62" s="111"/>
      <c r="U62" s="111"/>
      <c r="V62" s="111"/>
      <c r="W62" s="127"/>
      <c r="X62" s="129"/>
      <c r="Y62" s="128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28"/>
      <c r="AK62" s="129"/>
      <c r="AL62" s="128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27"/>
      <c r="AX62" s="129"/>
      <c r="AY62" s="128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86"/>
    </row>
    <row r="63" spans="2:62" ht="11.85" customHeight="1" outlineLevel="1">
      <c r="B63" s="86"/>
      <c r="C63" s="114" t="s">
        <v>70</v>
      </c>
      <c r="D63" s="115" t="s">
        <v>71</v>
      </c>
      <c r="E63" s="321"/>
      <c r="F63" s="440">
        <f>SUM(F64:F67)</f>
        <v>9</v>
      </c>
      <c r="G63" s="440">
        <f t="shared" ref="G63:I63" si="14">SUM(G64:G67)</f>
        <v>4</v>
      </c>
      <c r="H63" s="440">
        <f t="shared" ref="H63" si="15">SUM(H64:H67)</f>
        <v>3</v>
      </c>
      <c r="I63" s="454">
        <f t="shared" si="14"/>
        <v>5</v>
      </c>
      <c r="J63" s="115"/>
      <c r="K63" s="546">
        <f>COUNTIF(K64:K67,"✔")</f>
        <v>3</v>
      </c>
      <c r="L63" s="146"/>
      <c r="M63" s="441">
        <f>COUNTIF(M64:M67,"✔")</f>
        <v>3</v>
      </c>
      <c r="N63" s="441">
        <f t="shared" ref="N63:AJ63" si="16">COUNTIF(N64:N67,"✔")</f>
        <v>3</v>
      </c>
      <c r="O63" s="441">
        <f t="shared" si="16"/>
        <v>0</v>
      </c>
      <c r="P63" s="441">
        <f t="shared" si="16"/>
        <v>0</v>
      </c>
      <c r="Q63" s="441">
        <f t="shared" si="16"/>
        <v>0</v>
      </c>
      <c r="R63" s="441">
        <f t="shared" si="16"/>
        <v>0</v>
      </c>
      <c r="S63" s="441">
        <f t="shared" si="16"/>
        <v>0</v>
      </c>
      <c r="T63" s="441">
        <f t="shared" si="16"/>
        <v>0</v>
      </c>
      <c r="U63" s="441">
        <f t="shared" si="16"/>
        <v>0</v>
      </c>
      <c r="V63" s="441">
        <f t="shared" si="16"/>
        <v>0</v>
      </c>
      <c r="W63" s="441"/>
      <c r="X63" s="546">
        <f>COUNTIF(X64:X67,"✔")</f>
        <v>3</v>
      </c>
      <c r="Y63" s="441"/>
      <c r="Z63" s="441">
        <f t="shared" si="16"/>
        <v>2</v>
      </c>
      <c r="AA63" s="441">
        <f t="shared" si="16"/>
        <v>2</v>
      </c>
      <c r="AB63" s="441">
        <f t="shared" si="16"/>
        <v>0</v>
      </c>
      <c r="AC63" s="441">
        <f t="shared" si="16"/>
        <v>0</v>
      </c>
      <c r="AD63" s="441">
        <f t="shared" si="16"/>
        <v>0</v>
      </c>
      <c r="AE63" s="441">
        <f t="shared" si="16"/>
        <v>0</v>
      </c>
      <c r="AF63" s="441">
        <f t="shared" si="16"/>
        <v>0</v>
      </c>
      <c r="AG63" s="441">
        <f t="shared" si="16"/>
        <v>0</v>
      </c>
      <c r="AH63" s="441">
        <f t="shared" si="16"/>
        <v>0</v>
      </c>
      <c r="AI63" s="441">
        <f t="shared" si="16"/>
        <v>0</v>
      </c>
      <c r="AJ63" s="441">
        <f t="shared" si="16"/>
        <v>0</v>
      </c>
      <c r="AK63" s="546">
        <f>COUNTIF(AK64:AK67,"✔")</f>
        <v>3</v>
      </c>
      <c r="AL63" s="441">
        <f t="shared" ref="AL63:BI63" si="17">COUNTIF(AL64:AL67,"✔")</f>
        <v>0</v>
      </c>
      <c r="AM63" s="441">
        <f t="shared" si="17"/>
        <v>1</v>
      </c>
      <c r="AN63" s="441">
        <f t="shared" si="17"/>
        <v>1</v>
      </c>
      <c r="AO63" s="441">
        <f t="shared" si="17"/>
        <v>0</v>
      </c>
      <c r="AP63" s="441">
        <f t="shared" si="17"/>
        <v>0</v>
      </c>
      <c r="AQ63" s="441">
        <f t="shared" si="17"/>
        <v>0</v>
      </c>
      <c r="AR63" s="441">
        <f t="shared" si="17"/>
        <v>1</v>
      </c>
      <c r="AS63" s="441">
        <f t="shared" si="17"/>
        <v>1</v>
      </c>
      <c r="AT63" s="441">
        <f t="shared" si="17"/>
        <v>0</v>
      </c>
      <c r="AU63" s="441">
        <f t="shared" si="17"/>
        <v>0</v>
      </c>
      <c r="AV63" s="441">
        <f t="shared" si="17"/>
        <v>0</v>
      </c>
      <c r="AW63" s="441">
        <f t="shared" si="17"/>
        <v>0</v>
      </c>
      <c r="AX63" s="546">
        <f>COUNTIF(AX64:AX67,"✔")</f>
        <v>0</v>
      </c>
      <c r="AY63" s="441">
        <f t="shared" si="17"/>
        <v>0</v>
      </c>
      <c r="AZ63" s="441">
        <f t="shared" si="17"/>
        <v>0</v>
      </c>
      <c r="BA63" s="441">
        <f t="shared" si="17"/>
        <v>0</v>
      </c>
      <c r="BB63" s="441">
        <f t="shared" si="17"/>
        <v>0</v>
      </c>
      <c r="BC63" s="441">
        <f t="shared" si="17"/>
        <v>0</v>
      </c>
      <c r="BD63" s="441">
        <f t="shared" si="17"/>
        <v>0</v>
      </c>
      <c r="BE63" s="441">
        <f t="shared" si="17"/>
        <v>0</v>
      </c>
      <c r="BF63" s="441">
        <f t="shared" si="17"/>
        <v>0</v>
      </c>
      <c r="BG63" s="441">
        <f t="shared" si="17"/>
        <v>0</v>
      </c>
      <c r="BH63" s="441">
        <f t="shared" si="17"/>
        <v>0</v>
      </c>
      <c r="BI63" s="441">
        <f t="shared" si="17"/>
        <v>0</v>
      </c>
      <c r="BJ63" s="86"/>
    </row>
    <row r="64" spans="2:62" ht="11.85" customHeight="1" outlineLevel="2">
      <c r="B64" s="86"/>
      <c r="C64" s="140" t="s">
        <v>72</v>
      </c>
      <c r="D64" s="142" t="s">
        <v>73</v>
      </c>
      <c r="E64" s="142"/>
      <c r="F64" s="585">
        <f>COUNTIF('Design Fee'!V69,"&gt;0")+COUNTIF('Design Fee'!BE69,"&gt;0")+COUNTIF('Design Fee'!CN69,"&gt;0")+COUNTIF('Design Fee'!DZ69,"&gt;0")</f>
        <v>1</v>
      </c>
      <c r="G64" s="585">
        <f>COUNTIF('Design Fee'!Y69,"&gt;0")+COUNTIF('Design Fee'!BH69,"&gt;0")+COUNTIF('Design Fee'!CQ69,"&gt;0")+COUNTIF('Design Fee'!EA69,"&gt;0")</f>
        <v>1</v>
      </c>
      <c r="H64" s="585">
        <f>COUNTIF('Design Fee'!Z69,"&gt;0")+COUNTIF('Design Fee'!BI69,"&gt;0")+COUNTIF('Design Fee'!CR69,"&gt;0")+COUNTIF('Design Fee'!EB69,"&gt;0")</f>
        <v>1</v>
      </c>
      <c r="I64" s="586">
        <f t="shared" ref="I64:I67" si="18">F64-G64</f>
        <v>0</v>
      </c>
      <c r="J64" s="587"/>
      <c r="K64" s="141" t="str">
        <f>IF('Design Fee'!V69&gt;0,"✔","-")</f>
        <v>-</v>
      </c>
      <c r="L64" s="588"/>
      <c r="M64" s="141" t="str">
        <f>IF('Design Fee'!AA69&gt;0,"✔","-")</f>
        <v>-</v>
      </c>
      <c r="N64" s="141" t="str">
        <f>IF('Design Fee'!AB69&gt;0,"✔","-")</f>
        <v>-</v>
      </c>
      <c r="O64" s="141" t="str">
        <f>IF('Design Fee'!AC69&gt;0,"✔","-")</f>
        <v>-</v>
      </c>
      <c r="P64" s="141" t="str">
        <f>IF('Design Fee'!AD69&gt;0,"✔","-")</f>
        <v>-</v>
      </c>
      <c r="Q64" s="141" t="str">
        <f>IF('Design Fee'!AE69&gt;0,"✔","-")</f>
        <v>-</v>
      </c>
      <c r="R64" s="141" t="str">
        <f>IF('Design Fee'!AG69&gt;0,"✔","-")</f>
        <v>-</v>
      </c>
      <c r="S64" s="141" t="str">
        <f>IF('Design Fee'!AH69&gt;0,"✔","-")</f>
        <v>-</v>
      </c>
      <c r="T64" s="141" t="str">
        <f>IF('Design Fee'!AI69&gt;0,"✔","-")</f>
        <v>-</v>
      </c>
      <c r="U64" s="141" t="str">
        <f>IF('Design Fee'!AJ69&gt;0,"✔","-")</f>
        <v>-</v>
      </c>
      <c r="V64" s="141" t="str">
        <f>IF('Design Fee'!AK69&gt;0,"✔","-")</f>
        <v>-</v>
      </c>
      <c r="W64" s="589"/>
      <c r="X64" s="141" t="str">
        <f>IF('Design Fee'!BE69&gt;0,"✔","-")</f>
        <v>✔</v>
      </c>
      <c r="Y64" s="590"/>
      <c r="Z64" s="141" t="str">
        <f>IF('Design Fee'!BJ69&gt;0,"✔","-")</f>
        <v>-</v>
      </c>
      <c r="AA64" s="141" t="str">
        <f>IF('Design Fee'!BK69&gt;0,"✔","-")</f>
        <v>-</v>
      </c>
      <c r="AB64" s="141" t="str">
        <f>IF('Design Fee'!BL69&gt;0,"✔","-")</f>
        <v>-</v>
      </c>
      <c r="AC64" s="141" t="str">
        <f>IF('Design Fee'!BM69&gt;0,"✔","-")</f>
        <v>-</v>
      </c>
      <c r="AD64" s="141" t="str">
        <f>IF('Design Fee'!BN69&gt;0,"✔","-")</f>
        <v>-</v>
      </c>
      <c r="AE64" s="141" t="str">
        <f>IF('Design Fee'!BP69&gt;0,"✔","-")</f>
        <v>-</v>
      </c>
      <c r="AF64" s="141" t="str">
        <f>IF('Design Fee'!BQ69&gt;0,"✔","-")</f>
        <v>-</v>
      </c>
      <c r="AG64" s="141" t="str">
        <f>IF('Design Fee'!BR69&gt;0,"✔","-")</f>
        <v>-</v>
      </c>
      <c r="AH64" s="141" t="str">
        <f>IF('Design Fee'!BS69&gt;0,"✔","-")</f>
        <v>-</v>
      </c>
      <c r="AI64" s="141" t="str">
        <f>IF('Design Fee'!BT69&gt;0,"✔","-")</f>
        <v>-</v>
      </c>
      <c r="AJ64" s="590"/>
      <c r="AK64" s="141" t="str">
        <f>IF('Design Fee'!CN69&gt;0,"✔","-")</f>
        <v>-</v>
      </c>
      <c r="AL64" s="590"/>
      <c r="AM64" s="141" t="str">
        <f>IF('Design Fee'!CS69&gt;0,"✔","-")</f>
        <v>-</v>
      </c>
      <c r="AN64" s="141" t="str">
        <f>IF('Design Fee'!CT69&gt;0,"✔","-")</f>
        <v>-</v>
      </c>
      <c r="AO64" s="141" t="str">
        <f>IF('Design Fee'!CU69&gt;0,"✔","-")</f>
        <v>-</v>
      </c>
      <c r="AP64" s="141" t="str">
        <f>IF('Design Fee'!CV69&gt;0,"✔","-")</f>
        <v>-</v>
      </c>
      <c r="AQ64" s="141" t="str">
        <f>IF('Design Fee'!CW69&gt;0,"✔","-")</f>
        <v>-</v>
      </c>
      <c r="AR64" s="141" t="str">
        <f>IF('Design Fee'!CY69&gt;0,"✔","-")</f>
        <v>-</v>
      </c>
      <c r="AS64" s="141" t="str">
        <f>IF('Design Fee'!CZ69&gt;0,"✔","-")</f>
        <v>-</v>
      </c>
      <c r="AT64" s="141" t="str">
        <f>IF('Design Fee'!DA69&gt;0,"✔","-")</f>
        <v>-</v>
      </c>
      <c r="AU64" s="141" t="str">
        <f>IF('Design Fee'!DB69&gt;0,"✔","-")</f>
        <v>-</v>
      </c>
      <c r="AV64" s="141" t="str">
        <f>IF('Design Fee'!DC69&gt;0,"✔","-")</f>
        <v>-</v>
      </c>
      <c r="AW64" s="589"/>
      <c r="AX64" s="141" t="str">
        <f>IF('Design Fee'!DX69&gt;0,"✔","-")</f>
        <v>-</v>
      </c>
      <c r="AY64" s="590"/>
      <c r="AZ64" s="141" t="str">
        <f>IF('Design Fee'!EC69&gt;0,"✔","-")</f>
        <v>-</v>
      </c>
      <c r="BA64" s="141" t="str">
        <f>IF('Design Fee'!ED69&gt;0,"✔","-")</f>
        <v>-</v>
      </c>
      <c r="BB64" s="141" t="str">
        <f>IF('Design Fee'!EE69&gt;0,"✔","-")</f>
        <v>-</v>
      </c>
      <c r="BC64" s="141" t="str">
        <f>IF('Design Fee'!EF69&gt;0,"✔","-")</f>
        <v>-</v>
      </c>
      <c r="BD64" s="141" t="str">
        <f>IF('Design Fee'!EG69&gt;0,"✔","-")</f>
        <v>-</v>
      </c>
      <c r="BE64" s="141" t="str">
        <f>IF('Design Fee'!EI69&gt;0,"✔","-")</f>
        <v>-</v>
      </c>
      <c r="BF64" s="141" t="str">
        <f>IF('Design Fee'!EJ69&gt;0,"✔","-")</f>
        <v>-</v>
      </c>
      <c r="BG64" s="141" t="str">
        <f>IF('Design Fee'!EK69&gt;0,"✔","-")</f>
        <v>-</v>
      </c>
      <c r="BH64" s="141" t="str">
        <f>IF('Design Fee'!EL69&gt;0,"✔","-")</f>
        <v>-</v>
      </c>
      <c r="BI64" s="141" t="str">
        <f>IF('Design Fee'!EM69&gt;0,"✔","-")</f>
        <v>-</v>
      </c>
      <c r="BJ64" s="86"/>
    </row>
    <row r="65" spans="1:62" ht="11.85" customHeight="1" outlineLevel="2">
      <c r="B65" s="86"/>
      <c r="C65" s="140" t="s">
        <v>74</v>
      </c>
      <c r="D65" s="76" t="s">
        <v>75</v>
      </c>
      <c r="F65" s="585">
        <f>COUNTIF('Design Fee'!V70,"&gt;0")+COUNTIF('Design Fee'!BE70,"&gt;0")+COUNTIF('Design Fee'!CN70,"&gt;0")+COUNTIF('Design Fee'!DZ70,"&gt;0")</f>
        <v>3</v>
      </c>
      <c r="G65" s="585">
        <f>COUNTIF('Design Fee'!Y70,"&gt;0")+COUNTIF('Design Fee'!BH70,"&gt;0")+COUNTIF('Design Fee'!CQ70,"&gt;0")+COUNTIF('Design Fee'!EA70,"&gt;0")</f>
        <v>1</v>
      </c>
      <c r="H65" s="585">
        <f>COUNTIF('Design Fee'!Z70,"&gt;0")+COUNTIF('Design Fee'!BI70,"&gt;0")+COUNTIF('Design Fee'!CR70,"&gt;0")+COUNTIF('Design Fee'!EB70,"&gt;0")</f>
        <v>0</v>
      </c>
      <c r="I65" s="586">
        <f t="shared" si="18"/>
        <v>2</v>
      </c>
      <c r="J65" s="587"/>
      <c r="K65" s="141" t="str">
        <f>IF('Design Fee'!V70&gt;0,"✔","-")</f>
        <v>✔</v>
      </c>
      <c r="L65" s="588"/>
      <c r="M65" s="141" t="str">
        <f>IF('Design Fee'!AA70&gt;0,"✔","-")</f>
        <v>✔</v>
      </c>
      <c r="N65" s="141" t="str">
        <f>IF('Design Fee'!AB70&gt;0,"✔","-")</f>
        <v>✔</v>
      </c>
      <c r="O65" s="141" t="str">
        <f>IF('Design Fee'!AC70&gt;0,"✔","-")</f>
        <v>-</v>
      </c>
      <c r="P65" s="141" t="str">
        <f>IF('Design Fee'!AD70&gt;0,"✔","-")</f>
        <v>-</v>
      </c>
      <c r="Q65" s="141" t="str">
        <f>IF('Design Fee'!AE70&gt;0,"✔","-")</f>
        <v>-</v>
      </c>
      <c r="R65" s="141" t="str">
        <f>IF('Design Fee'!AG70&gt;0,"✔","-")</f>
        <v>-</v>
      </c>
      <c r="S65" s="141" t="str">
        <f>IF('Design Fee'!AH70&gt;0,"✔","-")</f>
        <v>-</v>
      </c>
      <c r="T65" s="141" t="str">
        <f>IF('Design Fee'!AI70&gt;0,"✔","-")</f>
        <v>-</v>
      </c>
      <c r="U65" s="141" t="str">
        <f>IF('Design Fee'!AJ70&gt;0,"✔","-")</f>
        <v>-</v>
      </c>
      <c r="V65" s="141" t="str">
        <f>IF('Design Fee'!AK70&gt;0,"✔","-")</f>
        <v>-</v>
      </c>
      <c r="W65" s="589"/>
      <c r="X65" s="141" t="str">
        <f>IF('Design Fee'!BE70&gt;0,"✔","-")</f>
        <v>✔</v>
      </c>
      <c r="Y65" s="590"/>
      <c r="Z65" s="141" t="str">
        <f>IF('Design Fee'!BJ70&gt;0,"✔","-")</f>
        <v>✔</v>
      </c>
      <c r="AA65" s="141" t="str">
        <f>IF('Design Fee'!BK70&gt;0,"✔","-")</f>
        <v>✔</v>
      </c>
      <c r="AB65" s="141" t="str">
        <f>IF('Design Fee'!BL70&gt;0,"✔","-")</f>
        <v>-</v>
      </c>
      <c r="AC65" s="141" t="str">
        <f>IF('Design Fee'!BM70&gt;0,"✔","-")</f>
        <v>-</v>
      </c>
      <c r="AD65" s="141" t="str">
        <f>IF('Design Fee'!BN70&gt;0,"✔","-")</f>
        <v>-</v>
      </c>
      <c r="AE65" s="141" t="str">
        <f>IF('Design Fee'!BP70&gt;0,"✔","-")</f>
        <v>-</v>
      </c>
      <c r="AF65" s="141" t="str">
        <f>IF('Design Fee'!BQ70&gt;0,"✔","-")</f>
        <v>-</v>
      </c>
      <c r="AG65" s="141" t="str">
        <f>IF('Design Fee'!BR70&gt;0,"✔","-")</f>
        <v>-</v>
      </c>
      <c r="AH65" s="141" t="str">
        <f>IF('Design Fee'!BS70&gt;0,"✔","-")</f>
        <v>-</v>
      </c>
      <c r="AI65" s="141" t="str">
        <f>IF('Design Fee'!BT70&gt;0,"✔","-")</f>
        <v>-</v>
      </c>
      <c r="AJ65" s="590"/>
      <c r="AK65" s="141" t="str">
        <f>IF('Design Fee'!CN70&gt;0,"✔","-")</f>
        <v>✔</v>
      </c>
      <c r="AL65" s="590"/>
      <c r="AM65" s="141" t="str">
        <f>IF('Design Fee'!CS70&gt;0,"✔","-")</f>
        <v>✔</v>
      </c>
      <c r="AN65" s="141" t="str">
        <f>IF('Design Fee'!CT70&gt;0,"✔","-")</f>
        <v>✔</v>
      </c>
      <c r="AO65" s="141" t="str">
        <f>IF('Design Fee'!CU70&gt;0,"✔","-")</f>
        <v>-</v>
      </c>
      <c r="AP65" s="141" t="str">
        <f>IF('Design Fee'!CV70&gt;0,"✔","-")</f>
        <v>-</v>
      </c>
      <c r="AQ65" s="141" t="str">
        <f>IF('Design Fee'!CW70&gt;0,"✔","-")</f>
        <v>-</v>
      </c>
      <c r="AR65" s="141" t="str">
        <f>IF('Design Fee'!CY70&gt;0,"✔","-")</f>
        <v>✔</v>
      </c>
      <c r="AS65" s="141" t="str">
        <f>IF('Design Fee'!CZ70&gt;0,"✔","-")</f>
        <v>✔</v>
      </c>
      <c r="AT65" s="141" t="str">
        <f>IF('Design Fee'!DA70&gt;0,"✔","-")</f>
        <v>-</v>
      </c>
      <c r="AU65" s="141" t="str">
        <f>IF('Design Fee'!DB70&gt;0,"✔","-")</f>
        <v>-</v>
      </c>
      <c r="AV65" s="141" t="str">
        <f>IF('Design Fee'!DC70&gt;0,"✔","-")</f>
        <v>-</v>
      </c>
      <c r="AW65" s="589"/>
      <c r="AX65" s="141" t="str">
        <f>IF('Design Fee'!DX70&gt;0,"✔","-")</f>
        <v>-</v>
      </c>
      <c r="AY65" s="590"/>
      <c r="AZ65" s="141" t="str">
        <f>IF('Design Fee'!EC70&gt;0,"✔","-")</f>
        <v>-</v>
      </c>
      <c r="BA65" s="141" t="str">
        <f>IF('Design Fee'!ED70&gt;0,"✔","-")</f>
        <v>-</v>
      </c>
      <c r="BB65" s="141" t="str">
        <f>IF('Design Fee'!EE70&gt;0,"✔","-")</f>
        <v>-</v>
      </c>
      <c r="BC65" s="141" t="str">
        <f>IF('Design Fee'!EF70&gt;0,"✔","-")</f>
        <v>-</v>
      </c>
      <c r="BD65" s="141" t="str">
        <f>IF('Design Fee'!EG70&gt;0,"✔","-")</f>
        <v>-</v>
      </c>
      <c r="BE65" s="141" t="str">
        <f>IF('Design Fee'!EI70&gt;0,"✔","-")</f>
        <v>-</v>
      </c>
      <c r="BF65" s="141" t="str">
        <f>IF('Design Fee'!EJ70&gt;0,"✔","-")</f>
        <v>-</v>
      </c>
      <c r="BG65" s="141" t="str">
        <f>IF('Design Fee'!EK70&gt;0,"✔","-")</f>
        <v>-</v>
      </c>
      <c r="BH65" s="141" t="str">
        <f>IF('Design Fee'!EL70&gt;0,"✔","-")</f>
        <v>-</v>
      </c>
      <c r="BI65" s="141" t="str">
        <f>IF('Design Fee'!EM70&gt;0,"✔","-")</f>
        <v>-</v>
      </c>
      <c r="BJ65" s="86"/>
    </row>
    <row r="66" spans="1:62" ht="11.85" customHeight="1" outlineLevel="2">
      <c r="B66" s="86"/>
      <c r="C66" s="140" t="s">
        <v>76</v>
      </c>
      <c r="D66" s="76" t="s">
        <v>77</v>
      </c>
      <c r="F66" s="585">
        <f>COUNTIF('Design Fee'!V72,"&gt;0")+COUNTIF('Design Fee'!BE72,"&gt;0")+COUNTIF('Design Fee'!CN72,"&gt;0")+COUNTIF('Design Fee'!DZ72,"&gt;0")</f>
        <v>3</v>
      </c>
      <c r="G66" s="585">
        <f>COUNTIF('Design Fee'!Y72,"&gt;0")+COUNTIF('Design Fee'!BH72,"&gt;0")+COUNTIF('Design Fee'!CQ72,"&gt;0")+COUNTIF('Design Fee'!EA72,"&gt;0")</f>
        <v>1</v>
      </c>
      <c r="H66" s="585">
        <f>COUNTIF('Design Fee'!Z72,"&gt;0")+COUNTIF('Design Fee'!BI72,"&gt;0")+COUNTIF('Design Fee'!CR72,"&gt;0")+COUNTIF('Design Fee'!EB72,"&gt;0")</f>
        <v>1</v>
      </c>
      <c r="I66" s="586">
        <f t="shared" si="18"/>
        <v>2</v>
      </c>
      <c r="J66" s="587"/>
      <c r="K66" s="141" t="str">
        <f>IF('Design Fee'!V72&gt;0,"✔","-")</f>
        <v>✔</v>
      </c>
      <c r="L66" s="588"/>
      <c r="M66" s="141" t="str">
        <f>IF('Design Fee'!AA72&gt;0,"✔","-")</f>
        <v>✔</v>
      </c>
      <c r="N66" s="141" t="str">
        <f>IF('Design Fee'!AB72&gt;0,"✔","-")</f>
        <v>✔</v>
      </c>
      <c r="O66" s="141" t="str">
        <f>IF('Design Fee'!AC72&gt;0,"✔","-")</f>
        <v>-</v>
      </c>
      <c r="P66" s="141" t="str">
        <f>IF('Design Fee'!AD72&gt;0,"✔","-")</f>
        <v>-</v>
      </c>
      <c r="Q66" s="141" t="str">
        <f>IF('Design Fee'!AE72&gt;0,"✔","-")</f>
        <v>-</v>
      </c>
      <c r="R66" s="141" t="str">
        <f>IF('Design Fee'!AG72&gt;0,"✔","-")</f>
        <v>-</v>
      </c>
      <c r="S66" s="141" t="str">
        <f>IF('Design Fee'!AH72&gt;0,"✔","-")</f>
        <v>-</v>
      </c>
      <c r="T66" s="141" t="str">
        <f>IF('Design Fee'!AI72&gt;0,"✔","-")</f>
        <v>-</v>
      </c>
      <c r="U66" s="141" t="str">
        <f>IF('Design Fee'!AJ72&gt;0,"✔","-")</f>
        <v>-</v>
      </c>
      <c r="V66" s="141" t="str">
        <f>IF('Design Fee'!AK72&gt;0,"✔","-")</f>
        <v>-</v>
      </c>
      <c r="W66" s="589"/>
      <c r="X66" s="141" t="str">
        <f>IF('Design Fee'!BE72&gt;0,"✔","-")</f>
        <v>✔</v>
      </c>
      <c r="Y66" s="590"/>
      <c r="Z66" s="141" t="str">
        <f>IF('Design Fee'!BJ72&gt;0,"✔","-")</f>
        <v>✔</v>
      </c>
      <c r="AA66" s="141" t="str">
        <f>IF('Design Fee'!BK72&gt;0,"✔","-")</f>
        <v>✔</v>
      </c>
      <c r="AB66" s="141" t="str">
        <f>IF('Design Fee'!BL72&gt;0,"✔","-")</f>
        <v>-</v>
      </c>
      <c r="AC66" s="141" t="str">
        <f>IF('Design Fee'!BM72&gt;0,"✔","-")</f>
        <v>-</v>
      </c>
      <c r="AD66" s="141" t="str">
        <f>IF('Design Fee'!BN72&gt;0,"✔","-")</f>
        <v>-</v>
      </c>
      <c r="AE66" s="141" t="str">
        <f>IF('Design Fee'!BP72&gt;0,"✔","-")</f>
        <v>-</v>
      </c>
      <c r="AF66" s="141" t="str">
        <f>IF('Design Fee'!BQ72&gt;0,"✔","-")</f>
        <v>-</v>
      </c>
      <c r="AG66" s="141" t="str">
        <f>IF('Design Fee'!BR72&gt;0,"✔","-")</f>
        <v>-</v>
      </c>
      <c r="AH66" s="141" t="str">
        <f>IF('Design Fee'!BS72&gt;0,"✔","-")</f>
        <v>-</v>
      </c>
      <c r="AI66" s="141" t="str">
        <f>IF('Design Fee'!BT72&gt;0,"✔","-")</f>
        <v>-</v>
      </c>
      <c r="AJ66" s="590"/>
      <c r="AK66" s="141" t="str">
        <f>IF('Design Fee'!CN72&gt;0,"✔","-")</f>
        <v>✔</v>
      </c>
      <c r="AL66" s="590"/>
      <c r="AM66" s="141" t="str">
        <f>IF('Design Fee'!CS72&gt;0,"✔","-")</f>
        <v>-</v>
      </c>
      <c r="AN66" s="141" t="str">
        <f>IF('Design Fee'!CT72&gt;0,"✔","-")</f>
        <v>-</v>
      </c>
      <c r="AO66" s="141" t="str">
        <f>IF('Design Fee'!CU72&gt;0,"✔","-")</f>
        <v>-</v>
      </c>
      <c r="AP66" s="141" t="str">
        <f>IF('Design Fee'!CV72&gt;0,"✔","-")</f>
        <v>-</v>
      </c>
      <c r="AQ66" s="141" t="str">
        <f>IF('Design Fee'!CW72&gt;0,"✔","-")</f>
        <v>-</v>
      </c>
      <c r="AR66" s="141" t="str">
        <f>IF('Design Fee'!CY72&gt;0,"✔","-")</f>
        <v>-</v>
      </c>
      <c r="AS66" s="141" t="str">
        <f>IF('Design Fee'!CZ72&gt;0,"✔","-")</f>
        <v>-</v>
      </c>
      <c r="AT66" s="141" t="str">
        <f>IF('Design Fee'!DA72&gt;0,"✔","-")</f>
        <v>-</v>
      </c>
      <c r="AU66" s="141" t="str">
        <f>IF('Design Fee'!DB72&gt;0,"✔","-")</f>
        <v>-</v>
      </c>
      <c r="AV66" s="141" t="str">
        <f>IF('Design Fee'!DC72&gt;0,"✔","-")</f>
        <v>-</v>
      </c>
      <c r="AW66" s="589"/>
      <c r="AX66" s="141" t="str">
        <f>IF('Design Fee'!DX72&gt;0,"✔","-")</f>
        <v>-</v>
      </c>
      <c r="AY66" s="590"/>
      <c r="AZ66" s="141" t="str">
        <f>IF('Design Fee'!EC72&gt;0,"✔","-")</f>
        <v>-</v>
      </c>
      <c r="BA66" s="141" t="str">
        <f>IF('Design Fee'!ED72&gt;0,"✔","-")</f>
        <v>-</v>
      </c>
      <c r="BB66" s="141" t="str">
        <f>IF('Design Fee'!EE72&gt;0,"✔","-")</f>
        <v>-</v>
      </c>
      <c r="BC66" s="141" t="str">
        <f>IF('Design Fee'!EF72&gt;0,"✔","-")</f>
        <v>-</v>
      </c>
      <c r="BD66" s="141" t="str">
        <f>IF('Design Fee'!EG72&gt;0,"✔","-")</f>
        <v>-</v>
      </c>
      <c r="BE66" s="141" t="str">
        <f>IF('Design Fee'!EI72&gt;0,"✔","-")</f>
        <v>-</v>
      </c>
      <c r="BF66" s="141" t="str">
        <f>IF('Design Fee'!EJ72&gt;0,"✔","-")</f>
        <v>-</v>
      </c>
      <c r="BG66" s="141" t="str">
        <f>IF('Design Fee'!EK72&gt;0,"✔","-")</f>
        <v>-</v>
      </c>
      <c r="BH66" s="141" t="str">
        <f>IF('Design Fee'!EL72&gt;0,"✔","-")</f>
        <v>-</v>
      </c>
      <c r="BI66" s="141" t="str">
        <f>IF('Design Fee'!EM72&gt;0,"✔","-")</f>
        <v>-</v>
      </c>
      <c r="BJ66" s="86"/>
    </row>
    <row r="67" spans="1:62" ht="11.85" customHeight="1" outlineLevel="2">
      <c r="B67" s="86"/>
      <c r="C67" s="140" t="s">
        <v>78</v>
      </c>
      <c r="D67" s="142" t="s">
        <v>79</v>
      </c>
      <c r="E67" s="142"/>
      <c r="F67" s="585">
        <f>COUNTIF('Design Fee'!V73,"&gt;0")+COUNTIF('Design Fee'!BE73,"&gt;0")+COUNTIF('Design Fee'!CN73,"&gt;0")+COUNTIF('Design Fee'!DZ73,"&gt;0")</f>
        <v>2</v>
      </c>
      <c r="G67" s="585">
        <f>COUNTIF('Design Fee'!Y73,"&gt;0")+COUNTIF('Design Fee'!BH73,"&gt;0")+COUNTIF('Design Fee'!CQ73,"&gt;0")+COUNTIF('Design Fee'!EA73,"&gt;0")</f>
        <v>1</v>
      </c>
      <c r="H67" s="585">
        <f>COUNTIF('Design Fee'!Z73,"&gt;0")+COUNTIF('Design Fee'!BI73,"&gt;0")+COUNTIF('Design Fee'!CR73,"&gt;0")+COUNTIF('Design Fee'!EB73,"&gt;0")</f>
        <v>1</v>
      </c>
      <c r="I67" s="586">
        <f t="shared" si="18"/>
        <v>1</v>
      </c>
      <c r="J67" s="587"/>
      <c r="K67" s="141" t="str">
        <f>IF('Design Fee'!V73&gt;0,"✔","-")</f>
        <v>✔</v>
      </c>
      <c r="L67" s="588"/>
      <c r="M67" s="141" t="str">
        <f>IF('Design Fee'!AA73&gt;0,"✔","-")</f>
        <v>✔</v>
      </c>
      <c r="N67" s="141" t="str">
        <f>IF('Design Fee'!AB73&gt;0,"✔","-")</f>
        <v>✔</v>
      </c>
      <c r="O67" s="141" t="str">
        <f>IF('Design Fee'!AC73&gt;0,"✔","-")</f>
        <v>-</v>
      </c>
      <c r="P67" s="141" t="str">
        <f>IF('Design Fee'!AD73&gt;0,"✔","-")</f>
        <v>-</v>
      </c>
      <c r="Q67" s="141" t="str">
        <f>IF('Design Fee'!AE73&gt;0,"✔","-")</f>
        <v>-</v>
      </c>
      <c r="R67" s="141" t="str">
        <f>IF('Design Fee'!AG73&gt;0,"✔","-")</f>
        <v>-</v>
      </c>
      <c r="S67" s="141" t="str">
        <f>IF('Design Fee'!AH73&gt;0,"✔","-")</f>
        <v>-</v>
      </c>
      <c r="T67" s="141" t="str">
        <f>IF('Design Fee'!AI73&gt;0,"✔","-")</f>
        <v>-</v>
      </c>
      <c r="U67" s="141" t="str">
        <f>IF('Design Fee'!AJ73&gt;0,"✔","-")</f>
        <v>-</v>
      </c>
      <c r="V67" s="141" t="str">
        <f>IF('Design Fee'!AK73&gt;0,"✔","-")</f>
        <v>-</v>
      </c>
      <c r="W67" s="589"/>
      <c r="X67" s="141" t="str">
        <f>IF('Design Fee'!BE73&gt;0,"✔","-")</f>
        <v>-</v>
      </c>
      <c r="Y67" s="590"/>
      <c r="Z67" s="141" t="str">
        <f>IF('Design Fee'!BJ73&gt;0,"✔","-")</f>
        <v>-</v>
      </c>
      <c r="AA67" s="141" t="str">
        <f>IF('Design Fee'!BK73&gt;0,"✔","-")</f>
        <v>-</v>
      </c>
      <c r="AB67" s="141" t="str">
        <f>IF('Design Fee'!BL73&gt;0,"✔","-")</f>
        <v>-</v>
      </c>
      <c r="AC67" s="141" t="str">
        <f>IF('Design Fee'!BM73&gt;0,"✔","-")</f>
        <v>-</v>
      </c>
      <c r="AD67" s="141" t="str">
        <f>IF('Design Fee'!BN73&gt;0,"✔","-")</f>
        <v>-</v>
      </c>
      <c r="AE67" s="141" t="str">
        <f>IF('Design Fee'!BP73&gt;0,"✔","-")</f>
        <v>-</v>
      </c>
      <c r="AF67" s="141" t="str">
        <f>IF('Design Fee'!BQ73&gt;0,"✔","-")</f>
        <v>-</v>
      </c>
      <c r="AG67" s="141" t="str">
        <f>IF('Design Fee'!BR73&gt;0,"✔","-")</f>
        <v>-</v>
      </c>
      <c r="AH67" s="141" t="str">
        <f>IF('Design Fee'!BS73&gt;0,"✔","-")</f>
        <v>-</v>
      </c>
      <c r="AI67" s="141" t="str">
        <f>IF('Design Fee'!BT73&gt;0,"✔","-")</f>
        <v>-</v>
      </c>
      <c r="AJ67" s="590"/>
      <c r="AK67" s="141" t="str">
        <f>IF('Design Fee'!CN73&gt;0,"✔","-")</f>
        <v>✔</v>
      </c>
      <c r="AL67" s="590"/>
      <c r="AM67" s="141" t="str">
        <f>IF('Design Fee'!CS73&gt;0,"✔","-")</f>
        <v>-</v>
      </c>
      <c r="AN67" s="141" t="str">
        <f>IF('Design Fee'!CT73&gt;0,"✔","-")</f>
        <v>-</v>
      </c>
      <c r="AO67" s="141" t="str">
        <f>IF('Design Fee'!CU73&gt;0,"✔","-")</f>
        <v>-</v>
      </c>
      <c r="AP67" s="141" t="str">
        <f>IF('Design Fee'!CV73&gt;0,"✔","-")</f>
        <v>-</v>
      </c>
      <c r="AQ67" s="141" t="str">
        <f>IF('Design Fee'!CW73&gt;0,"✔","-")</f>
        <v>-</v>
      </c>
      <c r="AR67" s="141" t="str">
        <f>IF('Design Fee'!CY73&gt;0,"✔","-")</f>
        <v>-</v>
      </c>
      <c r="AS67" s="141" t="str">
        <f>IF('Design Fee'!CZ73&gt;0,"✔","-")</f>
        <v>-</v>
      </c>
      <c r="AT67" s="141" t="str">
        <f>IF('Design Fee'!DA73&gt;0,"✔","-")</f>
        <v>-</v>
      </c>
      <c r="AU67" s="141" t="str">
        <f>IF('Design Fee'!DB73&gt;0,"✔","-")</f>
        <v>-</v>
      </c>
      <c r="AV67" s="141" t="str">
        <f>IF('Design Fee'!DC73&gt;0,"✔","-")</f>
        <v>-</v>
      </c>
      <c r="AW67" s="589"/>
      <c r="AX67" s="141" t="str">
        <f>IF('Design Fee'!DX73&gt;0,"✔","-")</f>
        <v>-</v>
      </c>
      <c r="AY67" s="590"/>
      <c r="AZ67" s="141" t="str">
        <f>IF('Design Fee'!EC73&gt;0,"✔","-")</f>
        <v>-</v>
      </c>
      <c r="BA67" s="141" t="str">
        <f>IF('Design Fee'!ED73&gt;0,"✔","-")</f>
        <v>-</v>
      </c>
      <c r="BB67" s="141" t="str">
        <f>IF('Design Fee'!EE73&gt;0,"✔","-")</f>
        <v>-</v>
      </c>
      <c r="BC67" s="141" t="str">
        <f>IF('Design Fee'!EF73&gt;0,"✔","-")</f>
        <v>-</v>
      </c>
      <c r="BD67" s="141" t="str">
        <f>IF('Design Fee'!EG73&gt;0,"✔","-")</f>
        <v>-</v>
      </c>
      <c r="BE67" s="141" t="str">
        <f>IF('Design Fee'!EI73&gt;0,"✔","-")</f>
        <v>-</v>
      </c>
      <c r="BF67" s="141" t="str">
        <f>IF('Design Fee'!EJ73&gt;0,"✔","-")</f>
        <v>-</v>
      </c>
      <c r="BG67" s="141" t="str">
        <f>IF('Design Fee'!EK73&gt;0,"✔","-")</f>
        <v>-</v>
      </c>
      <c r="BH67" s="141" t="str">
        <f>IF('Design Fee'!EL73&gt;0,"✔","-")</f>
        <v>-</v>
      </c>
      <c r="BI67" s="141" t="str">
        <f>IF('Design Fee'!EM73&gt;0,"✔","-")</f>
        <v>-</v>
      </c>
      <c r="BJ67" s="86"/>
    </row>
    <row r="68" spans="1:62" ht="3" customHeight="1" outlineLevel="1">
      <c r="B68" s="86"/>
      <c r="C68" s="147"/>
      <c r="F68" s="322"/>
      <c r="G68" s="322"/>
      <c r="H68" s="322"/>
      <c r="I68" s="451"/>
      <c r="J68" s="76"/>
      <c r="K68" s="129"/>
      <c r="L68" s="123"/>
      <c r="M68" s="145"/>
      <c r="N68" s="145"/>
      <c r="O68" s="145"/>
      <c r="P68" s="145"/>
      <c r="Q68" s="145"/>
      <c r="R68" s="111"/>
      <c r="S68" s="111"/>
      <c r="T68" s="111"/>
      <c r="U68" s="111"/>
      <c r="V68" s="111"/>
      <c r="W68" s="127"/>
      <c r="X68" s="129"/>
      <c r="Y68" s="128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28"/>
      <c r="AK68" s="129"/>
      <c r="AL68" s="128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27"/>
      <c r="AX68" s="129"/>
      <c r="AY68" s="128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86"/>
    </row>
    <row r="69" spans="1:62" ht="11.85" customHeight="1" outlineLevel="1">
      <c r="B69" s="86"/>
      <c r="C69" s="114" t="s">
        <v>80</v>
      </c>
      <c r="D69" s="115" t="s">
        <v>81</v>
      </c>
      <c r="E69" s="321"/>
      <c r="F69" s="440">
        <f>SUM(F70:F77)</f>
        <v>24</v>
      </c>
      <c r="G69" s="440">
        <f>SUM(G70:G77)</f>
        <v>8</v>
      </c>
      <c r="H69" s="440">
        <f>SUM(H70:H77)</f>
        <v>6</v>
      </c>
      <c r="I69" s="454">
        <f>SUM(I70:I77)</f>
        <v>16</v>
      </c>
      <c r="J69" s="115"/>
      <c r="K69" s="546">
        <f>COUNTIF(K70:K77,"✔")</f>
        <v>8</v>
      </c>
      <c r="L69" s="117"/>
      <c r="M69" s="441">
        <f>COUNTIF(M70:M77,"✔")</f>
        <v>7</v>
      </c>
      <c r="N69" s="441">
        <f t="shared" ref="N69:V69" si="19">COUNTIF(N70:N77,"✔")</f>
        <v>3</v>
      </c>
      <c r="O69" s="441">
        <f t="shared" si="19"/>
        <v>1</v>
      </c>
      <c r="P69" s="441">
        <f t="shared" si="19"/>
        <v>3</v>
      </c>
      <c r="Q69" s="441">
        <f t="shared" si="19"/>
        <v>0</v>
      </c>
      <c r="R69" s="441">
        <f t="shared" si="19"/>
        <v>0</v>
      </c>
      <c r="S69" s="441">
        <f t="shared" si="19"/>
        <v>0</v>
      </c>
      <c r="T69" s="441">
        <f t="shared" si="19"/>
        <v>0</v>
      </c>
      <c r="U69" s="441">
        <f t="shared" si="19"/>
        <v>0</v>
      </c>
      <c r="V69" s="441">
        <f t="shared" si="19"/>
        <v>0</v>
      </c>
      <c r="W69" s="442"/>
      <c r="X69" s="546">
        <f>COUNTIF(X70:X77,"✔")</f>
        <v>0</v>
      </c>
      <c r="Y69" s="443"/>
      <c r="Z69" s="441">
        <f t="shared" ref="Z69:AV69" si="20">COUNTIF(Z70:Z77,"✔")</f>
        <v>0</v>
      </c>
      <c r="AA69" s="441">
        <f t="shared" si="20"/>
        <v>0</v>
      </c>
      <c r="AB69" s="441">
        <f t="shared" si="20"/>
        <v>0</v>
      </c>
      <c r="AC69" s="441">
        <f t="shared" si="20"/>
        <v>0</v>
      </c>
      <c r="AD69" s="441">
        <f t="shared" si="20"/>
        <v>0</v>
      </c>
      <c r="AE69" s="441">
        <f t="shared" si="20"/>
        <v>0</v>
      </c>
      <c r="AF69" s="441">
        <f t="shared" si="20"/>
        <v>0</v>
      </c>
      <c r="AG69" s="441">
        <f t="shared" si="20"/>
        <v>0</v>
      </c>
      <c r="AH69" s="441">
        <f t="shared" si="20"/>
        <v>0</v>
      </c>
      <c r="AI69" s="441">
        <f t="shared" si="20"/>
        <v>0</v>
      </c>
      <c r="AJ69" s="441">
        <f t="shared" ref="AJ69" si="21">COUNTIF(AJ70:AJ77,"✔")</f>
        <v>0</v>
      </c>
      <c r="AK69" s="546">
        <f>COUNTIF(AK70:AK77,"✔")</f>
        <v>8</v>
      </c>
      <c r="AL69" s="441">
        <f t="shared" si="20"/>
        <v>0</v>
      </c>
      <c r="AM69" s="441">
        <f t="shared" si="20"/>
        <v>7</v>
      </c>
      <c r="AN69" s="441">
        <f t="shared" si="20"/>
        <v>2</v>
      </c>
      <c r="AO69" s="441">
        <f t="shared" si="20"/>
        <v>2</v>
      </c>
      <c r="AP69" s="441">
        <f t="shared" si="20"/>
        <v>3</v>
      </c>
      <c r="AQ69" s="441">
        <f t="shared" si="20"/>
        <v>0</v>
      </c>
      <c r="AR69" s="441">
        <f t="shared" si="20"/>
        <v>2</v>
      </c>
      <c r="AS69" s="441">
        <f t="shared" si="20"/>
        <v>2</v>
      </c>
      <c r="AT69" s="441">
        <f t="shared" si="20"/>
        <v>0</v>
      </c>
      <c r="AU69" s="441">
        <f t="shared" si="20"/>
        <v>0</v>
      </c>
      <c r="AV69" s="441">
        <f t="shared" si="20"/>
        <v>0</v>
      </c>
      <c r="AW69" s="441">
        <f t="shared" ref="AW69:BI69" si="22">COUNTIF(AW70:AW77,"✔")</f>
        <v>0</v>
      </c>
      <c r="AX69" s="546">
        <f>COUNTIF(AX70:AX77,"✔")</f>
        <v>8</v>
      </c>
      <c r="AY69" s="441">
        <f t="shared" si="22"/>
        <v>0</v>
      </c>
      <c r="AZ69" s="441">
        <f t="shared" si="22"/>
        <v>4</v>
      </c>
      <c r="BA69" s="441">
        <f t="shared" si="22"/>
        <v>0</v>
      </c>
      <c r="BB69" s="441">
        <f t="shared" si="22"/>
        <v>1</v>
      </c>
      <c r="BC69" s="441">
        <f t="shared" si="22"/>
        <v>3</v>
      </c>
      <c r="BD69" s="441">
        <f t="shared" si="22"/>
        <v>0</v>
      </c>
      <c r="BE69" s="441">
        <f t="shared" si="22"/>
        <v>0</v>
      </c>
      <c r="BF69" s="441">
        <f t="shared" si="22"/>
        <v>0</v>
      </c>
      <c r="BG69" s="441">
        <f t="shared" si="22"/>
        <v>0</v>
      </c>
      <c r="BH69" s="441">
        <f t="shared" si="22"/>
        <v>0</v>
      </c>
      <c r="BI69" s="441">
        <f t="shared" si="22"/>
        <v>0</v>
      </c>
      <c r="BJ69" s="86"/>
    </row>
    <row r="70" spans="1:62" ht="11.85" customHeight="1" outlineLevel="2">
      <c r="B70" s="86"/>
      <c r="C70" s="140" t="s">
        <v>82</v>
      </c>
      <c r="D70" s="142" t="s">
        <v>83</v>
      </c>
      <c r="E70" s="142"/>
      <c r="F70" s="585">
        <f>COUNTIF('Design Fee'!V76,"&gt;0")+COUNTIF('Design Fee'!BE76,"&gt;0")+COUNTIF('Design Fee'!CN76,"&gt;0")+COUNTIF('Design Fee'!DZ76,"&gt;0")</f>
        <v>3</v>
      </c>
      <c r="G70" s="585">
        <f>COUNTIF('Design Fee'!Y76,"&gt;0")+COUNTIF('Design Fee'!BH76,"&gt;0")+COUNTIF('Design Fee'!CQ76,"&gt;0")+COUNTIF('Design Fee'!EA76,"&gt;0")</f>
        <v>3</v>
      </c>
      <c r="H70" s="585">
        <f>COUNTIF('Design Fee'!Z76,"&gt;0")+COUNTIF('Design Fee'!BI76,"&gt;0")+COUNTIF('Design Fee'!CR76,"&gt;0")+COUNTIF('Design Fee'!EB76,"&gt;0")</f>
        <v>3</v>
      </c>
      <c r="I70" s="586">
        <f t="shared" ref="I70:I73" si="23">F70-G70</f>
        <v>0</v>
      </c>
      <c r="J70" s="587"/>
      <c r="K70" s="141" t="str">
        <f>IF('Design Fee'!V76&gt;0,"✔","-")</f>
        <v>✔</v>
      </c>
      <c r="L70" s="588"/>
      <c r="M70" s="141" t="str">
        <f>IF('Design Fee'!AA76&gt;0,"✔","-")</f>
        <v>-</v>
      </c>
      <c r="N70" s="141" t="str">
        <f>IF('Design Fee'!AB76&gt;0,"✔","-")</f>
        <v>-</v>
      </c>
      <c r="O70" s="141" t="str">
        <f>IF('Design Fee'!AC76&gt;0,"✔","-")</f>
        <v>-</v>
      </c>
      <c r="P70" s="141" t="str">
        <f>IF('Design Fee'!AD76&gt;0,"✔","-")</f>
        <v>-</v>
      </c>
      <c r="Q70" s="141" t="str">
        <f>IF('Design Fee'!AE76&gt;0,"✔","-")</f>
        <v>-</v>
      </c>
      <c r="R70" s="141" t="str">
        <f>IF('Design Fee'!AG76&gt;0,"✔","-")</f>
        <v>-</v>
      </c>
      <c r="S70" s="141" t="str">
        <f>IF('Design Fee'!AH76&gt;0,"✔","-")</f>
        <v>-</v>
      </c>
      <c r="T70" s="141" t="str">
        <f>IF('Design Fee'!AI76&gt;0,"✔","-")</f>
        <v>-</v>
      </c>
      <c r="U70" s="141" t="str">
        <f>IF('Design Fee'!AJ76&gt;0,"✔","-")</f>
        <v>-</v>
      </c>
      <c r="V70" s="141" t="str">
        <f>IF('Design Fee'!AK76&gt;0,"✔","-")</f>
        <v>-</v>
      </c>
      <c r="W70" s="589"/>
      <c r="X70" s="141" t="str">
        <f>IF('Design Fee'!BE76&gt;0,"✔","-")</f>
        <v>-</v>
      </c>
      <c r="Y70" s="590"/>
      <c r="Z70" s="141" t="str">
        <f>IF('Design Fee'!BJ76&gt;0,"✔","-")</f>
        <v>-</v>
      </c>
      <c r="AA70" s="141" t="str">
        <f>IF('Design Fee'!BK76&gt;0,"✔","-")</f>
        <v>-</v>
      </c>
      <c r="AB70" s="141" t="str">
        <f>IF('Design Fee'!BL76&gt;0,"✔","-")</f>
        <v>-</v>
      </c>
      <c r="AC70" s="141" t="str">
        <f>IF('Design Fee'!BM76&gt;0,"✔","-")</f>
        <v>-</v>
      </c>
      <c r="AD70" s="141" t="str">
        <f>IF('Design Fee'!BN76&gt;0,"✔","-")</f>
        <v>-</v>
      </c>
      <c r="AE70" s="141" t="str">
        <f>IF('Design Fee'!BP76&gt;0,"✔","-")</f>
        <v>-</v>
      </c>
      <c r="AF70" s="141" t="str">
        <f>IF('Design Fee'!BQ76&gt;0,"✔","-")</f>
        <v>-</v>
      </c>
      <c r="AG70" s="141" t="str">
        <f>IF('Design Fee'!BR76&gt;0,"✔","-")</f>
        <v>-</v>
      </c>
      <c r="AH70" s="141" t="str">
        <f>IF('Design Fee'!BS76&gt;0,"✔","-")</f>
        <v>-</v>
      </c>
      <c r="AI70" s="141" t="str">
        <f>IF('Design Fee'!BT76&gt;0,"✔","-")</f>
        <v>-</v>
      </c>
      <c r="AJ70" s="590"/>
      <c r="AK70" s="141" t="str">
        <f>IF('Design Fee'!CN76&gt;0,"✔","-")</f>
        <v>✔</v>
      </c>
      <c r="AL70" s="590"/>
      <c r="AM70" s="141" t="str">
        <f>IF('Design Fee'!CS76&gt;0,"✔","-")</f>
        <v>-</v>
      </c>
      <c r="AN70" s="141" t="str">
        <f>IF('Design Fee'!CT76&gt;0,"✔","-")</f>
        <v>-</v>
      </c>
      <c r="AO70" s="141" t="str">
        <f>IF('Design Fee'!CU76&gt;0,"✔","-")</f>
        <v>-</v>
      </c>
      <c r="AP70" s="141" t="str">
        <f>IF('Design Fee'!CV76&gt;0,"✔","-")</f>
        <v>-</v>
      </c>
      <c r="AQ70" s="141" t="str">
        <f>IF('Design Fee'!CW76&gt;0,"✔","-")</f>
        <v>-</v>
      </c>
      <c r="AR70" s="141" t="str">
        <f>IF('Design Fee'!CY76&gt;0,"✔","-")</f>
        <v>-</v>
      </c>
      <c r="AS70" s="141" t="str">
        <f>IF('Design Fee'!CZ76&gt;0,"✔","-")</f>
        <v>-</v>
      </c>
      <c r="AT70" s="141" t="str">
        <f>IF('Design Fee'!DA76&gt;0,"✔","-")</f>
        <v>-</v>
      </c>
      <c r="AU70" s="141" t="str">
        <f>IF('Design Fee'!DB76&gt;0,"✔","-")</f>
        <v>-</v>
      </c>
      <c r="AV70" s="141" t="str">
        <f>IF('Design Fee'!DC76&gt;0,"✔","-")</f>
        <v>-</v>
      </c>
      <c r="AW70" s="589"/>
      <c r="AX70" s="141" t="str">
        <f>IF('Design Fee'!DX76&gt;0,"✔","-")</f>
        <v>✔</v>
      </c>
      <c r="AY70" s="590"/>
      <c r="AZ70" s="141" t="str">
        <f>IF('Design Fee'!EC76&gt;0,"✔","-")</f>
        <v>-</v>
      </c>
      <c r="BA70" s="141" t="str">
        <f>IF('Design Fee'!ED76&gt;0,"✔","-")</f>
        <v>-</v>
      </c>
      <c r="BB70" s="141" t="str">
        <f>IF('Design Fee'!EE76&gt;0,"✔","-")</f>
        <v>-</v>
      </c>
      <c r="BC70" s="141" t="str">
        <f>IF('Design Fee'!EF76&gt;0,"✔","-")</f>
        <v>-</v>
      </c>
      <c r="BD70" s="141" t="str">
        <f>IF('Design Fee'!EG76&gt;0,"✔","-")</f>
        <v>-</v>
      </c>
      <c r="BE70" s="141" t="str">
        <f>IF('Design Fee'!EI76&gt;0,"✔","-")</f>
        <v>-</v>
      </c>
      <c r="BF70" s="141" t="str">
        <f>IF('Design Fee'!EJ76&gt;0,"✔","-")</f>
        <v>-</v>
      </c>
      <c r="BG70" s="141" t="str">
        <f>IF('Design Fee'!EK76&gt;0,"✔","-")</f>
        <v>-</v>
      </c>
      <c r="BH70" s="141" t="str">
        <f>IF('Design Fee'!EL76&gt;0,"✔","-")</f>
        <v>-</v>
      </c>
      <c r="BI70" s="141" t="str">
        <f>IF('Design Fee'!EM76&gt;0,"✔","-")</f>
        <v>-</v>
      </c>
      <c r="BJ70" s="86"/>
    </row>
    <row r="71" spans="1:62" ht="11.85" customHeight="1" outlineLevel="2">
      <c r="B71" s="86"/>
      <c r="C71" s="140" t="s">
        <v>84</v>
      </c>
      <c r="D71" s="142" t="s">
        <v>85</v>
      </c>
      <c r="E71" s="142"/>
      <c r="F71" s="585">
        <f>COUNTIF('Design Fee'!V77,"&gt;0")+COUNTIF('Design Fee'!BE77,"&gt;0")+COUNTIF('Design Fee'!CN77,"&gt;0")+COUNTIF('Design Fee'!DZ77,"&gt;0")</f>
        <v>3</v>
      </c>
      <c r="G71" s="585">
        <f>COUNTIF('Design Fee'!Y77,"&gt;0")+COUNTIF('Design Fee'!BH77,"&gt;0")+COUNTIF('Design Fee'!CQ77,"&gt;0")+COUNTIF('Design Fee'!EA77,"&gt;0")</f>
        <v>2</v>
      </c>
      <c r="H71" s="585">
        <f>COUNTIF('Design Fee'!Z77,"&gt;0")+COUNTIF('Design Fee'!BI77,"&gt;0")+COUNTIF('Design Fee'!CR77,"&gt;0")+COUNTIF('Design Fee'!EB77,"&gt;0")</f>
        <v>1</v>
      </c>
      <c r="I71" s="586">
        <f t="shared" si="23"/>
        <v>1</v>
      </c>
      <c r="J71" s="587"/>
      <c r="K71" s="141" t="str">
        <f>IF('Design Fee'!V77&gt;0,"✔","-")</f>
        <v>✔</v>
      </c>
      <c r="L71" s="588"/>
      <c r="M71" s="141" t="str">
        <f>IF('Design Fee'!AA77&gt;0,"✔","-")</f>
        <v>✔</v>
      </c>
      <c r="N71" s="141" t="str">
        <f>IF('Design Fee'!AB77&gt;0,"✔","-")</f>
        <v>✔</v>
      </c>
      <c r="O71" s="141" t="str">
        <f>IF('Design Fee'!AC77&gt;0,"✔","-")</f>
        <v>-</v>
      </c>
      <c r="P71" s="141" t="str">
        <f>IF('Design Fee'!AD77&gt;0,"✔","-")</f>
        <v>-</v>
      </c>
      <c r="Q71" s="141" t="str">
        <f>IF('Design Fee'!AE77&gt;0,"✔","-")</f>
        <v>-</v>
      </c>
      <c r="R71" s="141" t="str">
        <f>IF('Design Fee'!AG77&gt;0,"✔","-")</f>
        <v>-</v>
      </c>
      <c r="S71" s="141" t="str">
        <f>IF('Design Fee'!AH77&gt;0,"✔","-")</f>
        <v>-</v>
      </c>
      <c r="T71" s="141" t="str">
        <f>IF('Design Fee'!AI77&gt;0,"✔","-")</f>
        <v>-</v>
      </c>
      <c r="U71" s="141" t="str">
        <f>IF('Design Fee'!AJ77&gt;0,"✔","-")</f>
        <v>-</v>
      </c>
      <c r="V71" s="141" t="str">
        <f>IF('Design Fee'!AK77&gt;0,"✔","-")</f>
        <v>-</v>
      </c>
      <c r="W71" s="589"/>
      <c r="X71" s="141" t="str">
        <f>IF('Design Fee'!BE77&gt;0,"✔","-")</f>
        <v>-</v>
      </c>
      <c r="Y71" s="590"/>
      <c r="Z71" s="141" t="str">
        <f>IF('Design Fee'!BJ77&gt;0,"✔","-")</f>
        <v>-</v>
      </c>
      <c r="AA71" s="141" t="str">
        <f>IF('Design Fee'!BK77&gt;0,"✔","-")</f>
        <v>-</v>
      </c>
      <c r="AB71" s="141" t="str">
        <f>IF('Design Fee'!BL77&gt;0,"✔","-")</f>
        <v>-</v>
      </c>
      <c r="AC71" s="141" t="str">
        <f>IF('Design Fee'!BM77&gt;0,"✔","-")</f>
        <v>-</v>
      </c>
      <c r="AD71" s="141" t="str">
        <f>IF('Design Fee'!BN77&gt;0,"✔","-")</f>
        <v>-</v>
      </c>
      <c r="AE71" s="141" t="str">
        <f>IF('Design Fee'!BP77&gt;0,"✔","-")</f>
        <v>-</v>
      </c>
      <c r="AF71" s="141" t="str">
        <f>IF('Design Fee'!BQ77&gt;0,"✔","-")</f>
        <v>-</v>
      </c>
      <c r="AG71" s="141" t="str">
        <f>IF('Design Fee'!BR77&gt;0,"✔","-")</f>
        <v>-</v>
      </c>
      <c r="AH71" s="141" t="str">
        <f>IF('Design Fee'!BS77&gt;0,"✔","-")</f>
        <v>-</v>
      </c>
      <c r="AI71" s="141" t="str">
        <f>IF('Design Fee'!BT77&gt;0,"✔","-")</f>
        <v>-</v>
      </c>
      <c r="AJ71" s="590"/>
      <c r="AK71" s="141" t="str">
        <f>IF('Design Fee'!CN77&gt;0,"✔","-")</f>
        <v>✔</v>
      </c>
      <c r="AL71" s="590"/>
      <c r="AM71" s="141" t="str">
        <f>IF('Design Fee'!CS77&gt;0,"✔","-")</f>
        <v>✔</v>
      </c>
      <c r="AN71" s="141" t="str">
        <f>IF('Design Fee'!CT77&gt;0,"✔","-")</f>
        <v>✔</v>
      </c>
      <c r="AO71" s="141" t="str">
        <f>IF('Design Fee'!CU77&gt;0,"✔","-")</f>
        <v>-</v>
      </c>
      <c r="AP71" s="141" t="str">
        <f>IF('Design Fee'!CV77&gt;0,"✔","-")</f>
        <v>-</v>
      </c>
      <c r="AQ71" s="141" t="str">
        <f>IF('Design Fee'!CW77&gt;0,"✔","-")</f>
        <v>-</v>
      </c>
      <c r="AR71" s="141" t="str">
        <f>IF('Design Fee'!CY77&gt;0,"✔","-")</f>
        <v>✔</v>
      </c>
      <c r="AS71" s="141" t="str">
        <f>IF('Design Fee'!CZ77&gt;0,"✔","-")</f>
        <v>✔</v>
      </c>
      <c r="AT71" s="141" t="str">
        <f>IF('Design Fee'!DA77&gt;0,"✔","-")</f>
        <v>-</v>
      </c>
      <c r="AU71" s="141" t="str">
        <f>IF('Design Fee'!DB77&gt;0,"✔","-")</f>
        <v>-</v>
      </c>
      <c r="AV71" s="141" t="str">
        <f>IF('Design Fee'!DC77&gt;0,"✔","-")</f>
        <v>-</v>
      </c>
      <c r="AW71" s="589"/>
      <c r="AX71" s="141" t="str">
        <f>IF('Design Fee'!DX77&gt;0,"✔","-")</f>
        <v>✔</v>
      </c>
      <c r="AY71" s="590"/>
      <c r="AZ71" s="141" t="str">
        <f>IF('Design Fee'!EC77&gt;0,"✔","-")</f>
        <v>-</v>
      </c>
      <c r="BA71" s="141" t="str">
        <f>IF('Design Fee'!ED77&gt;0,"✔","-")</f>
        <v>-</v>
      </c>
      <c r="BB71" s="141" t="str">
        <f>IF('Design Fee'!EE77&gt;0,"✔","-")</f>
        <v>-</v>
      </c>
      <c r="BC71" s="141" t="str">
        <f>IF('Design Fee'!EF77&gt;0,"✔","-")</f>
        <v>-</v>
      </c>
      <c r="BD71" s="141" t="str">
        <f>IF('Design Fee'!EG77&gt;0,"✔","-")</f>
        <v>-</v>
      </c>
      <c r="BE71" s="141" t="str">
        <f>IF('Design Fee'!EI77&gt;0,"✔","-")</f>
        <v>-</v>
      </c>
      <c r="BF71" s="141" t="str">
        <f>IF('Design Fee'!EJ77&gt;0,"✔","-")</f>
        <v>-</v>
      </c>
      <c r="BG71" s="141" t="str">
        <f>IF('Design Fee'!EK77&gt;0,"✔","-")</f>
        <v>-</v>
      </c>
      <c r="BH71" s="141" t="str">
        <f>IF('Design Fee'!EL77&gt;0,"✔","-")</f>
        <v>-</v>
      </c>
      <c r="BI71" s="141" t="str">
        <f>IF('Design Fee'!EM77&gt;0,"✔","-")</f>
        <v>-</v>
      </c>
      <c r="BJ71" s="86"/>
    </row>
    <row r="72" spans="1:62" ht="11.85" customHeight="1" outlineLevel="2">
      <c r="B72" s="86"/>
      <c r="C72" s="140" t="s">
        <v>86</v>
      </c>
      <c r="D72" s="142" t="s">
        <v>87</v>
      </c>
      <c r="E72" s="142"/>
      <c r="F72" s="585">
        <f>COUNTIF('Design Fee'!V78,"&gt;0")+COUNTIF('Design Fee'!BE78,"&gt;0")+COUNTIF('Design Fee'!CN78,"&gt;0")+COUNTIF('Design Fee'!DZ78,"&gt;0")</f>
        <v>3</v>
      </c>
      <c r="G72" s="585">
        <f>COUNTIF('Design Fee'!Y78,"&gt;0")+COUNTIF('Design Fee'!BH78,"&gt;0")+COUNTIF('Design Fee'!CQ78,"&gt;0")+COUNTIF('Design Fee'!EA78,"&gt;0")</f>
        <v>2</v>
      </c>
      <c r="H72" s="585">
        <f>COUNTIF('Design Fee'!Z78,"&gt;0")+COUNTIF('Design Fee'!BI78,"&gt;0")+COUNTIF('Design Fee'!CR78,"&gt;0")+COUNTIF('Design Fee'!EB78,"&gt;0")</f>
        <v>1</v>
      </c>
      <c r="I72" s="586">
        <f t="shared" si="23"/>
        <v>1</v>
      </c>
      <c r="J72" s="587"/>
      <c r="K72" s="141" t="str">
        <f>IF('Design Fee'!V78&gt;0,"✔","-")</f>
        <v>✔</v>
      </c>
      <c r="L72" s="588"/>
      <c r="M72" s="141" t="str">
        <f>IF('Design Fee'!AA78&gt;0,"✔","-")</f>
        <v>✔</v>
      </c>
      <c r="N72" s="141" t="str">
        <f>IF('Design Fee'!AB78&gt;0,"✔","-")</f>
        <v>✔</v>
      </c>
      <c r="O72" s="141" t="str">
        <f>IF('Design Fee'!AC78&gt;0,"✔","-")</f>
        <v>-</v>
      </c>
      <c r="P72" s="141" t="str">
        <f>IF('Design Fee'!AD78&gt;0,"✔","-")</f>
        <v>-</v>
      </c>
      <c r="Q72" s="141" t="str">
        <f>IF('Design Fee'!AE78&gt;0,"✔","-")</f>
        <v>-</v>
      </c>
      <c r="R72" s="141" t="str">
        <f>IF('Design Fee'!AG78&gt;0,"✔","-")</f>
        <v>-</v>
      </c>
      <c r="S72" s="141" t="str">
        <f>IF('Design Fee'!AH78&gt;0,"✔","-")</f>
        <v>-</v>
      </c>
      <c r="T72" s="141" t="str">
        <f>IF('Design Fee'!AI78&gt;0,"✔","-")</f>
        <v>-</v>
      </c>
      <c r="U72" s="141" t="str">
        <f>IF('Design Fee'!AJ78&gt;0,"✔","-")</f>
        <v>-</v>
      </c>
      <c r="V72" s="141" t="str">
        <f>IF('Design Fee'!AK78&gt;0,"✔","-")</f>
        <v>-</v>
      </c>
      <c r="W72" s="589"/>
      <c r="X72" s="141" t="str">
        <f>IF('Design Fee'!BE78&gt;0,"✔","-")</f>
        <v>-</v>
      </c>
      <c r="Y72" s="590"/>
      <c r="Z72" s="141" t="str">
        <f>IF('Design Fee'!BJ78&gt;0,"✔","-")</f>
        <v>-</v>
      </c>
      <c r="AA72" s="141" t="str">
        <f>IF('Design Fee'!BK78&gt;0,"✔","-")</f>
        <v>-</v>
      </c>
      <c r="AB72" s="141" t="str">
        <f>IF('Design Fee'!BL78&gt;0,"✔","-")</f>
        <v>-</v>
      </c>
      <c r="AC72" s="141" t="str">
        <f>IF('Design Fee'!BM78&gt;0,"✔","-")</f>
        <v>-</v>
      </c>
      <c r="AD72" s="141" t="str">
        <f>IF('Design Fee'!BN78&gt;0,"✔","-")</f>
        <v>-</v>
      </c>
      <c r="AE72" s="141" t="str">
        <f>IF('Design Fee'!BP78&gt;0,"✔","-")</f>
        <v>-</v>
      </c>
      <c r="AF72" s="141" t="str">
        <f>IF('Design Fee'!BQ78&gt;0,"✔","-")</f>
        <v>-</v>
      </c>
      <c r="AG72" s="141" t="str">
        <f>IF('Design Fee'!BR78&gt;0,"✔","-")</f>
        <v>-</v>
      </c>
      <c r="AH72" s="141" t="str">
        <f>IF('Design Fee'!BS78&gt;0,"✔","-")</f>
        <v>-</v>
      </c>
      <c r="AI72" s="141" t="str">
        <f>IF('Design Fee'!BT78&gt;0,"✔","-")</f>
        <v>-</v>
      </c>
      <c r="AJ72" s="590"/>
      <c r="AK72" s="141" t="str">
        <f>IF('Design Fee'!CN78&gt;0,"✔","-")</f>
        <v>✔</v>
      </c>
      <c r="AL72" s="590"/>
      <c r="AM72" s="141" t="str">
        <f>IF('Design Fee'!CS78&gt;0,"✔","-")</f>
        <v>✔</v>
      </c>
      <c r="AN72" s="141" t="str">
        <f>IF('Design Fee'!CT78&gt;0,"✔","-")</f>
        <v>✔</v>
      </c>
      <c r="AO72" s="141" t="str">
        <f>IF('Design Fee'!CU78&gt;0,"✔","-")</f>
        <v>-</v>
      </c>
      <c r="AP72" s="141" t="str">
        <f>IF('Design Fee'!CV78&gt;0,"✔","-")</f>
        <v>-</v>
      </c>
      <c r="AQ72" s="141" t="str">
        <f>IF('Design Fee'!CW78&gt;0,"✔","-")</f>
        <v>-</v>
      </c>
      <c r="AR72" s="141" t="str">
        <f>IF('Design Fee'!CY78&gt;0,"✔","-")</f>
        <v>✔</v>
      </c>
      <c r="AS72" s="141" t="str">
        <f>IF('Design Fee'!CZ78&gt;0,"✔","-")</f>
        <v>✔</v>
      </c>
      <c r="AT72" s="141" t="str">
        <f>IF('Design Fee'!DA78&gt;0,"✔","-")</f>
        <v>-</v>
      </c>
      <c r="AU72" s="141" t="str">
        <f>IF('Design Fee'!DB78&gt;0,"✔","-")</f>
        <v>-</v>
      </c>
      <c r="AV72" s="141" t="str">
        <f>IF('Design Fee'!DC78&gt;0,"✔","-")</f>
        <v>-</v>
      </c>
      <c r="AW72" s="589"/>
      <c r="AX72" s="141" t="str">
        <f>IF('Design Fee'!DX78&gt;0,"✔","-")</f>
        <v>✔</v>
      </c>
      <c r="AY72" s="590"/>
      <c r="AZ72" s="141" t="str">
        <f>IF('Design Fee'!EC78&gt;0,"✔","-")</f>
        <v>-</v>
      </c>
      <c r="BA72" s="141" t="str">
        <f>IF('Design Fee'!ED78&gt;0,"✔","-")</f>
        <v>-</v>
      </c>
      <c r="BB72" s="141" t="str">
        <f>IF('Design Fee'!EE78&gt;0,"✔","-")</f>
        <v>-</v>
      </c>
      <c r="BC72" s="141" t="str">
        <f>IF('Design Fee'!EF78&gt;0,"✔","-")</f>
        <v>-</v>
      </c>
      <c r="BD72" s="141" t="str">
        <f>IF('Design Fee'!EG78&gt;0,"✔","-")</f>
        <v>-</v>
      </c>
      <c r="BE72" s="141" t="str">
        <f>IF('Design Fee'!EI78&gt;0,"✔","-")</f>
        <v>-</v>
      </c>
      <c r="BF72" s="141" t="str">
        <f>IF('Design Fee'!EJ78&gt;0,"✔","-")</f>
        <v>-</v>
      </c>
      <c r="BG72" s="141" t="str">
        <f>IF('Design Fee'!EK78&gt;0,"✔","-")</f>
        <v>-</v>
      </c>
      <c r="BH72" s="141" t="str">
        <f>IF('Design Fee'!EL78&gt;0,"✔","-")</f>
        <v>-</v>
      </c>
      <c r="BI72" s="141" t="str">
        <f>IF('Design Fee'!EM78&gt;0,"✔","-")</f>
        <v>-</v>
      </c>
      <c r="BJ72" s="86"/>
    </row>
    <row r="73" spans="1:62" s="148" customFormat="1" ht="11.85" customHeight="1" outlineLevel="2">
      <c r="A73" s="74"/>
      <c r="B73" s="86"/>
      <c r="C73" s="140" t="s">
        <v>88</v>
      </c>
      <c r="D73" s="142" t="s">
        <v>89</v>
      </c>
      <c r="E73" s="142"/>
      <c r="F73" s="585">
        <f>COUNTIF('Design Fee'!V79,"&gt;0")+COUNTIF('Design Fee'!BE79,"&gt;0")+COUNTIF('Design Fee'!CN79,"&gt;0")+COUNTIF('Design Fee'!DZ79,"&gt;0")</f>
        <v>3</v>
      </c>
      <c r="G73" s="585">
        <f>COUNTIF('Design Fee'!Y79,"&gt;0")+COUNTIF('Design Fee'!BH79,"&gt;0")+COUNTIF('Design Fee'!CQ79,"&gt;0")+COUNTIF('Design Fee'!EA79,"&gt;0")</f>
        <v>1</v>
      </c>
      <c r="H73" s="585">
        <f>COUNTIF('Design Fee'!Z79,"&gt;0")+COUNTIF('Design Fee'!BI79,"&gt;0")+COUNTIF('Design Fee'!CR79,"&gt;0")+COUNTIF('Design Fee'!EB79,"&gt;0")</f>
        <v>1</v>
      </c>
      <c r="I73" s="586">
        <f t="shared" si="23"/>
        <v>2</v>
      </c>
      <c r="J73" s="587"/>
      <c r="K73" s="141" t="str">
        <f>IF('Design Fee'!V79&gt;0,"✔","-")</f>
        <v>✔</v>
      </c>
      <c r="L73" s="588"/>
      <c r="M73" s="141" t="str">
        <f>IF('Design Fee'!AA79&gt;0,"✔","-")</f>
        <v>✔</v>
      </c>
      <c r="N73" s="141" t="str">
        <f>IF('Design Fee'!AB79&gt;0,"✔","-")</f>
        <v>✔</v>
      </c>
      <c r="O73" s="141" t="str">
        <f>IF('Design Fee'!AC79&gt;0,"✔","-")</f>
        <v>-</v>
      </c>
      <c r="P73" s="141" t="str">
        <f>IF('Design Fee'!AD79&gt;0,"✔","-")</f>
        <v>-</v>
      </c>
      <c r="Q73" s="141" t="str">
        <f>IF('Design Fee'!AE79&gt;0,"✔","-")</f>
        <v>-</v>
      </c>
      <c r="R73" s="141" t="str">
        <f>IF('Design Fee'!AG79&gt;0,"✔","-")</f>
        <v>-</v>
      </c>
      <c r="S73" s="141" t="str">
        <f>IF('Design Fee'!AH79&gt;0,"✔","-")</f>
        <v>-</v>
      </c>
      <c r="T73" s="141" t="str">
        <f>IF('Design Fee'!AI79&gt;0,"✔","-")</f>
        <v>-</v>
      </c>
      <c r="U73" s="141" t="str">
        <f>IF('Design Fee'!AJ79&gt;0,"✔","-")</f>
        <v>-</v>
      </c>
      <c r="V73" s="141" t="str">
        <f>IF('Design Fee'!AK79&gt;0,"✔","-")</f>
        <v>-</v>
      </c>
      <c r="W73" s="589"/>
      <c r="X73" s="141" t="str">
        <f>IF('Design Fee'!BE79&gt;0,"✔","-")</f>
        <v>-</v>
      </c>
      <c r="Y73" s="590"/>
      <c r="Z73" s="141" t="str">
        <f>IF('Design Fee'!BJ79&gt;0,"✔","-")</f>
        <v>-</v>
      </c>
      <c r="AA73" s="141" t="str">
        <f>IF('Design Fee'!BK79&gt;0,"✔","-")</f>
        <v>-</v>
      </c>
      <c r="AB73" s="141" t="str">
        <f>IF('Design Fee'!BL79&gt;0,"✔","-")</f>
        <v>-</v>
      </c>
      <c r="AC73" s="141" t="str">
        <f>IF('Design Fee'!BM79&gt;0,"✔","-")</f>
        <v>-</v>
      </c>
      <c r="AD73" s="141" t="str">
        <f>IF('Design Fee'!BN79&gt;0,"✔","-")</f>
        <v>-</v>
      </c>
      <c r="AE73" s="141" t="str">
        <f>IF('Design Fee'!BP79&gt;0,"✔","-")</f>
        <v>-</v>
      </c>
      <c r="AF73" s="141" t="str">
        <f>IF('Design Fee'!BQ79&gt;0,"✔","-")</f>
        <v>-</v>
      </c>
      <c r="AG73" s="141" t="str">
        <f>IF('Design Fee'!BR79&gt;0,"✔","-")</f>
        <v>-</v>
      </c>
      <c r="AH73" s="141" t="str">
        <f>IF('Design Fee'!BS79&gt;0,"✔","-")</f>
        <v>-</v>
      </c>
      <c r="AI73" s="141" t="str">
        <f>IF('Design Fee'!BT79&gt;0,"✔","-")</f>
        <v>-</v>
      </c>
      <c r="AJ73" s="590"/>
      <c r="AK73" s="141" t="str">
        <f>IF('Design Fee'!CN79&gt;0,"✔","-")</f>
        <v>✔</v>
      </c>
      <c r="AL73" s="590"/>
      <c r="AM73" s="141" t="str">
        <f>IF('Design Fee'!CS79&gt;0,"✔","-")</f>
        <v>✔</v>
      </c>
      <c r="AN73" s="141" t="str">
        <f>IF('Design Fee'!CT79&gt;0,"✔","-")</f>
        <v>-</v>
      </c>
      <c r="AO73" s="141" t="str">
        <f>IF('Design Fee'!CU79&gt;0,"✔","-")</f>
        <v>✔</v>
      </c>
      <c r="AP73" s="141" t="str">
        <f>IF('Design Fee'!CV79&gt;0,"✔","-")</f>
        <v>-</v>
      </c>
      <c r="AQ73" s="141" t="str">
        <f>IF('Design Fee'!CW79&gt;0,"✔","-")</f>
        <v>-</v>
      </c>
      <c r="AR73" s="141" t="str">
        <f>IF('Design Fee'!CY79&gt;0,"✔","-")</f>
        <v>-</v>
      </c>
      <c r="AS73" s="141" t="str">
        <f>IF('Design Fee'!CZ79&gt;0,"✔","-")</f>
        <v>-</v>
      </c>
      <c r="AT73" s="141" t="str">
        <f>IF('Design Fee'!DA79&gt;0,"✔","-")</f>
        <v>-</v>
      </c>
      <c r="AU73" s="141" t="str">
        <f>IF('Design Fee'!DB79&gt;0,"✔","-")</f>
        <v>-</v>
      </c>
      <c r="AV73" s="141" t="str">
        <f>IF('Design Fee'!DC79&gt;0,"✔","-")</f>
        <v>-</v>
      </c>
      <c r="AW73" s="589"/>
      <c r="AX73" s="141" t="str">
        <f>IF('Design Fee'!DX79&gt;0,"✔","-")</f>
        <v>✔</v>
      </c>
      <c r="AY73" s="590"/>
      <c r="AZ73" s="141" t="str">
        <f>IF('Design Fee'!EC79&gt;0,"✔","-")</f>
        <v>-</v>
      </c>
      <c r="BA73" s="141" t="str">
        <f>IF('Design Fee'!ED79&gt;0,"✔","-")</f>
        <v>-</v>
      </c>
      <c r="BB73" s="141" t="str">
        <f>IF('Design Fee'!EE79&gt;0,"✔","-")</f>
        <v>-</v>
      </c>
      <c r="BC73" s="141" t="str">
        <f>IF('Design Fee'!EF79&gt;0,"✔","-")</f>
        <v>-</v>
      </c>
      <c r="BD73" s="141" t="str">
        <f>IF('Design Fee'!EG79&gt;0,"✔","-")</f>
        <v>-</v>
      </c>
      <c r="BE73" s="141" t="str">
        <f>IF('Design Fee'!EI79&gt;0,"✔","-")</f>
        <v>-</v>
      </c>
      <c r="BF73" s="141" t="str">
        <f>IF('Design Fee'!EJ79&gt;0,"✔","-")</f>
        <v>-</v>
      </c>
      <c r="BG73" s="141" t="str">
        <f>IF('Design Fee'!EK79&gt;0,"✔","-")</f>
        <v>-</v>
      </c>
      <c r="BH73" s="141" t="str">
        <f>IF('Design Fee'!EL79&gt;0,"✔","-")</f>
        <v>-</v>
      </c>
      <c r="BI73" s="141" t="str">
        <f>IF('Design Fee'!EM79&gt;0,"✔","-")</f>
        <v>-</v>
      </c>
      <c r="BJ73" s="86"/>
    </row>
    <row r="74" spans="1:62" s="148" customFormat="1" ht="11.85" customHeight="1" outlineLevel="2">
      <c r="A74" s="74"/>
      <c r="B74" s="86"/>
      <c r="C74" s="140" t="s">
        <v>90</v>
      </c>
      <c r="D74" s="142" t="s">
        <v>91</v>
      </c>
      <c r="E74" s="142"/>
      <c r="F74" s="585">
        <f>COUNTIF('Design Fee'!V80,"&gt;0")+COUNTIF('Design Fee'!BE80,"&gt;0")+COUNTIF('Design Fee'!CN80,"&gt;0")+COUNTIF('Design Fee'!DZ80,"&gt;0")</f>
        <v>3</v>
      </c>
      <c r="G74" s="585">
        <f>COUNTIF('Design Fee'!Y80,"&gt;0")+COUNTIF('Design Fee'!BH80,"&gt;0")+COUNTIF('Design Fee'!CQ80,"&gt;0")+COUNTIF('Design Fee'!EA80,"&gt;0")</f>
        <v>0</v>
      </c>
      <c r="H74" s="585">
        <f>COUNTIF('Design Fee'!Z80,"&gt;0")+COUNTIF('Design Fee'!BI80,"&gt;0")+COUNTIF('Design Fee'!CR80,"&gt;0")+COUNTIF('Design Fee'!EB80,"&gt;0")</f>
        <v>0</v>
      </c>
      <c r="I74" s="586">
        <f t="shared" ref="I74:I77" si="24">F74-G74</f>
        <v>3</v>
      </c>
      <c r="J74" s="587"/>
      <c r="K74" s="141" t="str">
        <f>IF('Design Fee'!V80&gt;0,"✔","-")</f>
        <v>✔</v>
      </c>
      <c r="L74" s="588"/>
      <c r="M74" s="141" t="str">
        <f>IF('Design Fee'!AA80&gt;0,"✔","-")</f>
        <v>✔</v>
      </c>
      <c r="N74" s="141" t="str">
        <f>IF('Design Fee'!AB80&gt;0,"✔","-")</f>
        <v>-</v>
      </c>
      <c r="O74" s="141" t="str">
        <f>IF('Design Fee'!AC80&gt;0,"✔","-")</f>
        <v>✔</v>
      </c>
      <c r="P74" s="141" t="str">
        <f>IF('Design Fee'!AD80&gt;0,"✔","-")</f>
        <v>-</v>
      </c>
      <c r="Q74" s="141" t="str">
        <f>IF('Design Fee'!AE80&gt;0,"✔","-")</f>
        <v>-</v>
      </c>
      <c r="R74" s="141" t="str">
        <f>IF('Design Fee'!AG80&gt;0,"✔","-")</f>
        <v>-</v>
      </c>
      <c r="S74" s="141" t="str">
        <f>IF('Design Fee'!AH80&gt;0,"✔","-")</f>
        <v>-</v>
      </c>
      <c r="T74" s="141" t="str">
        <f>IF('Design Fee'!AI80&gt;0,"✔","-")</f>
        <v>-</v>
      </c>
      <c r="U74" s="141" t="str">
        <f>IF('Design Fee'!AJ80&gt;0,"✔","-")</f>
        <v>-</v>
      </c>
      <c r="V74" s="141" t="str">
        <f>IF('Design Fee'!AK80&gt;0,"✔","-")</f>
        <v>-</v>
      </c>
      <c r="W74" s="589"/>
      <c r="X74" s="141" t="str">
        <f>IF('Design Fee'!BE80&gt;0,"✔","-")</f>
        <v>-</v>
      </c>
      <c r="Y74" s="590"/>
      <c r="Z74" s="141" t="str">
        <f>IF('Design Fee'!BJ80&gt;0,"✔","-")</f>
        <v>-</v>
      </c>
      <c r="AA74" s="141" t="str">
        <f>IF('Design Fee'!BK80&gt;0,"✔","-")</f>
        <v>-</v>
      </c>
      <c r="AB74" s="141" t="str">
        <f>IF('Design Fee'!BL80&gt;0,"✔","-")</f>
        <v>-</v>
      </c>
      <c r="AC74" s="141" t="str">
        <f>IF('Design Fee'!BM80&gt;0,"✔","-")</f>
        <v>-</v>
      </c>
      <c r="AD74" s="141" t="str">
        <f>IF('Design Fee'!BN80&gt;0,"✔","-")</f>
        <v>-</v>
      </c>
      <c r="AE74" s="141" t="str">
        <f>IF('Design Fee'!BP80&gt;0,"✔","-")</f>
        <v>-</v>
      </c>
      <c r="AF74" s="141" t="str">
        <f>IF('Design Fee'!BQ80&gt;0,"✔","-")</f>
        <v>-</v>
      </c>
      <c r="AG74" s="141" t="str">
        <f>IF('Design Fee'!BR80&gt;0,"✔","-")</f>
        <v>-</v>
      </c>
      <c r="AH74" s="141" t="str">
        <f>IF('Design Fee'!BS80&gt;0,"✔","-")</f>
        <v>-</v>
      </c>
      <c r="AI74" s="141" t="str">
        <f>IF('Design Fee'!BT80&gt;0,"✔","-")</f>
        <v>-</v>
      </c>
      <c r="AJ74" s="590"/>
      <c r="AK74" s="141" t="str">
        <f>IF('Design Fee'!CN80&gt;0,"✔","-")</f>
        <v>✔</v>
      </c>
      <c r="AL74" s="590"/>
      <c r="AM74" s="141" t="str">
        <f>IF('Design Fee'!CS80&gt;0,"✔","-")</f>
        <v>✔</v>
      </c>
      <c r="AN74" s="141" t="str">
        <f>IF('Design Fee'!CT80&gt;0,"✔","-")</f>
        <v>-</v>
      </c>
      <c r="AO74" s="141" t="str">
        <f>IF('Design Fee'!CU80&gt;0,"✔","-")</f>
        <v>✔</v>
      </c>
      <c r="AP74" s="141" t="str">
        <f>IF('Design Fee'!CV80&gt;0,"✔","-")</f>
        <v>-</v>
      </c>
      <c r="AQ74" s="141" t="str">
        <f>IF('Design Fee'!CW80&gt;0,"✔","-")</f>
        <v>-</v>
      </c>
      <c r="AR74" s="141" t="str">
        <f>IF('Design Fee'!CY80&gt;0,"✔","-")</f>
        <v>-</v>
      </c>
      <c r="AS74" s="141" t="str">
        <f>IF('Design Fee'!CZ80&gt;0,"✔","-")</f>
        <v>-</v>
      </c>
      <c r="AT74" s="141" t="str">
        <f>IF('Design Fee'!DA80&gt;0,"✔","-")</f>
        <v>-</v>
      </c>
      <c r="AU74" s="141" t="str">
        <f>IF('Design Fee'!DB80&gt;0,"✔","-")</f>
        <v>-</v>
      </c>
      <c r="AV74" s="141" t="str">
        <f>IF('Design Fee'!DC80&gt;0,"✔","-")</f>
        <v>-</v>
      </c>
      <c r="AW74" s="589"/>
      <c r="AX74" s="141" t="str">
        <f>IF('Design Fee'!DX80&gt;0,"✔","-")</f>
        <v>✔</v>
      </c>
      <c r="AY74" s="590"/>
      <c r="AZ74" s="141" t="str">
        <f>IF('Design Fee'!EC80&gt;0,"✔","-")</f>
        <v>✔</v>
      </c>
      <c r="BA74" s="141" t="str">
        <f>IF('Design Fee'!ED80&gt;0,"✔","-")</f>
        <v>-</v>
      </c>
      <c r="BB74" s="141" t="str">
        <f>IF('Design Fee'!EE80&gt;0,"✔","-")</f>
        <v>✔</v>
      </c>
      <c r="BC74" s="141" t="str">
        <f>IF('Design Fee'!EF80&gt;0,"✔","-")</f>
        <v>-</v>
      </c>
      <c r="BD74" s="141" t="str">
        <f>IF('Design Fee'!EG80&gt;0,"✔","-")</f>
        <v>-</v>
      </c>
      <c r="BE74" s="141" t="str">
        <f>IF('Design Fee'!EI80&gt;0,"✔","-")</f>
        <v>-</v>
      </c>
      <c r="BF74" s="141" t="str">
        <f>IF('Design Fee'!EJ80&gt;0,"✔","-")</f>
        <v>-</v>
      </c>
      <c r="BG74" s="141" t="str">
        <f>IF('Design Fee'!EK80&gt;0,"✔","-")</f>
        <v>-</v>
      </c>
      <c r="BH74" s="141" t="str">
        <f>IF('Design Fee'!EL80&gt;0,"✔","-")</f>
        <v>-</v>
      </c>
      <c r="BI74" s="141" t="str">
        <f>IF('Design Fee'!EM80&gt;0,"✔","-")</f>
        <v>-</v>
      </c>
      <c r="BJ74" s="86"/>
    </row>
    <row r="75" spans="1:62" s="148" customFormat="1" ht="11.85" customHeight="1" outlineLevel="2">
      <c r="A75" s="74"/>
      <c r="B75" s="86"/>
      <c r="C75" s="140" t="s">
        <v>92</v>
      </c>
      <c r="D75" s="142" t="s">
        <v>93</v>
      </c>
      <c r="E75" s="142"/>
      <c r="F75" s="585">
        <f>COUNTIF('Design Fee'!V81,"&gt;0")+COUNTIF('Design Fee'!BE81,"&gt;0")+COUNTIF('Design Fee'!CN81,"&gt;0")+COUNTIF('Design Fee'!DZ81,"&gt;0")</f>
        <v>3</v>
      </c>
      <c r="G75" s="585">
        <f>COUNTIF('Design Fee'!Y81,"&gt;0")+COUNTIF('Design Fee'!BH81,"&gt;0")+COUNTIF('Design Fee'!CQ81,"&gt;0")+COUNTIF('Design Fee'!EA81,"&gt;0")</f>
        <v>0</v>
      </c>
      <c r="H75" s="585">
        <f>COUNTIF('Design Fee'!Z81,"&gt;0")+COUNTIF('Design Fee'!BI81,"&gt;0")+COUNTIF('Design Fee'!CR81,"&gt;0")+COUNTIF('Design Fee'!EB81,"&gt;0")</f>
        <v>0</v>
      </c>
      <c r="I75" s="586">
        <f t="shared" si="24"/>
        <v>3</v>
      </c>
      <c r="J75" s="587"/>
      <c r="K75" s="141" t="str">
        <f>IF('Design Fee'!V81&gt;0,"✔","-")</f>
        <v>✔</v>
      </c>
      <c r="L75" s="588"/>
      <c r="M75" s="141" t="str">
        <f>IF('Design Fee'!AA81&gt;0,"✔","-")</f>
        <v>✔</v>
      </c>
      <c r="N75" s="141" t="str">
        <f>IF('Design Fee'!AB81&gt;0,"✔","-")</f>
        <v>-</v>
      </c>
      <c r="O75" s="141" t="str">
        <f>IF('Design Fee'!AC81&gt;0,"✔","-")</f>
        <v>-</v>
      </c>
      <c r="P75" s="141" t="str">
        <f>IF('Design Fee'!AD81&gt;0,"✔","-")</f>
        <v>✔</v>
      </c>
      <c r="Q75" s="141" t="str">
        <f>IF('Design Fee'!AE81&gt;0,"✔","-")</f>
        <v>-</v>
      </c>
      <c r="R75" s="141" t="str">
        <f>IF('Design Fee'!AG81&gt;0,"✔","-")</f>
        <v>-</v>
      </c>
      <c r="S75" s="141" t="str">
        <f>IF('Design Fee'!AH81&gt;0,"✔","-")</f>
        <v>-</v>
      </c>
      <c r="T75" s="141" t="str">
        <f>IF('Design Fee'!AI81&gt;0,"✔","-")</f>
        <v>-</v>
      </c>
      <c r="U75" s="141" t="str">
        <f>IF('Design Fee'!AJ81&gt;0,"✔","-")</f>
        <v>-</v>
      </c>
      <c r="V75" s="141" t="str">
        <f>IF('Design Fee'!AK81&gt;0,"✔","-")</f>
        <v>-</v>
      </c>
      <c r="W75" s="589"/>
      <c r="X75" s="141" t="str">
        <f>IF('Design Fee'!BE81&gt;0,"✔","-")</f>
        <v>-</v>
      </c>
      <c r="Y75" s="590"/>
      <c r="Z75" s="141" t="str">
        <f>IF('Design Fee'!BJ81&gt;0,"✔","-")</f>
        <v>-</v>
      </c>
      <c r="AA75" s="141" t="str">
        <f>IF('Design Fee'!BK81&gt;0,"✔","-")</f>
        <v>-</v>
      </c>
      <c r="AB75" s="141" t="str">
        <f>IF('Design Fee'!BL81&gt;0,"✔","-")</f>
        <v>-</v>
      </c>
      <c r="AC75" s="141" t="str">
        <f>IF('Design Fee'!BM81&gt;0,"✔","-")</f>
        <v>-</v>
      </c>
      <c r="AD75" s="141" t="str">
        <f>IF('Design Fee'!BN81&gt;0,"✔","-")</f>
        <v>-</v>
      </c>
      <c r="AE75" s="141" t="str">
        <f>IF('Design Fee'!BP81&gt;0,"✔","-")</f>
        <v>-</v>
      </c>
      <c r="AF75" s="141" t="str">
        <f>IF('Design Fee'!BQ81&gt;0,"✔","-")</f>
        <v>-</v>
      </c>
      <c r="AG75" s="141" t="str">
        <f>IF('Design Fee'!BR81&gt;0,"✔","-")</f>
        <v>-</v>
      </c>
      <c r="AH75" s="141" t="str">
        <f>IF('Design Fee'!BS81&gt;0,"✔","-")</f>
        <v>-</v>
      </c>
      <c r="AI75" s="141" t="str">
        <f>IF('Design Fee'!BT81&gt;0,"✔","-")</f>
        <v>-</v>
      </c>
      <c r="AJ75" s="590"/>
      <c r="AK75" s="141" t="str">
        <f>IF('Design Fee'!CN81&gt;0,"✔","-")</f>
        <v>✔</v>
      </c>
      <c r="AL75" s="590"/>
      <c r="AM75" s="141" t="str">
        <f>IF('Design Fee'!CS81&gt;0,"✔","-")</f>
        <v>✔</v>
      </c>
      <c r="AN75" s="141" t="str">
        <f>IF('Design Fee'!CT81&gt;0,"✔","-")</f>
        <v>-</v>
      </c>
      <c r="AO75" s="141" t="str">
        <f>IF('Design Fee'!CU81&gt;0,"✔","-")</f>
        <v>-</v>
      </c>
      <c r="AP75" s="141" t="str">
        <f>IF('Design Fee'!CV81&gt;0,"✔","-")</f>
        <v>✔</v>
      </c>
      <c r="AQ75" s="141" t="str">
        <f>IF('Design Fee'!CW81&gt;0,"✔","-")</f>
        <v>-</v>
      </c>
      <c r="AR75" s="141" t="str">
        <f>IF('Design Fee'!CY81&gt;0,"✔","-")</f>
        <v>-</v>
      </c>
      <c r="AS75" s="141" t="str">
        <f>IF('Design Fee'!CZ81&gt;0,"✔","-")</f>
        <v>-</v>
      </c>
      <c r="AT75" s="141" t="str">
        <f>IF('Design Fee'!DA81&gt;0,"✔","-")</f>
        <v>-</v>
      </c>
      <c r="AU75" s="141" t="str">
        <f>IF('Design Fee'!DB81&gt;0,"✔","-")</f>
        <v>-</v>
      </c>
      <c r="AV75" s="141" t="str">
        <f>IF('Design Fee'!DC81&gt;0,"✔","-")</f>
        <v>-</v>
      </c>
      <c r="AW75" s="589"/>
      <c r="AX75" s="141" t="str">
        <f>IF('Design Fee'!DX81&gt;0,"✔","-")</f>
        <v>✔</v>
      </c>
      <c r="AY75" s="590"/>
      <c r="AZ75" s="141" t="str">
        <f>IF('Design Fee'!EC81&gt;0,"✔","-")</f>
        <v>✔</v>
      </c>
      <c r="BA75" s="141" t="str">
        <f>IF('Design Fee'!ED81&gt;0,"✔","-")</f>
        <v>-</v>
      </c>
      <c r="BB75" s="141" t="str">
        <f>IF('Design Fee'!EE81&gt;0,"✔","-")</f>
        <v>-</v>
      </c>
      <c r="BC75" s="141" t="str">
        <f>IF('Design Fee'!EF81&gt;0,"✔","-")</f>
        <v>✔</v>
      </c>
      <c r="BD75" s="141" t="str">
        <f>IF('Design Fee'!EG81&gt;0,"✔","-")</f>
        <v>-</v>
      </c>
      <c r="BE75" s="141" t="str">
        <f>IF('Design Fee'!EI81&gt;0,"✔","-")</f>
        <v>-</v>
      </c>
      <c r="BF75" s="141" t="str">
        <f>IF('Design Fee'!EJ81&gt;0,"✔","-")</f>
        <v>-</v>
      </c>
      <c r="BG75" s="141" t="str">
        <f>IF('Design Fee'!EK81&gt;0,"✔","-")</f>
        <v>-</v>
      </c>
      <c r="BH75" s="141" t="str">
        <f>IF('Design Fee'!EL81&gt;0,"✔","-")</f>
        <v>-</v>
      </c>
      <c r="BI75" s="141" t="str">
        <f>IF('Design Fee'!EM81&gt;0,"✔","-")</f>
        <v>-</v>
      </c>
      <c r="BJ75" s="86"/>
    </row>
    <row r="76" spans="1:62" s="148" customFormat="1" ht="11.85" customHeight="1" outlineLevel="2">
      <c r="A76" s="74"/>
      <c r="B76" s="86"/>
      <c r="C76" s="140" t="s">
        <v>94</v>
      </c>
      <c r="D76" s="142" t="s">
        <v>95</v>
      </c>
      <c r="E76" s="142"/>
      <c r="F76" s="585">
        <f>COUNTIF('Design Fee'!V82,"&gt;0")+COUNTIF('Design Fee'!BE82,"&gt;0")+COUNTIF('Design Fee'!CN82,"&gt;0")+COUNTIF('Design Fee'!DZ82,"&gt;0")</f>
        <v>3</v>
      </c>
      <c r="G76" s="585">
        <f>COUNTIF('Design Fee'!Y82,"&gt;0")+COUNTIF('Design Fee'!BH82,"&gt;0")+COUNTIF('Design Fee'!CQ82,"&gt;0")+COUNTIF('Design Fee'!EA82,"&gt;0")</f>
        <v>0</v>
      </c>
      <c r="H76" s="585">
        <f>COUNTIF('Design Fee'!Z82,"&gt;0")+COUNTIF('Design Fee'!BI82,"&gt;0")+COUNTIF('Design Fee'!CR82,"&gt;0")+COUNTIF('Design Fee'!EB82,"&gt;0")</f>
        <v>0</v>
      </c>
      <c r="I76" s="586">
        <f t="shared" si="24"/>
        <v>3</v>
      </c>
      <c r="J76" s="587"/>
      <c r="K76" s="141" t="str">
        <f>IF('Design Fee'!V82&gt;0,"✔","-")</f>
        <v>✔</v>
      </c>
      <c r="L76" s="588"/>
      <c r="M76" s="141" t="str">
        <f>IF('Design Fee'!AA82&gt;0,"✔","-")</f>
        <v>✔</v>
      </c>
      <c r="N76" s="141" t="str">
        <f>IF('Design Fee'!AB82&gt;0,"✔","-")</f>
        <v>-</v>
      </c>
      <c r="O76" s="141" t="str">
        <f>IF('Design Fee'!AC82&gt;0,"✔","-")</f>
        <v>-</v>
      </c>
      <c r="P76" s="141" t="str">
        <f>IF('Design Fee'!AD82&gt;0,"✔","-")</f>
        <v>✔</v>
      </c>
      <c r="Q76" s="141" t="str">
        <f>IF('Design Fee'!AE82&gt;0,"✔","-")</f>
        <v>-</v>
      </c>
      <c r="R76" s="141" t="str">
        <f>IF('Design Fee'!AG82&gt;0,"✔","-")</f>
        <v>-</v>
      </c>
      <c r="S76" s="141" t="str">
        <f>IF('Design Fee'!AH82&gt;0,"✔","-")</f>
        <v>-</v>
      </c>
      <c r="T76" s="141" t="str">
        <f>IF('Design Fee'!AI82&gt;0,"✔","-")</f>
        <v>-</v>
      </c>
      <c r="U76" s="141" t="str">
        <f>IF('Design Fee'!AJ82&gt;0,"✔","-")</f>
        <v>-</v>
      </c>
      <c r="V76" s="141" t="str">
        <f>IF('Design Fee'!AK82&gt;0,"✔","-")</f>
        <v>-</v>
      </c>
      <c r="W76" s="589"/>
      <c r="X76" s="141" t="str">
        <f>IF('Design Fee'!BE82&gt;0,"✔","-")</f>
        <v>-</v>
      </c>
      <c r="Y76" s="590"/>
      <c r="Z76" s="141" t="str">
        <f>IF('Design Fee'!BJ82&gt;0,"✔","-")</f>
        <v>-</v>
      </c>
      <c r="AA76" s="141" t="str">
        <f>IF('Design Fee'!BK82&gt;0,"✔","-")</f>
        <v>-</v>
      </c>
      <c r="AB76" s="141" t="str">
        <f>IF('Design Fee'!BL82&gt;0,"✔","-")</f>
        <v>-</v>
      </c>
      <c r="AC76" s="141" t="str">
        <f>IF('Design Fee'!BM82&gt;0,"✔","-")</f>
        <v>-</v>
      </c>
      <c r="AD76" s="141" t="str">
        <f>IF('Design Fee'!BN82&gt;0,"✔","-")</f>
        <v>-</v>
      </c>
      <c r="AE76" s="141" t="str">
        <f>IF('Design Fee'!BP82&gt;0,"✔","-")</f>
        <v>-</v>
      </c>
      <c r="AF76" s="141" t="str">
        <f>IF('Design Fee'!BQ82&gt;0,"✔","-")</f>
        <v>-</v>
      </c>
      <c r="AG76" s="141" t="str">
        <f>IF('Design Fee'!BR82&gt;0,"✔","-")</f>
        <v>-</v>
      </c>
      <c r="AH76" s="141" t="str">
        <f>IF('Design Fee'!BS82&gt;0,"✔","-")</f>
        <v>-</v>
      </c>
      <c r="AI76" s="141" t="str">
        <f>IF('Design Fee'!BT82&gt;0,"✔","-")</f>
        <v>-</v>
      </c>
      <c r="AJ76" s="590"/>
      <c r="AK76" s="141" t="str">
        <f>IF('Design Fee'!CN82&gt;0,"✔","-")</f>
        <v>✔</v>
      </c>
      <c r="AL76" s="590"/>
      <c r="AM76" s="141" t="str">
        <f>IF('Design Fee'!CS82&gt;0,"✔","-")</f>
        <v>✔</v>
      </c>
      <c r="AN76" s="141" t="str">
        <f>IF('Design Fee'!CT82&gt;0,"✔","-")</f>
        <v>-</v>
      </c>
      <c r="AO76" s="141" t="str">
        <f>IF('Design Fee'!CU82&gt;0,"✔","-")</f>
        <v>-</v>
      </c>
      <c r="AP76" s="141" t="str">
        <f>IF('Design Fee'!CV82&gt;0,"✔","-")</f>
        <v>✔</v>
      </c>
      <c r="AQ76" s="141" t="str">
        <f>IF('Design Fee'!CW82&gt;0,"✔","-")</f>
        <v>-</v>
      </c>
      <c r="AR76" s="141" t="str">
        <f>IF('Design Fee'!CY82&gt;0,"✔","-")</f>
        <v>-</v>
      </c>
      <c r="AS76" s="141" t="str">
        <f>IF('Design Fee'!CZ82&gt;0,"✔","-")</f>
        <v>-</v>
      </c>
      <c r="AT76" s="141" t="str">
        <f>IF('Design Fee'!DA82&gt;0,"✔","-")</f>
        <v>-</v>
      </c>
      <c r="AU76" s="141" t="str">
        <f>IF('Design Fee'!DB82&gt;0,"✔","-")</f>
        <v>-</v>
      </c>
      <c r="AV76" s="141" t="str">
        <f>IF('Design Fee'!DC82&gt;0,"✔","-")</f>
        <v>-</v>
      </c>
      <c r="AW76" s="589"/>
      <c r="AX76" s="141" t="str">
        <f>IF('Design Fee'!DX82&gt;0,"✔","-")</f>
        <v>✔</v>
      </c>
      <c r="AY76" s="590"/>
      <c r="AZ76" s="141" t="str">
        <f>IF('Design Fee'!EC82&gt;0,"✔","-")</f>
        <v>✔</v>
      </c>
      <c r="BA76" s="141" t="str">
        <f>IF('Design Fee'!ED82&gt;0,"✔","-")</f>
        <v>-</v>
      </c>
      <c r="BB76" s="141" t="str">
        <f>IF('Design Fee'!EE82&gt;0,"✔","-")</f>
        <v>-</v>
      </c>
      <c r="BC76" s="141" t="str">
        <f>IF('Design Fee'!EF82&gt;0,"✔","-")</f>
        <v>✔</v>
      </c>
      <c r="BD76" s="141" t="str">
        <f>IF('Design Fee'!EG82&gt;0,"✔","-")</f>
        <v>-</v>
      </c>
      <c r="BE76" s="141" t="str">
        <f>IF('Design Fee'!EI82&gt;0,"✔","-")</f>
        <v>-</v>
      </c>
      <c r="BF76" s="141" t="str">
        <f>IF('Design Fee'!EJ82&gt;0,"✔","-")</f>
        <v>-</v>
      </c>
      <c r="BG76" s="141" t="str">
        <f>IF('Design Fee'!EK82&gt;0,"✔","-")</f>
        <v>-</v>
      </c>
      <c r="BH76" s="141" t="str">
        <f>IF('Design Fee'!EL82&gt;0,"✔","-")</f>
        <v>-</v>
      </c>
      <c r="BI76" s="141" t="str">
        <f>IF('Design Fee'!EM82&gt;0,"✔","-")</f>
        <v>-</v>
      </c>
      <c r="BJ76" s="86"/>
    </row>
    <row r="77" spans="1:62" s="148" customFormat="1" ht="11.85" customHeight="1" outlineLevel="2">
      <c r="A77" s="74"/>
      <c r="B77" s="86"/>
      <c r="C77" s="140" t="s">
        <v>96</v>
      </c>
      <c r="D77" s="142" t="s">
        <v>97</v>
      </c>
      <c r="E77" s="142"/>
      <c r="F77" s="585">
        <f>COUNTIF('Design Fee'!V83,"&gt;0")+COUNTIF('Design Fee'!BE83,"&gt;0")+COUNTIF('Design Fee'!CN83,"&gt;0")+COUNTIF('Design Fee'!DZ83,"&gt;0")</f>
        <v>3</v>
      </c>
      <c r="G77" s="585">
        <f>COUNTIF('Design Fee'!Y83,"&gt;0")+COUNTIF('Design Fee'!BH83,"&gt;0")+COUNTIF('Design Fee'!CQ83,"&gt;0")+COUNTIF('Design Fee'!EA83,"&gt;0")</f>
        <v>0</v>
      </c>
      <c r="H77" s="585">
        <f>COUNTIF('Design Fee'!Z83,"&gt;0")+COUNTIF('Design Fee'!BI83,"&gt;0")+COUNTIF('Design Fee'!CR83,"&gt;0")+COUNTIF('Design Fee'!EB83,"&gt;0")</f>
        <v>0</v>
      </c>
      <c r="I77" s="586">
        <f t="shared" si="24"/>
        <v>3</v>
      </c>
      <c r="J77" s="587"/>
      <c r="K77" s="141" t="str">
        <f>IF('Design Fee'!V83&gt;0,"✔","-")</f>
        <v>✔</v>
      </c>
      <c r="L77" s="588"/>
      <c r="M77" s="141" t="str">
        <f>IF('Design Fee'!AA83&gt;0,"✔","-")</f>
        <v>✔</v>
      </c>
      <c r="N77" s="141" t="str">
        <f>IF('Design Fee'!AB83&gt;0,"✔","-")</f>
        <v>-</v>
      </c>
      <c r="O77" s="141" t="str">
        <f>IF('Design Fee'!AC83&gt;0,"✔","-")</f>
        <v>-</v>
      </c>
      <c r="P77" s="141" t="str">
        <f>IF('Design Fee'!AD83&gt;0,"✔","-")</f>
        <v>✔</v>
      </c>
      <c r="Q77" s="141" t="str">
        <f>IF('Design Fee'!AE83&gt;0,"✔","-")</f>
        <v>-</v>
      </c>
      <c r="R77" s="141" t="str">
        <f>IF('Design Fee'!AG83&gt;0,"✔","-")</f>
        <v>-</v>
      </c>
      <c r="S77" s="141" t="str">
        <f>IF('Design Fee'!AH83&gt;0,"✔","-")</f>
        <v>-</v>
      </c>
      <c r="T77" s="141" t="str">
        <f>IF('Design Fee'!AI83&gt;0,"✔","-")</f>
        <v>-</v>
      </c>
      <c r="U77" s="141" t="str">
        <f>IF('Design Fee'!AJ83&gt;0,"✔","-")</f>
        <v>-</v>
      </c>
      <c r="V77" s="141" t="str">
        <f>IF('Design Fee'!AK83&gt;0,"✔","-")</f>
        <v>-</v>
      </c>
      <c r="W77" s="589"/>
      <c r="X77" s="141" t="str">
        <f>IF('Design Fee'!BE83&gt;0,"✔","-")</f>
        <v>-</v>
      </c>
      <c r="Y77" s="590"/>
      <c r="Z77" s="141" t="str">
        <f>IF('Design Fee'!BJ83&gt;0,"✔","-")</f>
        <v>-</v>
      </c>
      <c r="AA77" s="141" t="str">
        <f>IF('Design Fee'!BK83&gt;0,"✔","-")</f>
        <v>-</v>
      </c>
      <c r="AB77" s="141" t="str">
        <f>IF('Design Fee'!BL83&gt;0,"✔","-")</f>
        <v>-</v>
      </c>
      <c r="AC77" s="141" t="str">
        <f>IF('Design Fee'!BM83&gt;0,"✔","-")</f>
        <v>-</v>
      </c>
      <c r="AD77" s="141" t="str">
        <f>IF('Design Fee'!BN83&gt;0,"✔","-")</f>
        <v>-</v>
      </c>
      <c r="AE77" s="141" t="str">
        <f>IF('Design Fee'!BP83&gt;0,"✔","-")</f>
        <v>-</v>
      </c>
      <c r="AF77" s="141" t="str">
        <f>IF('Design Fee'!BQ83&gt;0,"✔","-")</f>
        <v>-</v>
      </c>
      <c r="AG77" s="141" t="str">
        <f>IF('Design Fee'!BR83&gt;0,"✔","-")</f>
        <v>-</v>
      </c>
      <c r="AH77" s="141" t="str">
        <f>IF('Design Fee'!BS83&gt;0,"✔","-")</f>
        <v>-</v>
      </c>
      <c r="AI77" s="141" t="str">
        <f>IF('Design Fee'!BT83&gt;0,"✔","-")</f>
        <v>-</v>
      </c>
      <c r="AJ77" s="590"/>
      <c r="AK77" s="141" t="str">
        <f>IF('Design Fee'!CN83&gt;0,"✔","-")</f>
        <v>✔</v>
      </c>
      <c r="AL77" s="590"/>
      <c r="AM77" s="141" t="str">
        <f>IF('Design Fee'!CS83&gt;0,"✔","-")</f>
        <v>✔</v>
      </c>
      <c r="AN77" s="141" t="str">
        <f>IF('Design Fee'!CT83&gt;0,"✔","-")</f>
        <v>-</v>
      </c>
      <c r="AO77" s="141" t="str">
        <f>IF('Design Fee'!CU83&gt;0,"✔","-")</f>
        <v>-</v>
      </c>
      <c r="AP77" s="141" t="str">
        <f>IF('Design Fee'!CV83&gt;0,"✔","-")</f>
        <v>✔</v>
      </c>
      <c r="AQ77" s="141" t="str">
        <f>IF('Design Fee'!CW83&gt;0,"✔","-")</f>
        <v>-</v>
      </c>
      <c r="AR77" s="141" t="str">
        <f>IF('Design Fee'!CY83&gt;0,"✔","-")</f>
        <v>-</v>
      </c>
      <c r="AS77" s="141" t="str">
        <f>IF('Design Fee'!CZ83&gt;0,"✔","-")</f>
        <v>-</v>
      </c>
      <c r="AT77" s="141" t="str">
        <f>IF('Design Fee'!DA83&gt;0,"✔","-")</f>
        <v>-</v>
      </c>
      <c r="AU77" s="141" t="str">
        <f>IF('Design Fee'!DB83&gt;0,"✔","-")</f>
        <v>-</v>
      </c>
      <c r="AV77" s="141" t="str">
        <f>IF('Design Fee'!DC83&gt;0,"✔","-")</f>
        <v>-</v>
      </c>
      <c r="AW77" s="589"/>
      <c r="AX77" s="141" t="str">
        <f>IF('Design Fee'!DX83&gt;0,"✔","-")</f>
        <v>✔</v>
      </c>
      <c r="AY77" s="590"/>
      <c r="AZ77" s="141" t="str">
        <f>IF('Design Fee'!EC83&gt;0,"✔","-")</f>
        <v>✔</v>
      </c>
      <c r="BA77" s="141" t="str">
        <f>IF('Design Fee'!ED83&gt;0,"✔","-")</f>
        <v>-</v>
      </c>
      <c r="BB77" s="141" t="str">
        <f>IF('Design Fee'!EE83&gt;0,"✔","-")</f>
        <v>-</v>
      </c>
      <c r="BC77" s="141" t="str">
        <f>IF('Design Fee'!EF83&gt;0,"✔","-")</f>
        <v>✔</v>
      </c>
      <c r="BD77" s="141" t="str">
        <f>IF('Design Fee'!EG83&gt;0,"✔","-")</f>
        <v>-</v>
      </c>
      <c r="BE77" s="141" t="str">
        <f>IF('Design Fee'!EI83&gt;0,"✔","-")</f>
        <v>-</v>
      </c>
      <c r="BF77" s="141" t="str">
        <f>IF('Design Fee'!EJ83&gt;0,"✔","-")</f>
        <v>-</v>
      </c>
      <c r="BG77" s="141" t="str">
        <f>IF('Design Fee'!EK83&gt;0,"✔","-")</f>
        <v>-</v>
      </c>
      <c r="BH77" s="141" t="str">
        <f>IF('Design Fee'!EL83&gt;0,"✔","-")</f>
        <v>-</v>
      </c>
      <c r="BI77" s="141" t="str">
        <f>IF('Design Fee'!EM83&gt;0,"✔","-")</f>
        <v>-</v>
      </c>
      <c r="BJ77" s="86"/>
    </row>
    <row r="78" spans="1:62" ht="3" customHeight="1" outlineLevel="1">
      <c r="B78" s="86"/>
      <c r="C78" s="134"/>
      <c r="D78" s="134"/>
      <c r="E78" s="134"/>
      <c r="F78" s="325"/>
      <c r="G78" s="325"/>
      <c r="H78" s="325"/>
      <c r="I78" s="325"/>
      <c r="J78" s="134"/>
      <c r="K78" s="129"/>
      <c r="L78" s="123"/>
      <c r="M78" s="145"/>
      <c r="N78" s="145"/>
      <c r="O78" s="145"/>
      <c r="P78" s="145"/>
      <c r="Q78" s="145"/>
      <c r="R78" s="111"/>
      <c r="S78" s="111"/>
      <c r="T78" s="111"/>
      <c r="U78" s="111"/>
      <c r="V78" s="111"/>
      <c r="W78" s="127"/>
      <c r="X78" s="129"/>
      <c r="Y78" s="128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28"/>
      <c r="AK78" s="129"/>
      <c r="AL78" s="128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27"/>
      <c r="AX78" s="129"/>
      <c r="AY78" s="128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86"/>
    </row>
    <row r="79" spans="1:62" ht="13.35" customHeight="1" outlineLevel="1">
      <c r="B79" s="86"/>
      <c r="C79" s="114" t="s">
        <v>98</v>
      </c>
      <c r="D79" s="115" t="s">
        <v>99</v>
      </c>
      <c r="E79" s="321"/>
      <c r="F79" s="440">
        <f>SUM(F80:F83)</f>
        <v>10</v>
      </c>
      <c r="G79" s="440">
        <f t="shared" ref="G79:H79" si="25">SUM(G80:G83)</f>
        <v>0</v>
      </c>
      <c r="H79" s="440">
        <f t="shared" si="25"/>
        <v>0</v>
      </c>
      <c r="I79" s="454">
        <f t="shared" ref="I79" si="26">SUM(I80:I83)</f>
        <v>10</v>
      </c>
      <c r="J79" s="115"/>
      <c r="K79" s="546">
        <f>COUNTIF(K80:K83,"✔")</f>
        <v>4</v>
      </c>
      <c r="L79" s="117"/>
      <c r="M79" s="441">
        <f>COUNTIF(M80:M83,"✔")</f>
        <v>4</v>
      </c>
      <c r="N79" s="441">
        <f t="shared" ref="N79" si="27">COUNTIF(N80:N83,"✔")</f>
        <v>4</v>
      </c>
      <c r="O79" s="441">
        <f t="shared" ref="O79" si="28">COUNTIF(O80:O83,"✔")</f>
        <v>0</v>
      </c>
      <c r="P79" s="441">
        <f t="shared" ref="P79" si="29">COUNTIF(P80:P83,"✔")</f>
        <v>0</v>
      </c>
      <c r="Q79" s="441">
        <f t="shared" ref="Q79" si="30">COUNTIF(Q80:Q83,"✔")</f>
        <v>0</v>
      </c>
      <c r="R79" s="441">
        <f t="shared" ref="R79" si="31">COUNTIF(R80:R83,"✔")</f>
        <v>0</v>
      </c>
      <c r="S79" s="441">
        <f t="shared" ref="S79" si="32">COUNTIF(S80:S83,"✔")</f>
        <v>0</v>
      </c>
      <c r="T79" s="441">
        <f t="shared" ref="T79" si="33">COUNTIF(T80:T83,"✔")</f>
        <v>0</v>
      </c>
      <c r="U79" s="441">
        <f t="shared" ref="U79" si="34">COUNTIF(U80:U83,"✔")</f>
        <v>0</v>
      </c>
      <c r="V79" s="441">
        <f t="shared" ref="V79" si="35">COUNTIF(V80:V83,"✔")</f>
        <v>0</v>
      </c>
      <c r="W79" s="441"/>
      <c r="X79" s="546">
        <f>COUNTIF(X80:X83,"✔")</f>
        <v>2</v>
      </c>
      <c r="Y79" s="441"/>
      <c r="Z79" s="441">
        <f t="shared" ref="Z79" si="36">COUNTIF(Z80:Z83,"✔")</f>
        <v>2</v>
      </c>
      <c r="AA79" s="441">
        <f t="shared" ref="AA79" si="37">COUNTIF(AA80:AA83,"✔")</f>
        <v>2</v>
      </c>
      <c r="AB79" s="441">
        <f t="shared" ref="AB79" si="38">COUNTIF(AB80:AB83,"✔")</f>
        <v>0</v>
      </c>
      <c r="AC79" s="441">
        <f t="shared" ref="AC79" si="39">COUNTIF(AC80:AC83,"✔")</f>
        <v>0</v>
      </c>
      <c r="AD79" s="441">
        <f t="shared" ref="AD79" si="40">COUNTIF(AD80:AD83,"✔")</f>
        <v>0</v>
      </c>
      <c r="AE79" s="441">
        <f t="shared" ref="AE79" si="41">COUNTIF(AE80:AE83,"✔")</f>
        <v>0</v>
      </c>
      <c r="AF79" s="441">
        <f t="shared" ref="AF79" si="42">COUNTIF(AF80:AF83,"✔")</f>
        <v>0</v>
      </c>
      <c r="AG79" s="441">
        <f t="shared" ref="AG79" si="43">COUNTIF(AG80:AG83,"✔")</f>
        <v>0</v>
      </c>
      <c r="AH79" s="441">
        <f t="shared" ref="AH79" si="44">COUNTIF(AH80:AH83,"✔")</f>
        <v>0</v>
      </c>
      <c r="AI79" s="441">
        <f t="shared" ref="AI79" si="45">COUNTIF(AI80:AI83,"✔")</f>
        <v>0</v>
      </c>
      <c r="AJ79" s="441">
        <f t="shared" ref="AJ79:AL79" si="46">COUNTIF(AJ80:AJ83,"✔")</f>
        <v>0</v>
      </c>
      <c r="AK79" s="546">
        <f>COUNTIF(AK80:AK83,"✔")</f>
        <v>2</v>
      </c>
      <c r="AL79" s="441">
        <f t="shared" si="46"/>
        <v>0</v>
      </c>
      <c r="AM79" s="441">
        <f t="shared" ref="AM79" si="47">COUNTIF(AM80:AM83,"✔")</f>
        <v>2</v>
      </c>
      <c r="AN79" s="441">
        <f t="shared" ref="AN79" si="48">COUNTIF(AN80:AN83,"✔")</f>
        <v>0</v>
      </c>
      <c r="AO79" s="441">
        <f t="shared" ref="AO79" si="49">COUNTIF(AO80:AO83,"✔")</f>
        <v>1</v>
      </c>
      <c r="AP79" s="441">
        <f t="shared" ref="AP79" si="50">COUNTIF(AP80:AP83,"✔")</f>
        <v>1</v>
      </c>
      <c r="AQ79" s="441">
        <f t="shared" ref="AQ79" si="51">COUNTIF(AQ80:AQ83,"✔")</f>
        <v>0</v>
      </c>
      <c r="AR79" s="441">
        <f t="shared" ref="AR79" si="52">COUNTIF(AR80:AR83,"✔")</f>
        <v>0</v>
      </c>
      <c r="AS79" s="441">
        <f t="shared" ref="AS79" si="53">COUNTIF(AS80:AS83,"✔")</f>
        <v>0</v>
      </c>
      <c r="AT79" s="441">
        <f t="shared" ref="AT79" si="54">COUNTIF(AT80:AT83,"✔")</f>
        <v>0</v>
      </c>
      <c r="AU79" s="441">
        <f t="shared" ref="AU79" si="55">COUNTIF(AU80:AU83,"✔")</f>
        <v>0</v>
      </c>
      <c r="AV79" s="441">
        <f t="shared" ref="AV79" si="56">COUNTIF(AV80:AV83,"✔")</f>
        <v>0</v>
      </c>
      <c r="AW79" s="441">
        <f t="shared" ref="AW79" si="57">COUNTIF(AW80:AW83,"✔")</f>
        <v>0</v>
      </c>
      <c r="AX79" s="546">
        <f>COUNTIF(AX80:AX83,"✔")</f>
        <v>2</v>
      </c>
      <c r="AY79" s="441">
        <f t="shared" ref="AY79" si="58">COUNTIF(AY80:AY83,"✔")</f>
        <v>0</v>
      </c>
      <c r="AZ79" s="441">
        <f t="shared" ref="AZ79" si="59">COUNTIF(AZ80:AZ83,"✔")</f>
        <v>2</v>
      </c>
      <c r="BA79" s="441">
        <f t="shared" ref="BA79" si="60">COUNTIF(BA80:BA83,"✔")</f>
        <v>1</v>
      </c>
      <c r="BB79" s="441">
        <f t="shared" ref="BB79" si="61">COUNTIF(BB80:BB83,"✔")</f>
        <v>0</v>
      </c>
      <c r="BC79" s="441">
        <f t="shared" ref="BC79" si="62">COUNTIF(BC80:BC83,"✔")</f>
        <v>1</v>
      </c>
      <c r="BD79" s="441">
        <f t="shared" ref="BD79" si="63">COUNTIF(BD80:BD83,"✔")</f>
        <v>0</v>
      </c>
      <c r="BE79" s="441">
        <f t="shared" ref="BE79" si="64">COUNTIF(BE80:BE83,"✔")</f>
        <v>0</v>
      </c>
      <c r="BF79" s="441">
        <f t="shared" ref="BF79" si="65">COUNTIF(BF80:BF83,"✔")</f>
        <v>0</v>
      </c>
      <c r="BG79" s="441">
        <f t="shared" ref="BG79" si="66">COUNTIF(BG80:BG83,"✔")</f>
        <v>0</v>
      </c>
      <c r="BH79" s="441">
        <f t="shared" ref="BH79" si="67">COUNTIF(BH80:BH83,"✔")</f>
        <v>0</v>
      </c>
      <c r="BI79" s="441">
        <f t="shared" ref="BI79" si="68">COUNTIF(BI80:BI83,"✔")</f>
        <v>0</v>
      </c>
      <c r="BJ79" s="86"/>
    </row>
    <row r="80" spans="1:62" ht="11.85" customHeight="1" outlineLevel="2">
      <c r="B80" s="86"/>
      <c r="C80" s="140" t="s">
        <v>100</v>
      </c>
      <c r="D80" s="76" t="s">
        <v>25</v>
      </c>
      <c r="F80" s="585">
        <f>COUNTIF('Design Fee'!V86,"&gt;0")+COUNTIF('Design Fee'!BE86,"&gt;0")+COUNTIF('Design Fee'!CN86,"&gt;0")+COUNTIF('Design Fee'!DZ86,"&gt;0")</f>
        <v>3</v>
      </c>
      <c r="G80" s="585">
        <f>COUNTIF('Design Fee'!Y86,"&gt;0")+COUNTIF('Design Fee'!BH86,"&gt;0")+COUNTIF('Design Fee'!CQ86,"&gt;0")+COUNTIF('Design Fee'!EA86,"&gt;0")</f>
        <v>0</v>
      </c>
      <c r="H80" s="585">
        <f>COUNTIF('Design Fee'!Z86,"&gt;0")+COUNTIF('Design Fee'!BI86,"&gt;0")+COUNTIF('Design Fee'!CR86,"&gt;0")+COUNTIF('Design Fee'!EB86,"&gt;0")</f>
        <v>0</v>
      </c>
      <c r="I80" s="586">
        <f t="shared" ref="I80:I83" si="69">F80-G80</f>
        <v>3</v>
      </c>
      <c r="J80" s="587"/>
      <c r="K80" s="141" t="str">
        <f>IF('Design Fee'!V86&gt;0,"✔","-")</f>
        <v>✔</v>
      </c>
      <c r="L80" s="588"/>
      <c r="M80" s="141" t="str">
        <f>IF('Design Fee'!AA86&gt;0,"✔","-")</f>
        <v>✔</v>
      </c>
      <c r="N80" s="141" t="str">
        <f>IF('Design Fee'!AB86&gt;0,"✔","-")</f>
        <v>✔</v>
      </c>
      <c r="O80" s="141" t="str">
        <f>IF('Design Fee'!AC86&gt;0,"✔","-")</f>
        <v>-</v>
      </c>
      <c r="P80" s="141" t="str">
        <f>IF('Design Fee'!AD86&gt;0,"✔","-")</f>
        <v>-</v>
      </c>
      <c r="Q80" s="141" t="str">
        <f>IF('Design Fee'!AE86&gt;0,"✔","-")</f>
        <v>-</v>
      </c>
      <c r="R80" s="141" t="str">
        <f>IF('Design Fee'!AG86&gt;0,"✔","-")</f>
        <v>-</v>
      </c>
      <c r="S80" s="141" t="str">
        <f>IF('Design Fee'!AH86&gt;0,"✔","-")</f>
        <v>-</v>
      </c>
      <c r="T80" s="141" t="str">
        <f>IF('Design Fee'!AI86&gt;0,"✔","-")</f>
        <v>-</v>
      </c>
      <c r="U80" s="141" t="str">
        <f>IF('Design Fee'!AJ86&gt;0,"✔","-")</f>
        <v>-</v>
      </c>
      <c r="V80" s="141" t="str">
        <f>IF('Design Fee'!AK86&gt;0,"✔","-")</f>
        <v>-</v>
      </c>
      <c r="W80" s="589"/>
      <c r="X80" s="141" t="str">
        <f>IF('Design Fee'!BE86&gt;0,"✔","-")</f>
        <v>-</v>
      </c>
      <c r="Y80" s="590"/>
      <c r="Z80" s="141" t="str">
        <f>IF('Design Fee'!BJ86&gt;0,"✔","-")</f>
        <v>-</v>
      </c>
      <c r="AA80" s="141" t="str">
        <f>IF('Design Fee'!BK86&gt;0,"✔","-")</f>
        <v>-</v>
      </c>
      <c r="AB80" s="141" t="str">
        <f>IF('Design Fee'!BL86&gt;0,"✔","-")</f>
        <v>-</v>
      </c>
      <c r="AC80" s="141" t="str">
        <f>IF('Design Fee'!BM86&gt;0,"✔","-")</f>
        <v>-</v>
      </c>
      <c r="AD80" s="141" t="str">
        <f>IF('Design Fee'!BN86&gt;0,"✔","-")</f>
        <v>-</v>
      </c>
      <c r="AE80" s="141" t="str">
        <f>IF('Design Fee'!BP86&gt;0,"✔","-")</f>
        <v>-</v>
      </c>
      <c r="AF80" s="141" t="str">
        <f>IF('Design Fee'!BQ86&gt;0,"✔","-")</f>
        <v>-</v>
      </c>
      <c r="AG80" s="141" t="str">
        <f>IF('Design Fee'!BR86&gt;0,"✔","-")</f>
        <v>-</v>
      </c>
      <c r="AH80" s="141" t="str">
        <f>IF('Design Fee'!BS86&gt;0,"✔","-")</f>
        <v>-</v>
      </c>
      <c r="AI80" s="141" t="str">
        <f>IF('Design Fee'!BT86&gt;0,"✔","-")</f>
        <v>-</v>
      </c>
      <c r="AJ80" s="590"/>
      <c r="AK80" s="141" t="str">
        <f>IF('Design Fee'!CN86&gt;0,"✔","-")</f>
        <v>✔</v>
      </c>
      <c r="AL80" s="590"/>
      <c r="AM80" s="141" t="str">
        <f>IF('Design Fee'!CS86&gt;0,"✔","-")</f>
        <v>✔</v>
      </c>
      <c r="AN80" s="141" t="str">
        <f>IF('Design Fee'!CT86&gt;0,"✔","-")</f>
        <v>-</v>
      </c>
      <c r="AO80" s="141" t="str">
        <f>IF('Design Fee'!CU86&gt;0,"✔","-")</f>
        <v>✔</v>
      </c>
      <c r="AP80" s="141" t="str">
        <f>IF('Design Fee'!CV86&gt;0,"✔","-")</f>
        <v>-</v>
      </c>
      <c r="AQ80" s="141" t="str">
        <f>IF('Design Fee'!CW86&gt;0,"✔","-")</f>
        <v>-</v>
      </c>
      <c r="AR80" s="141" t="str">
        <f>IF('Design Fee'!CY86&gt;0,"✔","-")</f>
        <v>-</v>
      </c>
      <c r="AS80" s="141" t="str">
        <f>IF('Design Fee'!CZ86&gt;0,"✔","-")</f>
        <v>-</v>
      </c>
      <c r="AT80" s="141" t="str">
        <f>IF('Design Fee'!DA86&gt;0,"✔","-")</f>
        <v>-</v>
      </c>
      <c r="AU80" s="141" t="str">
        <f>IF('Design Fee'!DB86&gt;0,"✔","-")</f>
        <v>-</v>
      </c>
      <c r="AV80" s="141" t="str">
        <f>IF('Design Fee'!DC86&gt;0,"✔","-")</f>
        <v>-</v>
      </c>
      <c r="AW80" s="589"/>
      <c r="AX80" s="141" t="str">
        <f>IF('Design Fee'!DX86&gt;0,"✔","-")</f>
        <v>✔</v>
      </c>
      <c r="AY80" s="590"/>
      <c r="AZ80" s="141" t="str">
        <f>IF('Design Fee'!EC86&gt;0,"✔","-")</f>
        <v>✔</v>
      </c>
      <c r="BA80" s="141" t="str">
        <f>IF('Design Fee'!ED86&gt;0,"✔","-")</f>
        <v>✔</v>
      </c>
      <c r="BB80" s="141" t="str">
        <f>IF('Design Fee'!EE86&gt;0,"✔","-")</f>
        <v>-</v>
      </c>
      <c r="BC80" s="141" t="str">
        <f>IF('Design Fee'!EF86&gt;0,"✔","-")</f>
        <v>-</v>
      </c>
      <c r="BD80" s="141" t="str">
        <f>IF('Design Fee'!EG86&gt;0,"✔","-")</f>
        <v>-</v>
      </c>
      <c r="BE80" s="141" t="str">
        <f>IF('Design Fee'!EI86&gt;0,"✔","-")</f>
        <v>-</v>
      </c>
      <c r="BF80" s="141" t="str">
        <f>IF('Design Fee'!EJ86&gt;0,"✔","-")</f>
        <v>-</v>
      </c>
      <c r="BG80" s="141" t="str">
        <f>IF('Design Fee'!EK86&gt;0,"✔","-")</f>
        <v>-</v>
      </c>
      <c r="BH80" s="141" t="str">
        <f>IF('Design Fee'!EL86&gt;0,"✔","-")</f>
        <v>-</v>
      </c>
      <c r="BI80" s="141" t="str">
        <f>IF('Design Fee'!EM86&gt;0,"✔","-")</f>
        <v>-</v>
      </c>
      <c r="BJ80" s="86"/>
    </row>
    <row r="81" spans="2:62" ht="11.85" customHeight="1" outlineLevel="2">
      <c r="B81" s="86"/>
      <c r="C81" s="140" t="s">
        <v>101</v>
      </c>
      <c r="D81" s="76" t="s">
        <v>102</v>
      </c>
      <c r="F81" s="585">
        <f>COUNTIF('Design Fee'!V87,"&gt;0")+COUNTIF('Design Fee'!BE87,"&gt;0")+COUNTIF('Design Fee'!CN87,"&gt;0")+COUNTIF('Design Fee'!DZ87,"&gt;0")</f>
        <v>2</v>
      </c>
      <c r="G81" s="585">
        <f>COUNTIF('Design Fee'!Y87,"&gt;0")+COUNTIF('Design Fee'!BH87,"&gt;0")+COUNTIF('Design Fee'!CQ87,"&gt;0")+COUNTIF('Design Fee'!EA87,"&gt;0")</f>
        <v>0</v>
      </c>
      <c r="H81" s="585">
        <f>COUNTIF('Design Fee'!Z87,"&gt;0")+COUNTIF('Design Fee'!BI87,"&gt;0")+COUNTIF('Design Fee'!CR87,"&gt;0")+COUNTIF('Design Fee'!EB87,"&gt;0")</f>
        <v>0</v>
      </c>
      <c r="I81" s="586">
        <f t="shared" si="69"/>
        <v>2</v>
      </c>
      <c r="J81" s="587"/>
      <c r="K81" s="141" t="str">
        <f>IF('Design Fee'!V87&gt;0,"✔","-")</f>
        <v>✔</v>
      </c>
      <c r="L81" s="588"/>
      <c r="M81" s="141" t="str">
        <f>IF('Design Fee'!AA87&gt;0,"✔","-")</f>
        <v>✔</v>
      </c>
      <c r="N81" s="141" t="str">
        <f>IF('Design Fee'!AB87&gt;0,"✔","-")</f>
        <v>✔</v>
      </c>
      <c r="O81" s="141" t="str">
        <f>IF('Design Fee'!AC87&gt;0,"✔","-")</f>
        <v>-</v>
      </c>
      <c r="P81" s="141" t="str">
        <f>IF('Design Fee'!AD87&gt;0,"✔","-")</f>
        <v>-</v>
      </c>
      <c r="Q81" s="141" t="str">
        <f>IF('Design Fee'!AE87&gt;0,"✔","-")</f>
        <v>-</v>
      </c>
      <c r="R81" s="141" t="str">
        <f>IF('Design Fee'!AG87&gt;0,"✔","-")</f>
        <v>-</v>
      </c>
      <c r="S81" s="141" t="str">
        <f>IF('Design Fee'!AH87&gt;0,"✔","-")</f>
        <v>-</v>
      </c>
      <c r="T81" s="141" t="str">
        <f>IF('Design Fee'!AI87&gt;0,"✔","-")</f>
        <v>-</v>
      </c>
      <c r="U81" s="141" t="str">
        <f>IF('Design Fee'!AJ87&gt;0,"✔","-")</f>
        <v>-</v>
      </c>
      <c r="V81" s="141" t="str">
        <f>IF('Design Fee'!AK87&gt;0,"✔","-")</f>
        <v>-</v>
      </c>
      <c r="W81" s="589"/>
      <c r="X81" s="141" t="str">
        <f>IF('Design Fee'!BE87&gt;0,"✔","-")</f>
        <v>✔</v>
      </c>
      <c r="Y81" s="590"/>
      <c r="Z81" s="141" t="str">
        <f>IF('Design Fee'!BJ87&gt;0,"✔","-")</f>
        <v>✔</v>
      </c>
      <c r="AA81" s="141" t="str">
        <f>IF('Design Fee'!BK87&gt;0,"✔","-")</f>
        <v>✔</v>
      </c>
      <c r="AB81" s="141" t="str">
        <f>IF('Design Fee'!BL87&gt;0,"✔","-")</f>
        <v>-</v>
      </c>
      <c r="AC81" s="141" t="str">
        <f>IF('Design Fee'!BM87&gt;0,"✔","-")</f>
        <v>-</v>
      </c>
      <c r="AD81" s="141" t="str">
        <f>IF('Design Fee'!BN87&gt;0,"✔","-")</f>
        <v>-</v>
      </c>
      <c r="AE81" s="141" t="str">
        <f>IF('Design Fee'!BP87&gt;0,"✔","-")</f>
        <v>-</v>
      </c>
      <c r="AF81" s="141" t="str">
        <f>IF('Design Fee'!BQ87&gt;0,"✔","-")</f>
        <v>-</v>
      </c>
      <c r="AG81" s="141" t="str">
        <f>IF('Design Fee'!BR87&gt;0,"✔","-")</f>
        <v>-</v>
      </c>
      <c r="AH81" s="141" t="str">
        <f>IF('Design Fee'!BS87&gt;0,"✔","-")</f>
        <v>-</v>
      </c>
      <c r="AI81" s="141" t="str">
        <f>IF('Design Fee'!BT87&gt;0,"✔","-")</f>
        <v>-</v>
      </c>
      <c r="AJ81" s="590"/>
      <c r="AK81" s="141" t="str">
        <f>IF('Design Fee'!CN87&gt;0,"✔","-")</f>
        <v>-</v>
      </c>
      <c r="AL81" s="590"/>
      <c r="AM81" s="141" t="str">
        <f>IF('Design Fee'!CS87&gt;0,"✔","-")</f>
        <v>-</v>
      </c>
      <c r="AN81" s="141" t="str">
        <f>IF('Design Fee'!CT87&gt;0,"✔","-")</f>
        <v>-</v>
      </c>
      <c r="AO81" s="141" t="str">
        <f>IF('Design Fee'!CU87&gt;0,"✔","-")</f>
        <v>-</v>
      </c>
      <c r="AP81" s="141" t="str">
        <f>IF('Design Fee'!CV87&gt;0,"✔","-")</f>
        <v>-</v>
      </c>
      <c r="AQ81" s="141" t="str">
        <f>IF('Design Fee'!CW87&gt;0,"✔","-")</f>
        <v>-</v>
      </c>
      <c r="AR81" s="141" t="str">
        <f>IF('Design Fee'!CY87&gt;0,"✔","-")</f>
        <v>-</v>
      </c>
      <c r="AS81" s="141" t="str">
        <f>IF('Design Fee'!CZ87&gt;0,"✔","-")</f>
        <v>-</v>
      </c>
      <c r="AT81" s="141" t="str">
        <f>IF('Design Fee'!DA87&gt;0,"✔","-")</f>
        <v>-</v>
      </c>
      <c r="AU81" s="141" t="str">
        <f>IF('Design Fee'!DB87&gt;0,"✔","-")</f>
        <v>-</v>
      </c>
      <c r="AV81" s="141" t="str">
        <f>IF('Design Fee'!DC87&gt;0,"✔","-")</f>
        <v>-</v>
      </c>
      <c r="AW81" s="589"/>
      <c r="AX81" s="141" t="str">
        <f>IF('Design Fee'!DX87&gt;0,"✔","-")</f>
        <v>-</v>
      </c>
      <c r="AY81" s="590"/>
      <c r="AZ81" s="141" t="str">
        <f>IF('Design Fee'!EC87&gt;0,"✔","-")</f>
        <v>-</v>
      </c>
      <c r="BA81" s="141" t="str">
        <f>IF('Design Fee'!ED87&gt;0,"✔","-")</f>
        <v>-</v>
      </c>
      <c r="BB81" s="141" t="str">
        <f>IF('Design Fee'!EE87&gt;0,"✔","-")</f>
        <v>-</v>
      </c>
      <c r="BC81" s="141" t="str">
        <f>IF('Design Fee'!EF87&gt;0,"✔","-")</f>
        <v>-</v>
      </c>
      <c r="BD81" s="141" t="str">
        <f>IF('Design Fee'!EG87&gt;0,"✔","-")</f>
        <v>-</v>
      </c>
      <c r="BE81" s="141" t="str">
        <f>IF('Design Fee'!EI87&gt;0,"✔","-")</f>
        <v>-</v>
      </c>
      <c r="BF81" s="141" t="str">
        <f>IF('Design Fee'!EJ87&gt;0,"✔","-")</f>
        <v>-</v>
      </c>
      <c r="BG81" s="141" t="str">
        <f>IF('Design Fee'!EK87&gt;0,"✔","-")</f>
        <v>-</v>
      </c>
      <c r="BH81" s="141" t="str">
        <f>IF('Design Fee'!EL87&gt;0,"✔","-")</f>
        <v>-</v>
      </c>
      <c r="BI81" s="141" t="str">
        <f>IF('Design Fee'!EM87&gt;0,"✔","-")</f>
        <v>-</v>
      </c>
      <c r="BJ81" s="86"/>
    </row>
    <row r="82" spans="2:62" ht="11.85" customHeight="1" outlineLevel="2">
      <c r="B82" s="86"/>
      <c r="C82" s="140" t="s">
        <v>103</v>
      </c>
      <c r="D82" s="76" t="s">
        <v>104</v>
      </c>
      <c r="F82" s="585">
        <f>COUNTIF('Design Fee'!V88,"&gt;0")+COUNTIF('Design Fee'!BE88,"&gt;0")+COUNTIF('Design Fee'!CN88,"&gt;0")+COUNTIF('Design Fee'!DZ88,"&gt;0")</f>
        <v>3</v>
      </c>
      <c r="G82" s="585">
        <f>COUNTIF('Design Fee'!Y88,"&gt;0")+COUNTIF('Design Fee'!BH88,"&gt;0")+COUNTIF('Design Fee'!CQ88,"&gt;0")+COUNTIF('Design Fee'!EA88,"&gt;0")</f>
        <v>0</v>
      </c>
      <c r="H82" s="585">
        <f>COUNTIF('Design Fee'!Z88,"&gt;0")+COUNTIF('Design Fee'!BI88,"&gt;0")+COUNTIF('Design Fee'!CR88,"&gt;0")+COUNTIF('Design Fee'!EB88,"&gt;0")</f>
        <v>0</v>
      </c>
      <c r="I82" s="586">
        <f t="shared" si="69"/>
        <v>3</v>
      </c>
      <c r="J82" s="587"/>
      <c r="K82" s="141" t="str">
        <f>IF('Design Fee'!V88&gt;0,"✔","-")</f>
        <v>✔</v>
      </c>
      <c r="L82" s="588"/>
      <c r="M82" s="141" t="str">
        <f>IF('Design Fee'!AA88&gt;0,"✔","-")</f>
        <v>✔</v>
      </c>
      <c r="N82" s="141" t="str">
        <f>IF('Design Fee'!AB88&gt;0,"✔","-")</f>
        <v>✔</v>
      </c>
      <c r="O82" s="141" t="str">
        <f>IF('Design Fee'!AC88&gt;0,"✔","-")</f>
        <v>-</v>
      </c>
      <c r="P82" s="141" t="str">
        <f>IF('Design Fee'!AD88&gt;0,"✔","-")</f>
        <v>-</v>
      </c>
      <c r="Q82" s="141" t="str">
        <f>IF('Design Fee'!AE88&gt;0,"✔","-")</f>
        <v>-</v>
      </c>
      <c r="R82" s="141" t="str">
        <f>IF('Design Fee'!AG88&gt;0,"✔","-")</f>
        <v>-</v>
      </c>
      <c r="S82" s="141" t="str">
        <f>IF('Design Fee'!AH88&gt;0,"✔","-")</f>
        <v>-</v>
      </c>
      <c r="T82" s="141" t="str">
        <f>IF('Design Fee'!AI88&gt;0,"✔","-")</f>
        <v>-</v>
      </c>
      <c r="U82" s="141" t="str">
        <f>IF('Design Fee'!AJ88&gt;0,"✔","-")</f>
        <v>-</v>
      </c>
      <c r="V82" s="141" t="str">
        <f>IF('Design Fee'!AK88&gt;0,"✔","-")</f>
        <v>-</v>
      </c>
      <c r="W82" s="589"/>
      <c r="X82" s="141" t="str">
        <f>IF('Design Fee'!BE88&gt;0,"✔","-")</f>
        <v>✔</v>
      </c>
      <c r="Y82" s="590"/>
      <c r="Z82" s="141" t="str">
        <f>IF('Design Fee'!BJ88&gt;0,"✔","-")</f>
        <v>✔</v>
      </c>
      <c r="AA82" s="141" t="str">
        <f>IF('Design Fee'!BK88&gt;0,"✔","-")</f>
        <v>✔</v>
      </c>
      <c r="AB82" s="141" t="str">
        <f>IF('Design Fee'!BL88&gt;0,"✔","-")</f>
        <v>-</v>
      </c>
      <c r="AC82" s="141" t="str">
        <f>IF('Design Fee'!BM88&gt;0,"✔","-")</f>
        <v>-</v>
      </c>
      <c r="AD82" s="141" t="str">
        <f>IF('Design Fee'!BN88&gt;0,"✔","-")</f>
        <v>-</v>
      </c>
      <c r="AE82" s="141" t="str">
        <f>IF('Design Fee'!BP88&gt;0,"✔","-")</f>
        <v>-</v>
      </c>
      <c r="AF82" s="141" t="str">
        <f>IF('Design Fee'!BQ88&gt;0,"✔","-")</f>
        <v>-</v>
      </c>
      <c r="AG82" s="141" t="str">
        <f>IF('Design Fee'!BR88&gt;0,"✔","-")</f>
        <v>-</v>
      </c>
      <c r="AH82" s="141" t="str">
        <f>IF('Design Fee'!BS88&gt;0,"✔","-")</f>
        <v>-</v>
      </c>
      <c r="AI82" s="141" t="str">
        <f>IF('Design Fee'!BT88&gt;0,"✔","-")</f>
        <v>-</v>
      </c>
      <c r="AJ82" s="590"/>
      <c r="AK82" s="141" t="str">
        <f>IF('Design Fee'!CN88&gt;0,"✔","-")</f>
        <v>✔</v>
      </c>
      <c r="AL82" s="590"/>
      <c r="AM82" s="141" t="str">
        <f>IF('Design Fee'!CS88&gt;0,"✔","-")</f>
        <v>✔</v>
      </c>
      <c r="AN82" s="141" t="str">
        <f>IF('Design Fee'!CT88&gt;0,"✔","-")</f>
        <v>-</v>
      </c>
      <c r="AO82" s="141" t="str">
        <f>IF('Design Fee'!CU88&gt;0,"✔","-")</f>
        <v>-</v>
      </c>
      <c r="AP82" s="141" t="str">
        <f>IF('Design Fee'!CV88&gt;0,"✔","-")</f>
        <v>✔</v>
      </c>
      <c r="AQ82" s="141" t="str">
        <f>IF('Design Fee'!CW88&gt;0,"✔","-")</f>
        <v>-</v>
      </c>
      <c r="AR82" s="141" t="str">
        <f>IF('Design Fee'!CY88&gt;0,"✔","-")</f>
        <v>-</v>
      </c>
      <c r="AS82" s="141" t="str">
        <f>IF('Design Fee'!CZ88&gt;0,"✔","-")</f>
        <v>-</v>
      </c>
      <c r="AT82" s="141" t="str">
        <f>IF('Design Fee'!DA88&gt;0,"✔","-")</f>
        <v>-</v>
      </c>
      <c r="AU82" s="141" t="str">
        <f>IF('Design Fee'!DB88&gt;0,"✔","-")</f>
        <v>-</v>
      </c>
      <c r="AV82" s="141" t="str">
        <f>IF('Design Fee'!DC88&gt;0,"✔","-")</f>
        <v>-</v>
      </c>
      <c r="AW82" s="589"/>
      <c r="AX82" s="141" t="str">
        <f>IF('Design Fee'!DX88&gt;0,"✔","-")</f>
        <v>-</v>
      </c>
      <c r="AY82" s="590"/>
      <c r="AZ82" s="141" t="str">
        <f>IF('Design Fee'!EC88&gt;0,"✔","-")</f>
        <v>-</v>
      </c>
      <c r="BA82" s="141" t="str">
        <f>IF('Design Fee'!ED88&gt;0,"✔","-")</f>
        <v>-</v>
      </c>
      <c r="BB82" s="141" t="str">
        <f>IF('Design Fee'!EE88&gt;0,"✔","-")</f>
        <v>-</v>
      </c>
      <c r="BC82" s="141" t="str">
        <f>IF('Design Fee'!EF88&gt;0,"✔","-")</f>
        <v>-</v>
      </c>
      <c r="BD82" s="141" t="str">
        <f>IF('Design Fee'!EG88&gt;0,"✔","-")</f>
        <v>-</v>
      </c>
      <c r="BE82" s="141" t="str">
        <f>IF('Design Fee'!EI88&gt;0,"✔","-")</f>
        <v>-</v>
      </c>
      <c r="BF82" s="141" t="str">
        <f>IF('Design Fee'!EJ88&gt;0,"✔","-")</f>
        <v>-</v>
      </c>
      <c r="BG82" s="141" t="str">
        <f>IF('Design Fee'!EK88&gt;0,"✔","-")</f>
        <v>-</v>
      </c>
      <c r="BH82" s="141" t="str">
        <f>IF('Design Fee'!EL88&gt;0,"✔","-")</f>
        <v>-</v>
      </c>
      <c r="BI82" s="141" t="str">
        <f>IF('Design Fee'!EM88&gt;0,"✔","-")</f>
        <v>-</v>
      </c>
      <c r="BJ82" s="86"/>
    </row>
    <row r="83" spans="2:62" ht="11.85" customHeight="1" outlineLevel="2">
      <c r="B83" s="86"/>
      <c r="C83" s="140" t="s">
        <v>105</v>
      </c>
      <c r="D83" s="76" t="s">
        <v>106</v>
      </c>
      <c r="F83" s="585">
        <f>COUNTIF('Design Fee'!V89,"&gt;0")+COUNTIF('Design Fee'!BE89,"&gt;0")+COUNTIF('Design Fee'!CN89,"&gt;0")+COUNTIF('Design Fee'!DZ89,"&gt;0")</f>
        <v>2</v>
      </c>
      <c r="G83" s="585">
        <f>COUNTIF('Design Fee'!Y89,"&gt;0")+COUNTIF('Design Fee'!BH89,"&gt;0")+COUNTIF('Design Fee'!CQ89,"&gt;0")+COUNTIF('Design Fee'!EA89,"&gt;0")</f>
        <v>0</v>
      </c>
      <c r="H83" s="585">
        <f>COUNTIF('Design Fee'!Z89,"&gt;0")+COUNTIF('Design Fee'!BI89,"&gt;0")+COUNTIF('Design Fee'!CR89,"&gt;0")+COUNTIF('Design Fee'!EB89,"&gt;0")</f>
        <v>0</v>
      </c>
      <c r="I83" s="586">
        <f t="shared" si="69"/>
        <v>2</v>
      </c>
      <c r="J83" s="587"/>
      <c r="K83" s="141" t="str">
        <f>IF('Design Fee'!V89&gt;0,"✔","-")</f>
        <v>✔</v>
      </c>
      <c r="L83" s="588"/>
      <c r="M83" s="141" t="str">
        <f>IF('Design Fee'!AA89&gt;0,"✔","-")</f>
        <v>✔</v>
      </c>
      <c r="N83" s="141" t="str">
        <f>IF('Design Fee'!AB89&gt;0,"✔","-")</f>
        <v>✔</v>
      </c>
      <c r="O83" s="141" t="str">
        <f>IF('Design Fee'!AC89&gt;0,"✔","-")</f>
        <v>-</v>
      </c>
      <c r="P83" s="141" t="str">
        <f>IF('Design Fee'!AD89&gt;0,"✔","-")</f>
        <v>-</v>
      </c>
      <c r="Q83" s="141" t="str">
        <f>IF('Design Fee'!AE89&gt;0,"✔","-")</f>
        <v>-</v>
      </c>
      <c r="R83" s="141" t="str">
        <f>IF('Design Fee'!AG89&gt;0,"✔","-")</f>
        <v>-</v>
      </c>
      <c r="S83" s="141" t="str">
        <f>IF('Design Fee'!AH89&gt;0,"✔","-")</f>
        <v>-</v>
      </c>
      <c r="T83" s="141" t="str">
        <f>IF('Design Fee'!AI89&gt;0,"✔","-")</f>
        <v>-</v>
      </c>
      <c r="U83" s="141" t="str">
        <f>IF('Design Fee'!AJ89&gt;0,"✔","-")</f>
        <v>-</v>
      </c>
      <c r="V83" s="141" t="str">
        <f>IF('Design Fee'!AK89&gt;0,"✔","-")</f>
        <v>-</v>
      </c>
      <c r="W83" s="589"/>
      <c r="X83" s="141" t="str">
        <f>IF('Design Fee'!BE89&gt;0,"✔","-")</f>
        <v>-</v>
      </c>
      <c r="Y83" s="590"/>
      <c r="Z83" s="141" t="str">
        <f>IF('Design Fee'!BJ89&gt;0,"✔","-")</f>
        <v>-</v>
      </c>
      <c r="AA83" s="141" t="str">
        <f>IF('Design Fee'!BK89&gt;0,"✔","-")</f>
        <v>-</v>
      </c>
      <c r="AB83" s="141" t="str">
        <f>IF('Design Fee'!BL89&gt;0,"✔","-")</f>
        <v>-</v>
      </c>
      <c r="AC83" s="141" t="str">
        <f>IF('Design Fee'!BM89&gt;0,"✔","-")</f>
        <v>-</v>
      </c>
      <c r="AD83" s="141" t="str">
        <f>IF('Design Fee'!BN89&gt;0,"✔","-")</f>
        <v>-</v>
      </c>
      <c r="AE83" s="141" t="str">
        <f>IF('Design Fee'!BP89&gt;0,"✔","-")</f>
        <v>-</v>
      </c>
      <c r="AF83" s="141" t="str">
        <f>IF('Design Fee'!BQ89&gt;0,"✔","-")</f>
        <v>-</v>
      </c>
      <c r="AG83" s="141" t="str">
        <f>IF('Design Fee'!BR89&gt;0,"✔","-")</f>
        <v>-</v>
      </c>
      <c r="AH83" s="141" t="str">
        <f>IF('Design Fee'!BS89&gt;0,"✔","-")</f>
        <v>-</v>
      </c>
      <c r="AI83" s="141" t="str">
        <f>IF('Design Fee'!BT89&gt;0,"✔","-")</f>
        <v>-</v>
      </c>
      <c r="AJ83" s="590"/>
      <c r="AK83" s="141" t="str">
        <f>IF('Design Fee'!CN89&gt;0,"✔","-")</f>
        <v>-</v>
      </c>
      <c r="AL83" s="590"/>
      <c r="AM83" s="141" t="str">
        <f>IF('Design Fee'!CS89&gt;0,"✔","-")</f>
        <v>-</v>
      </c>
      <c r="AN83" s="141" t="str">
        <f>IF('Design Fee'!CT89&gt;0,"✔","-")</f>
        <v>-</v>
      </c>
      <c r="AO83" s="141" t="str">
        <f>IF('Design Fee'!CU89&gt;0,"✔","-")</f>
        <v>-</v>
      </c>
      <c r="AP83" s="141" t="str">
        <f>IF('Design Fee'!CV89&gt;0,"✔","-")</f>
        <v>-</v>
      </c>
      <c r="AQ83" s="141" t="str">
        <f>IF('Design Fee'!CW89&gt;0,"✔","-")</f>
        <v>-</v>
      </c>
      <c r="AR83" s="141" t="str">
        <f>IF('Design Fee'!CY89&gt;0,"✔","-")</f>
        <v>-</v>
      </c>
      <c r="AS83" s="141" t="str">
        <f>IF('Design Fee'!CZ89&gt;0,"✔","-")</f>
        <v>-</v>
      </c>
      <c r="AT83" s="141" t="str">
        <f>IF('Design Fee'!DA89&gt;0,"✔","-")</f>
        <v>-</v>
      </c>
      <c r="AU83" s="141" t="str">
        <f>IF('Design Fee'!DB89&gt;0,"✔","-")</f>
        <v>-</v>
      </c>
      <c r="AV83" s="141" t="str">
        <f>IF('Design Fee'!DC89&gt;0,"✔","-")</f>
        <v>-</v>
      </c>
      <c r="AW83" s="589"/>
      <c r="AX83" s="141" t="str">
        <f>IF('Design Fee'!DX89&gt;0,"✔","-")</f>
        <v>✔</v>
      </c>
      <c r="AY83" s="590"/>
      <c r="AZ83" s="141" t="str">
        <f>IF('Design Fee'!EC89&gt;0,"✔","-")</f>
        <v>✔</v>
      </c>
      <c r="BA83" s="141" t="str">
        <f>IF('Design Fee'!ED89&gt;0,"✔","-")</f>
        <v>-</v>
      </c>
      <c r="BB83" s="141" t="str">
        <f>IF('Design Fee'!EE89&gt;0,"✔","-")</f>
        <v>-</v>
      </c>
      <c r="BC83" s="141" t="str">
        <f>IF('Design Fee'!EF89&gt;0,"✔","-")</f>
        <v>✔</v>
      </c>
      <c r="BD83" s="141" t="str">
        <f>IF('Design Fee'!EG89&gt;0,"✔","-")</f>
        <v>-</v>
      </c>
      <c r="BE83" s="141" t="str">
        <f>IF('Design Fee'!EI89&gt;0,"✔","-")</f>
        <v>-</v>
      </c>
      <c r="BF83" s="141" t="str">
        <f>IF('Design Fee'!EJ89&gt;0,"✔","-")</f>
        <v>-</v>
      </c>
      <c r="BG83" s="141" t="str">
        <f>IF('Design Fee'!EK89&gt;0,"✔","-")</f>
        <v>-</v>
      </c>
      <c r="BH83" s="141" t="str">
        <f>IF('Design Fee'!EL89&gt;0,"✔","-")</f>
        <v>-</v>
      </c>
      <c r="BI83" s="141" t="str">
        <f>IF('Design Fee'!EM89&gt;0,"✔","-")</f>
        <v>-</v>
      </c>
      <c r="BJ83" s="86"/>
    </row>
    <row r="84" spans="2:62" ht="3" customHeight="1" outlineLevel="1">
      <c r="B84" s="86"/>
      <c r="C84" s="134"/>
      <c r="F84" s="322"/>
      <c r="G84" s="322"/>
      <c r="H84" s="322"/>
      <c r="I84" s="451"/>
      <c r="J84" s="76"/>
      <c r="K84" s="129"/>
      <c r="L84" s="123"/>
      <c r="M84" s="145"/>
      <c r="N84" s="145"/>
      <c r="O84" s="145"/>
      <c r="P84" s="145"/>
      <c r="Q84" s="145"/>
      <c r="R84" s="111"/>
      <c r="S84" s="111"/>
      <c r="T84" s="111"/>
      <c r="U84" s="111"/>
      <c r="V84" s="111"/>
      <c r="W84" s="143"/>
      <c r="X84" s="129"/>
      <c r="Y84" s="128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28"/>
      <c r="AK84" s="129"/>
      <c r="AL84" s="128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43"/>
      <c r="AX84" s="129"/>
      <c r="AY84" s="128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86"/>
    </row>
    <row r="85" spans="2:62" ht="11.85" customHeight="1" outlineLevel="1">
      <c r="B85" s="86"/>
      <c r="C85" s="114" t="s">
        <v>107</v>
      </c>
      <c r="D85" s="115" t="s">
        <v>108</v>
      </c>
      <c r="E85" s="321"/>
      <c r="F85" s="440">
        <f>SUM(F86:F90)</f>
        <v>8</v>
      </c>
      <c r="G85" s="440">
        <f t="shared" ref="G85:I85" si="70">SUM(G86:G90)</f>
        <v>0</v>
      </c>
      <c r="H85" s="440">
        <f t="shared" ref="H85" si="71">SUM(H86:H90)</f>
        <v>0</v>
      </c>
      <c r="I85" s="454">
        <f t="shared" si="70"/>
        <v>8</v>
      </c>
      <c r="J85" s="115"/>
      <c r="K85" s="546">
        <f>COUNTIF(K86:K90,"✔")</f>
        <v>3</v>
      </c>
      <c r="L85" s="117"/>
      <c r="M85" s="441">
        <f>COUNTIF(M86:M90,"✔")</f>
        <v>3</v>
      </c>
      <c r="N85" s="441">
        <f t="shared" ref="N85:V85" si="72">COUNTIF(N86:N90,"✔")</f>
        <v>2</v>
      </c>
      <c r="O85" s="441">
        <f t="shared" si="72"/>
        <v>1</v>
      </c>
      <c r="P85" s="441">
        <f t="shared" si="72"/>
        <v>0</v>
      </c>
      <c r="Q85" s="441">
        <f t="shared" si="72"/>
        <v>0</v>
      </c>
      <c r="R85" s="441">
        <f t="shared" si="72"/>
        <v>0</v>
      </c>
      <c r="S85" s="441">
        <f t="shared" si="72"/>
        <v>0</v>
      </c>
      <c r="T85" s="441">
        <f t="shared" si="72"/>
        <v>0</v>
      </c>
      <c r="U85" s="441">
        <f t="shared" si="72"/>
        <v>0</v>
      </c>
      <c r="V85" s="441">
        <f t="shared" si="72"/>
        <v>0</v>
      </c>
      <c r="W85" s="442"/>
      <c r="X85" s="546">
        <f>COUNTIF(X86:X90,"✔")</f>
        <v>0</v>
      </c>
      <c r="Y85" s="443"/>
      <c r="Z85" s="441">
        <f t="shared" ref="Z85:AV85" si="73">COUNTIF(Z86:Z90,"✔")</f>
        <v>0</v>
      </c>
      <c r="AA85" s="441">
        <f t="shared" si="73"/>
        <v>0</v>
      </c>
      <c r="AB85" s="441">
        <f t="shared" si="73"/>
        <v>0</v>
      </c>
      <c r="AC85" s="441">
        <f t="shared" si="73"/>
        <v>0</v>
      </c>
      <c r="AD85" s="441">
        <f t="shared" si="73"/>
        <v>0</v>
      </c>
      <c r="AE85" s="441">
        <f t="shared" si="73"/>
        <v>0</v>
      </c>
      <c r="AF85" s="441">
        <f t="shared" si="73"/>
        <v>0</v>
      </c>
      <c r="AG85" s="441">
        <f t="shared" si="73"/>
        <v>0</v>
      </c>
      <c r="AH85" s="441">
        <f t="shared" si="73"/>
        <v>0</v>
      </c>
      <c r="AI85" s="441">
        <f t="shared" si="73"/>
        <v>0</v>
      </c>
      <c r="AJ85" s="441">
        <f t="shared" ref="AJ85" si="74">COUNTIF(AJ86:AJ90,"✔")</f>
        <v>0</v>
      </c>
      <c r="AK85" s="546">
        <f>COUNTIF(AK86:AK90,"✔")</f>
        <v>2</v>
      </c>
      <c r="AL85" s="441">
        <f t="shared" si="73"/>
        <v>0</v>
      </c>
      <c r="AM85" s="441">
        <f t="shared" si="73"/>
        <v>2</v>
      </c>
      <c r="AN85" s="441">
        <f t="shared" si="73"/>
        <v>0</v>
      </c>
      <c r="AO85" s="441">
        <f t="shared" si="73"/>
        <v>1</v>
      </c>
      <c r="AP85" s="441">
        <f t="shared" si="73"/>
        <v>1</v>
      </c>
      <c r="AQ85" s="441">
        <f t="shared" si="73"/>
        <v>0</v>
      </c>
      <c r="AR85" s="441">
        <f t="shared" si="73"/>
        <v>0</v>
      </c>
      <c r="AS85" s="441">
        <f t="shared" si="73"/>
        <v>0</v>
      </c>
      <c r="AT85" s="441">
        <f t="shared" si="73"/>
        <v>0</v>
      </c>
      <c r="AU85" s="441">
        <f t="shared" si="73"/>
        <v>0</v>
      </c>
      <c r="AV85" s="441">
        <f t="shared" si="73"/>
        <v>0</v>
      </c>
      <c r="AW85" s="441">
        <f t="shared" ref="AW85:BI85" si="75">COUNTIF(AW86:AW90,"✔")</f>
        <v>0</v>
      </c>
      <c r="AX85" s="546">
        <f>COUNTIF(AX86:AX90,"✔")</f>
        <v>3</v>
      </c>
      <c r="AY85" s="441">
        <f t="shared" si="75"/>
        <v>0</v>
      </c>
      <c r="AZ85" s="441">
        <f t="shared" si="75"/>
        <v>3</v>
      </c>
      <c r="BA85" s="441">
        <f t="shared" si="75"/>
        <v>0</v>
      </c>
      <c r="BB85" s="441">
        <f t="shared" si="75"/>
        <v>2</v>
      </c>
      <c r="BC85" s="441">
        <f t="shared" si="75"/>
        <v>1</v>
      </c>
      <c r="BD85" s="441">
        <f t="shared" si="75"/>
        <v>0</v>
      </c>
      <c r="BE85" s="441">
        <f t="shared" si="75"/>
        <v>0</v>
      </c>
      <c r="BF85" s="441">
        <f t="shared" si="75"/>
        <v>0</v>
      </c>
      <c r="BG85" s="441">
        <f t="shared" si="75"/>
        <v>0</v>
      </c>
      <c r="BH85" s="441">
        <f t="shared" si="75"/>
        <v>0</v>
      </c>
      <c r="BI85" s="441">
        <f t="shared" si="75"/>
        <v>0</v>
      </c>
      <c r="BJ85" s="86"/>
    </row>
    <row r="86" spans="2:62" ht="11.85" customHeight="1" outlineLevel="2">
      <c r="B86" s="86"/>
      <c r="C86" s="140" t="s">
        <v>109</v>
      </c>
      <c r="D86" s="76" t="s">
        <v>110</v>
      </c>
      <c r="F86" s="585">
        <f>COUNTIF('Design Fee'!V92,"&gt;0")+COUNTIF('Design Fee'!BE92,"&gt;0")+COUNTIF('Design Fee'!CN92,"&gt;0")+COUNTIF('Design Fee'!DZ92,"&gt;0")</f>
        <v>0</v>
      </c>
      <c r="G86" s="585">
        <f>COUNTIF('Design Fee'!Y92,"&gt;0")+COUNTIF('Design Fee'!BH92,"&gt;0")+COUNTIF('Design Fee'!CQ92,"&gt;0")+COUNTIF('Design Fee'!EA92,"&gt;0")</f>
        <v>0</v>
      </c>
      <c r="H86" s="585">
        <f>COUNTIF('Design Fee'!Z92,"&gt;0")+COUNTIF('Design Fee'!BI92,"&gt;0")+COUNTIF('Design Fee'!CR92,"&gt;0")+COUNTIF('Design Fee'!EB92,"&gt;0")</f>
        <v>0</v>
      </c>
      <c r="I86" s="586">
        <f t="shared" ref="I86:I90" si="76">F86-G86</f>
        <v>0</v>
      </c>
      <c r="J86" s="587"/>
      <c r="K86" s="141" t="str">
        <f>IF('Design Fee'!V92&gt;0,"✔","-")</f>
        <v>-</v>
      </c>
      <c r="L86" s="588"/>
      <c r="M86" s="141" t="str">
        <f>IF('Design Fee'!AA92&gt;0,"✔","-")</f>
        <v>-</v>
      </c>
      <c r="N86" s="141" t="str">
        <f>IF('Design Fee'!AB92&gt;0,"✔","-")</f>
        <v>-</v>
      </c>
      <c r="O86" s="141" t="str">
        <f>IF('Design Fee'!AC92&gt;0,"✔","-")</f>
        <v>-</v>
      </c>
      <c r="P86" s="141" t="str">
        <f>IF('Design Fee'!AD92&gt;0,"✔","-")</f>
        <v>-</v>
      </c>
      <c r="Q86" s="141" t="str">
        <f>IF('Design Fee'!AE92&gt;0,"✔","-")</f>
        <v>-</v>
      </c>
      <c r="R86" s="141" t="str">
        <f>IF('Design Fee'!AG92&gt;0,"✔","-")</f>
        <v>-</v>
      </c>
      <c r="S86" s="141" t="str">
        <f>IF('Design Fee'!AH92&gt;0,"✔","-")</f>
        <v>-</v>
      </c>
      <c r="T86" s="141" t="str">
        <f>IF('Design Fee'!AI92&gt;0,"✔","-")</f>
        <v>-</v>
      </c>
      <c r="U86" s="141" t="str">
        <f>IF('Design Fee'!AJ92&gt;0,"✔","-")</f>
        <v>-</v>
      </c>
      <c r="V86" s="141" t="str">
        <f>IF('Design Fee'!AK92&gt;0,"✔","-")</f>
        <v>-</v>
      </c>
      <c r="W86" s="589"/>
      <c r="X86" s="141" t="str">
        <f>IF('Design Fee'!BE92&gt;0,"✔","-")</f>
        <v>-</v>
      </c>
      <c r="Y86" s="590"/>
      <c r="Z86" s="141" t="str">
        <f>IF('Design Fee'!BJ92&gt;0,"✔","-")</f>
        <v>-</v>
      </c>
      <c r="AA86" s="141" t="str">
        <f>IF('Design Fee'!BK92&gt;0,"✔","-")</f>
        <v>-</v>
      </c>
      <c r="AB86" s="141" t="str">
        <f>IF('Design Fee'!BL92&gt;0,"✔","-")</f>
        <v>-</v>
      </c>
      <c r="AC86" s="141" t="str">
        <f>IF('Design Fee'!BM92&gt;0,"✔","-")</f>
        <v>-</v>
      </c>
      <c r="AD86" s="141" t="str">
        <f>IF('Design Fee'!BN92&gt;0,"✔","-")</f>
        <v>-</v>
      </c>
      <c r="AE86" s="141" t="str">
        <f>IF('Design Fee'!BP92&gt;0,"✔","-")</f>
        <v>-</v>
      </c>
      <c r="AF86" s="141" t="str">
        <f>IF('Design Fee'!BQ92&gt;0,"✔","-")</f>
        <v>-</v>
      </c>
      <c r="AG86" s="141" t="str">
        <f>IF('Design Fee'!BR92&gt;0,"✔","-")</f>
        <v>-</v>
      </c>
      <c r="AH86" s="141" t="str">
        <f>IF('Design Fee'!BS92&gt;0,"✔","-")</f>
        <v>-</v>
      </c>
      <c r="AI86" s="141" t="str">
        <f>IF('Design Fee'!BT92&gt;0,"✔","-")</f>
        <v>-</v>
      </c>
      <c r="AJ86" s="590"/>
      <c r="AK86" s="141" t="str">
        <f>IF('Design Fee'!CN92&gt;0,"✔","-")</f>
        <v>-</v>
      </c>
      <c r="AL86" s="590"/>
      <c r="AM86" s="141" t="str">
        <f>IF('Design Fee'!CS92&gt;0,"✔","-")</f>
        <v>-</v>
      </c>
      <c r="AN86" s="141" t="str">
        <f>IF('Design Fee'!CT92&gt;0,"✔","-")</f>
        <v>-</v>
      </c>
      <c r="AO86" s="141" t="str">
        <f>IF('Design Fee'!CU92&gt;0,"✔","-")</f>
        <v>-</v>
      </c>
      <c r="AP86" s="141" t="str">
        <f>IF('Design Fee'!CV92&gt;0,"✔","-")</f>
        <v>-</v>
      </c>
      <c r="AQ86" s="141" t="str">
        <f>IF('Design Fee'!CW92&gt;0,"✔","-")</f>
        <v>-</v>
      </c>
      <c r="AR86" s="141" t="str">
        <f>IF('Design Fee'!CY92&gt;0,"✔","-")</f>
        <v>-</v>
      </c>
      <c r="AS86" s="141" t="str">
        <f>IF('Design Fee'!CZ92&gt;0,"✔","-")</f>
        <v>-</v>
      </c>
      <c r="AT86" s="141" t="str">
        <f>IF('Design Fee'!DA92&gt;0,"✔","-")</f>
        <v>-</v>
      </c>
      <c r="AU86" s="141" t="str">
        <f>IF('Design Fee'!DB92&gt;0,"✔","-")</f>
        <v>-</v>
      </c>
      <c r="AV86" s="141" t="str">
        <f>IF('Design Fee'!DC92&gt;0,"✔","-")</f>
        <v>-</v>
      </c>
      <c r="AW86" s="589"/>
      <c r="AX86" s="141" t="str">
        <f>IF('Design Fee'!DX92&gt;0,"✔","-")</f>
        <v>-</v>
      </c>
      <c r="AY86" s="590"/>
      <c r="AZ86" s="141" t="str">
        <f>IF('Design Fee'!EC92&gt;0,"✔","-")</f>
        <v>-</v>
      </c>
      <c r="BA86" s="141" t="str">
        <f>IF('Design Fee'!ED92&gt;0,"✔","-")</f>
        <v>-</v>
      </c>
      <c r="BB86" s="141" t="str">
        <f>IF('Design Fee'!EE92&gt;0,"✔","-")</f>
        <v>-</v>
      </c>
      <c r="BC86" s="141" t="str">
        <f>IF('Design Fee'!EF92&gt;0,"✔","-")</f>
        <v>-</v>
      </c>
      <c r="BD86" s="141" t="str">
        <f>IF('Design Fee'!EG92&gt;0,"✔","-")</f>
        <v>-</v>
      </c>
      <c r="BE86" s="141" t="str">
        <f>IF('Design Fee'!EI92&gt;0,"✔","-")</f>
        <v>-</v>
      </c>
      <c r="BF86" s="141" t="str">
        <f>IF('Design Fee'!EJ92&gt;0,"✔","-")</f>
        <v>-</v>
      </c>
      <c r="BG86" s="141" t="str">
        <f>IF('Design Fee'!EK92&gt;0,"✔","-")</f>
        <v>-</v>
      </c>
      <c r="BH86" s="141" t="str">
        <f>IF('Design Fee'!EL92&gt;0,"✔","-")</f>
        <v>-</v>
      </c>
      <c r="BI86" s="141" t="str">
        <f>IF('Design Fee'!EM92&gt;0,"✔","-")</f>
        <v>-</v>
      </c>
      <c r="BJ86" s="86"/>
    </row>
    <row r="87" spans="2:62" ht="11.85" customHeight="1" outlineLevel="2">
      <c r="B87" s="86"/>
      <c r="C87" s="140" t="s">
        <v>111</v>
      </c>
      <c r="D87" s="76" t="s">
        <v>112</v>
      </c>
      <c r="F87" s="585">
        <f>COUNTIF('Design Fee'!V93,"&gt;0")+COUNTIF('Design Fee'!BE93,"&gt;0")+COUNTIF('Design Fee'!CN93,"&gt;0")+COUNTIF('Design Fee'!DZ93,"&gt;0")</f>
        <v>3</v>
      </c>
      <c r="G87" s="585">
        <f>COUNTIF('Design Fee'!Y93,"&gt;0")+COUNTIF('Design Fee'!BH93,"&gt;0")+COUNTIF('Design Fee'!CQ93,"&gt;0")+COUNTIF('Design Fee'!EA93,"&gt;0")</f>
        <v>0</v>
      </c>
      <c r="H87" s="585">
        <f>COUNTIF('Design Fee'!Z93,"&gt;0")+COUNTIF('Design Fee'!BI93,"&gt;0")+COUNTIF('Design Fee'!CR93,"&gt;0")+COUNTIF('Design Fee'!EB93,"&gt;0")</f>
        <v>0</v>
      </c>
      <c r="I87" s="586">
        <f t="shared" si="76"/>
        <v>3</v>
      </c>
      <c r="J87" s="587"/>
      <c r="K87" s="141" t="str">
        <f>IF('Design Fee'!V93&gt;0,"✔","-")</f>
        <v>✔</v>
      </c>
      <c r="L87" s="588"/>
      <c r="M87" s="141" t="str">
        <f>IF('Design Fee'!AA93&gt;0,"✔","-")</f>
        <v>✔</v>
      </c>
      <c r="N87" s="141" t="str">
        <f>IF('Design Fee'!AB93&gt;0,"✔","-")</f>
        <v>-</v>
      </c>
      <c r="O87" s="141" t="str">
        <f>IF('Design Fee'!AC93&gt;0,"✔","-")</f>
        <v>✔</v>
      </c>
      <c r="P87" s="141" t="str">
        <f>IF('Design Fee'!AD93&gt;0,"✔","-")</f>
        <v>-</v>
      </c>
      <c r="Q87" s="141" t="str">
        <f>IF('Design Fee'!AE93&gt;0,"✔","-")</f>
        <v>-</v>
      </c>
      <c r="R87" s="141" t="str">
        <f>IF('Design Fee'!AG93&gt;0,"✔","-")</f>
        <v>-</v>
      </c>
      <c r="S87" s="141" t="str">
        <f>IF('Design Fee'!AH93&gt;0,"✔","-")</f>
        <v>-</v>
      </c>
      <c r="T87" s="141" t="str">
        <f>IF('Design Fee'!AI93&gt;0,"✔","-")</f>
        <v>-</v>
      </c>
      <c r="U87" s="141" t="str">
        <f>IF('Design Fee'!AJ93&gt;0,"✔","-")</f>
        <v>-</v>
      </c>
      <c r="V87" s="141" t="str">
        <f>IF('Design Fee'!AK93&gt;0,"✔","-")</f>
        <v>-</v>
      </c>
      <c r="W87" s="589"/>
      <c r="X87" s="141" t="str">
        <f>IF('Design Fee'!BE93&gt;0,"✔","-")</f>
        <v>-</v>
      </c>
      <c r="Y87" s="590"/>
      <c r="Z87" s="141" t="str">
        <f>IF('Design Fee'!BJ93&gt;0,"✔","-")</f>
        <v>-</v>
      </c>
      <c r="AA87" s="141" t="str">
        <f>IF('Design Fee'!BK93&gt;0,"✔","-")</f>
        <v>-</v>
      </c>
      <c r="AB87" s="141" t="str">
        <f>IF('Design Fee'!BL93&gt;0,"✔","-")</f>
        <v>-</v>
      </c>
      <c r="AC87" s="141" t="str">
        <f>IF('Design Fee'!BM93&gt;0,"✔","-")</f>
        <v>-</v>
      </c>
      <c r="AD87" s="141" t="str">
        <f>IF('Design Fee'!BN93&gt;0,"✔","-")</f>
        <v>-</v>
      </c>
      <c r="AE87" s="141" t="str">
        <f>IF('Design Fee'!BP93&gt;0,"✔","-")</f>
        <v>-</v>
      </c>
      <c r="AF87" s="141" t="str">
        <f>IF('Design Fee'!BQ93&gt;0,"✔","-")</f>
        <v>-</v>
      </c>
      <c r="AG87" s="141" t="str">
        <f>IF('Design Fee'!BR93&gt;0,"✔","-")</f>
        <v>-</v>
      </c>
      <c r="AH87" s="141" t="str">
        <f>IF('Design Fee'!BS93&gt;0,"✔","-")</f>
        <v>-</v>
      </c>
      <c r="AI87" s="141" t="str">
        <f>IF('Design Fee'!BT93&gt;0,"✔","-")</f>
        <v>-</v>
      </c>
      <c r="AJ87" s="590"/>
      <c r="AK87" s="141" t="str">
        <f>IF('Design Fee'!CN93&gt;0,"✔","-")</f>
        <v>✔</v>
      </c>
      <c r="AL87" s="590"/>
      <c r="AM87" s="141" t="str">
        <f>IF('Design Fee'!CS93&gt;0,"✔","-")</f>
        <v>✔</v>
      </c>
      <c r="AN87" s="141" t="str">
        <f>IF('Design Fee'!CT93&gt;0,"✔","-")</f>
        <v>-</v>
      </c>
      <c r="AO87" s="141" t="str">
        <f>IF('Design Fee'!CU93&gt;0,"✔","-")</f>
        <v>✔</v>
      </c>
      <c r="AP87" s="141" t="str">
        <f>IF('Design Fee'!CV93&gt;0,"✔","-")</f>
        <v>-</v>
      </c>
      <c r="AQ87" s="141" t="str">
        <f>IF('Design Fee'!CW93&gt;0,"✔","-")</f>
        <v>-</v>
      </c>
      <c r="AR87" s="141" t="str">
        <f>IF('Design Fee'!CY93&gt;0,"✔","-")</f>
        <v>-</v>
      </c>
      <c r="AS87" s="141" t="str">
        <f>IF('Design Fee'!CZ93&gt;0,"✔","-")</f>
        <v>-</v>
      </c>
      <c r="AT87" s="141" t="str">
        <f>IF('Design Fee'!DA93&gt;0,"✔","-")</f>
        <v>-</v>
      </c>
      <c r="AU87" s="141" t="str">
        <f>IF('Design Fee'!DB93&gt;0,"✔","-")</f>
        <v>-</v>
      </c>
      <c r="AV87" s="141" t="str">
        <f>IF('Design Fee'!DC93&gt;0,"✔","-")</f>
        <v>-</v>
      </c>
      <c r="AW87" s="589"/>
      <c r="AX87" s="141" t="str">
        <f>IF('Design Fee'!DX93&gt;0,"✔","-")</f>
        <v>✔</v>
      </c>
      <c r="AY87" s="590"/>
      <c r="AZ87" s="141" t="str">
        <f>IF('Design Fee'!EC93&gt;0,"✔","-")</f>
        <v>✔</v>
      </c>
      <c r="BA87" s="141" t="str">
        <f>IF('Design Fee'!ED93&gt;0,"✔","-")</f>
        <v>-</v>
      </c>
      <c r="BB87" s="141" t="str">
        <f>IF('Design Fee'!EE93&gt;0,"✔","-")</f>
        <v>✔</v>
      </c>
      <c r="BC87" s="141" t="str">
        <f>IF('Design Fee'!EF93&gt;0,"✔","-")</f>
        <v>-</v>
      </c>
      <c r="BD87" s="141" t="str">
        <f>IF('Design Fee'!EG93&gt;0,"✔","-")</f>
        <v>-</v>
      </c>
      <c r="BE87" s="141" t="str">
        <f>IF('Design Fee'!EI93&gt;0,"✔","-")</f>
        <v>-</v>
      </c>
      <c r="BF87" s="141" t="str">
        <f>IF('Design Fee'!EJ93&gt;0,"✔","-")</f>
        <v>-</v>
      </c>
      <c r="BG87" s="141" t="str">
        <f>IF('Design Fee'!EK93&gt;0,"✔","-")</f>
        <v>-</v>
      </c>
      <c r="BH87" s="141" t="str">
        <f>IF('Design Fee'!EL93&gt;0,"✔","-")</f>
        <v>-</v>
      </c>
      <c r="BI87" s="141" t="str">
        <f>IF('Design Fee'!EM93&gt;0,"✔","-")</f>
        <v>-</v>
      </c>
      <c r="BJ87" s="86"/>
    </row>
    <row r="88" spans="2:62" ht="11.85" customHeight="1" outlineLevel="2">
      <c r="B88" s="86"/>
      <c r="C88" s="140" t="s">
        <v>113</v>
      </c>
      <c r="D88" s="76" t="s">
        <v>114</v>
      </c>
      <c r="F88" s="585">
        <f>COUNTIF('Design Fee'!V94,"&gt;0")+COUNTIF('Design Fee'!BE94,"&gt;0")+COUNTIF('Design Fee'!CN94,"&gt;0")+COUNTIF('Design Fee'!DZ94,"&gt;0")</f>
        <v>3</v>
      </c>
      <c r="G88" s="585">
        <f>COUNTIF('Design Fee'!Y94,"&gt;0")+COUNTIF('Design Fee'!BH94,"&gt;0")+COUNTIF('Design Fee'!CQ94,"&gt;0")+COUNTIF('Design Fee'!EA94,"&gt;0")</f>
        <v>0</v>
      </c>
      <c r="H88" s="585">
        <f>COUNTIF('Design Fee'!Z94,"&gt;0")+COUNTIF('Design Fee'!BI94,"&gt;0")+COUNTIF('Design Fee'!CR94,"&gt;0")+COUNTIF('Design Fee'!EB94,"&gt;0")</f>
        <v>0</v>
      </c>
      <c r="I88" s="586">
        <f t="shared" si="76"/>
        <v>3</v>
      </c>
      <c r="J88" s="587"/>
      <c r="K88" s="141" t="str">
        <f>IF('Design Fee'!V94&gt;0,"✔","-")</f>
        <v>✔</v>
      </c>
      <c r="L88" s="588"/>
      <c r="M88" s="141" t="str">
        <f>IF('Design Fee'!AA94&gt;0,"✔","-")</f>
        <v>✔</v>
      </c>
      <c r="N88" s="141" t="str">
        <f>IF('Design Fee'!AB94&gt;0,"✔","-")</f>
        <v>✔</v>
      </c>
      <c r="O88" s="141" t="str">
        <f>IF('Design Fee'!AC94&gt;0,"✔","-")</f>
        <v>-</v>
      </c>
      <c r="P88" s="141" t="str">
        <f>IF('Design Fee'!AD94&gt;0,"✔","-")</f>
        <v>-</v>
      </c>
      <c r="Q88" s="141" t="str">
        <f>IF('Design Fee'!AE94&gt;0,"✔","-")</f>
        <v>-</v>
      </c>
      <c r="R88" s="141" t="str">
        <f>IF('Design Fee'!AG94&gt;0,"✔","-")</f>
        <v>-</v>
      </c>
      <c r="S88" s="141" t="str">
        <f>IF('Design Fee'!AH94&gt;0,"✔","-")</f>
        <v>-</v>
      </c>
      <c r="T88" s="141" t="str">
        <f>IF('Design Fee'!AI94&gt;0,"✔","-")</f>
        <v>-</v>
      </c>
      <c r="U88" s="141" t="str">
        <f>IF('Design Fee'!AJ94&gt;0,"✔","-")</f>
        <v>-</v>
      </c>
      <c r="V88" s="141" t="str">
        <f>IF('Design Fee'!AK94&gt;0,"✔","-")</f>
        <v>-</v>
      </c>
      <c r="W88" s="589"/>
      <c r="X88" s="141" t="str">
        <f>IF('Design Fee'!BE94&gt;0,"✔","-")</f>
        <v>-</v>
      </c>
      <c r="Y88" s="590"/>
      <c r="Z88" s="141" t="str">
        <f>IF('Design Fee'!BJ94&gt;0,"✔","-")</f>
        <v>-</v>
      </c>
      <c r="AA88" s="141" t="str">
        <f>IF('Design Fee'!BK94&gt;0,"✔","-")</f>
        <v>-</v>
      </c>
      <c r="AB88" s="141" t="str">
        <f>IF('Design Fee'!BL94&gt;0,"✔","-")</f>
        <v>-</v>
      </c>
      <c r="AC88" s="141" t="str">
        <f>IF('Design Fee'!BM94&gt;0,"✔","-")</f>
        <v>-</v>
      </c>
      <c r="AD88" s="141" t="str">
        <f>IF('Design Fee'!BN94&gt;0,"✔","-")</f>
        <v>-</v>
      </c>
      <c r="AE88" s="141" t="str">
        <f>IF('Design Fee'!BP94&gt;0,"✔","-")</f>
        <v>-</v>
      </c>
      <c r="AF88" s="141" t="str">
        <f>IF('Design Fee'!BQ94&gt;0,"✔","-")</f>
        <v>-</v>
      </c>
      <c r="AG88" s="141" t="str">
        <f>IF('Design Fee'!BR94&gt;0,"✔","-")</f>
        <v>-</v>
      </c>
      <c r="AH88" s="141" t="str">
        <f>IF('Design Fee'!BS94&gt;0,"✔","-")</f>
        <v>-</v>
      </c>
      <c r="AI88" s="141" t="str">
        <f>IF('Design Fee'!BT94&gt;0,"✔","-")</f>
        <v>-</v>
      </c>
      <c r="AJ88" s="590"/>
      <c r="AK88" s="141" t="str">
        <f>IF('Design Fee'!CN94&gt;0,"✔","-")</f>
        <v>✔</v>
      </c>
      <c r="AL88" s="590"/>
      <c r="AM88" s="141" t="str">
        <f>IF('Design Fee'!CS94&gt;0,"✔","-")</f>
        <v>✔</v>
      </c>
      <c r="AN88" s="141" t="str">
        <f>IF('Design Fee'!CT94&gt;0,"✔","-")</f>
        <v>-</v>
      </c>
      <c r="AO88" s="141" t="str">
        <f>IF('Design Fee'!CU94&gt;0,"✔","-")</f>
        <v>-</v>
      </c>
      <c r="AP88" s="141" t="str">
        <f>IF('Design Fee'!CV94&gt;0,"✔","-")</f>
        <v>✔</v>
      </c>
      <c r="AQ88" s="141" t="str">
        <f>IF('Design Fee'!CW94&gt;0,"✔","-")</f>
        <v>-</v>
      </c>
      <c r="AR88" s="141" t="str">
        <f>IF('Design Fee'!CY94&gt;0,"✔","-")</f>
        <v>-</v>
      </c>
      <c r="AS88" s="141" t="str">
        <f>IF('Design Fee'!CZ94&gt;0,"✔","-")</f>
        <v>-</v>
      </c>
      <c r="AT88" s="141" t="str">
        <f>IF('Design Fee'!DA94&gt;0,"✔","-")</f>
        <v>-</v>
      </c>
      <c r="AU88" s="141" t="str">
        <f>IF('Design Fee'!DB94&gt;0,"✔","-")</f>
        <v>-</v>
      </c>
      <c r="AV88" s="141" t="str">
        <f>IF('Design Fee'!DC94&gt;0,"✔","-")</f>
        <v>-</v>
      </c>
      <c r="AW88" s="589"/>
      <c r="AX88" s="141" t="str">
        <f>IF('Design Fee'!DX94&gt;0,"✔","-")</f>
        <v>✔</v>
      </c>
      <c r="AY88" s="590"/>
      <c r="AZ88" s="141" t="str">
        <f>IF('Design Fee'!EC94&gt;0,"✔","-")</f>
        <v>✔</v>
      </c>
      <c r="BA88" s="141" t="str">
        <f>IF('Design Fee'!ED94&gt;0,"✔","-")</f>
        <v>-</v>
      </c>
      <c r="BB88" s="141" t="str">
        <f>IF('Design Fee'!EE94&gt;0,"✔","-")</f>
        <v>✔</v>
      </c>
      <c r="BC88" s="141" t="str">
        <f>IF('Design Fee'!EF94&gt;0,"✔","-")</f>
        <v>-</v>
      </c>
      <c r="BD88" s="141" t="str">
        <f>IF('Design Fee'!EG94&gt;0,"✔","-")</f>
        <v>-</v>
      </c>
      <c r="BE88" s="141" t="str">
        <f>IF('Design Fee'!EI94&gt;0,"✔","-")</f>
        <v>-</v>
      </c>
      <c r="BF88" s="141" t="str">
        <f>IF('Design Fee'!EJ94&gt;0,"✔","-")</f>
        <v>-</v>
      </c>
      <c r="BG88" s="141" t="str">
        <f>IF('Design Fee'!EK94&gt;0,"✔","-")</f>
        <v>-</v>
      </c>
      <c r="BH88" s="141" t="str">
        <f>IF('Design Fee'!EL94&gt;0,"✔","-")</f>
        <v>-</v>
      </c>
      <c r="BI88" s="141" t="str">
        <f>IF('Design Fee'!EM94&gt;0,"✔","-")</f>
        <v>-</v>
      </c>
      <c r="BJ88" s="86"/>
    </row>
    <row r="89" spans="2:62" ht="11.85" customHeight="1" outlineLevel="2">
      <c r="B89" s="86"/>
      <c r="C89" s="140" t="s">
        <v>115</v>
      </c>
      <c r="D89" s="76" t="s">
        <v>116</v>
      </c>
      <c r="F89" s="585">
        <f>COUNTIF('Design Fee'!V95,"&gt;0")+COUNTIF('Design Fee'!BE95,"&gt;0")+COUNTIF('Design Fee'!CN95,"&gt;0")+COUNTIF('Design Fee'!DZ95,"&gt;0")</f>
        <v>2</v>
      </c>
      <c r="G89" s="585">
        <f>COUNTIF('Design Fee'!Y95,"&gt;0")+COUNTIF('Design Fee'!BH95,"&gt;0")+COUNTIF('Design Fee'!CQ95,"&gt;0")+COUNTIF('Design Fee'!EA95,"&gt;0")</f>
        <v>0</v>
      </c>
      <c r="H89" s="585">
        <f>COUNTIF('Design Fee'!Z95,"&gt;0")+COUNTIF('Design Fee'!BI95,"&gt;0")+COUNTIF('Design Fee'!CR95,"&gt;0")+COUNTIF('Design Fee'!EB95,"&gt;0")</f>
        <v>0</v>
      </c>
      <c r="I89" s="586">
        <f t="shared" si="76"/>
        <v>2</v>
      </c>
      <c r="J89" s="587"/>
      <c r="K89" s="141" t="str">
        <f>IF('Design Fee'!V95&gt;0,"✔","-")</f>
        <v>✔</v>
      </c>
      <c r="L89" s="588"/>
      <c r="M89" s="141" t="str">
        <f>IF('Design Fee'!AA95&gt;0,"✔","-")</f>
        <v>✔</v>
      </c>
      <c r="N89" s="141" t="str">
        <f>IF('Design Fee'!AB95&gt;0,"✔","-")</f>
        <v>✔</v>
      </c>
      <c r="O89" s="141" t="str">
        <f>IF('Design Fee'!AC95&gt;0,"✔","-")</f>
        <v>-</v>
      </c>
      <c r="P89" s="141" t="str">
        <f>IF('Design Fee'!AD95&gt;0,"✔","-")</f>
        <v>-</v>
      </c>
      <c r="Q89" s="141" t="str">
        <f>IF('Design Fee'!AE95&gt;0,"✔","-")</f>
        <v>-</v>
      </c>
      <c r="R89" s="141" t="str">
        <f>IF('Design Fee'!AG95&gt;0,"✔","-")</f>
        <v>-</v>
      </c>
      <c r="S89" s="141" t="str">
        <f>IF('Design Fee'!AH95&gt;0,"✔","-")</f>
        <v>-</v>
      </c>
      <c r="T89" s="141" t="str">
        <f>IF('Design Fee'!AI95&gt;0,"✔","-")</f>
        <v>-</v>
      </c>
      <c r="U89" s="141" t="str">
        <f>IF('Design Fee'!AJ95&gt;0,"✔","-")</f>
        <v>-</v>
      </c>
      <c r="V89" s="141" t="str">
        <f>IF('Design Fee'!AK95&gt;0,"✔","-")</f>
        <v>-</v>
      </c>
      <c r="W89" s="589"/>
      <c r="X89" s="141" t="str">
        <f>IF('Design Fee'!BE95&gt;0,"✔","-")</f>
        <v>-</v>
      </c>
      <c r="Y89" s="590"/>
      <c r="Z89" s="141" t="str">
        <f>IF('Design Fee'!BJ95&gt;0,"✔","-")</f>
        <v>-</v>
      </c>
      <c r="AA89" s="141" t="str">
        <f>IF('Design Fee'!BK95&gt;0,"✔","-")</f>
        <v>-</v>
      </c>
      <c r="AB89" s="141" t="str">
        <f>IF('Design Fee'!BL95&gt;0,"✔","-")</f>
        <v>-</v>
      </c>
      <c r="AC89" s="141" t="str">
        <f>IF('Design Fee'!BM95&gt;0,"✔","-")</f>
        <v>-</v>
      </c>
      <c r="AD89" s="141" t="str">
        <f>IF('Design Fee'!BN95&gt;0,"✔","-")</f>
        <v>-</v>
      </c>
      <c r="AE89" s="141" t="str">
        <f>IF('Design Fee'!BP95&gt;0,"✔","-")</f>
        <v>-</v>
      </c>
      <c r="AF89" s="141" t="str">
        <f>IF('Design Fee'!BQ95&gt;0,"✔","-")</f>
        <v>-</v>
      </c>
      <c r="AG89" s="141" t="str">
        <f>IF('Design Fee'!BR95&gt;0,"✔","-")</f>
        <v>-</v>
      </c>
      <c r="AH89" s="141" t="str">
        <f>IF('Design Fee'!BS95&gt;0,"✔","-")</f>
        <v>-</v>
      </c>
      <c r="AI89" s="141" t="str">
        <f>IF('Design Fee'!BT95&gt;0,"✔","-")</f>
        <v>-</v>
      </c>
      <c r="AJ89" s="590"/>
      <c r="AK89" s="141" t="str">
        <f>IF('Design Fee'!CN95&gt;0,"✔","-")</f>
        <v>-</v>
      </c>
      <c r="AL89" s="590"/>
      <c r="AM89" s="141" t="str">
        <f>IF('Design Fee'!CS95&gt;0,"✔","-")</f>
        <v>-</v>
      </c>
      <c r="AN89" s="141" t="str">
        <f>IF('Design Fee'!CT95&gt;0,"✔","-")</f>
        <v>-</v>
      </c>
      <c r="AO89" s="141" t="str">
        <f>IF('Design Fee'!CU95&gt;0,"✔","-")</f>
        <v>-</v>
      </c>
      <c r="AP89" s="141" t="str">
        <f>IF('Design Fee'!CV95&gt;0,"✔","-")</f>
        <v>-</v>
      </c>
      <c r="AQ89" s="141" t="str">
        <f>IF('Design Fee'!CW95&gt;0,"✔","-")</f>
        <v>-</v>
      </c>
      <c r="AR89" s="141" t="str">
        <f>IF('Design Fee'!CY95&gt;0,"✔","-")</f>
        <v>-</v>
      </c>
      <c r="AS89" s="141" t="str">
        <f>IF('Design Fee'!CZ95&gt;0,"✔","-")</f>
        <v>-</v>
      </c>
      <c r="AT89" s="141" t="str">
        <f>IF('Design Fee'!DA95&gt;0,"✔","-")</f>
        <v>-</v>
      </c>
      <c r="AU89" s="141" t="str">
        <f>IF('Design Fee'!DB95&gt;0,"✔","-")</f>
        <v>-</v>
      </c>
      <c r="AV89" s="141" t="str">
        <f>IF('Design Fee'!DC95&gt;0,"✔","-")</f>
        <v>-</v>
      </c>
      <c r="AW89" s="589"/>
      <c r="AX89" s="141" t="str">
        <f>IF('Design Fee'!DX95&gt;0,"✔","-")</f>
        <v>✔</v>
      </c>
      <c r="AY89" s="590"/>
      <c r="AZ89" s="141" t="str">
        <f>IF('Design Fee'!EC95&gt;0,"✔","-")</f>
        <v>✔</v>
      </c>
      <c r="BA89" s="141" t="str">
        <f>IF('Design Fee'!ED95&gt;0,"✔","-")</f>
        <v>-</v>
      </c>
      <c r="BB89" s="141" t="str">
        <f>IF('Design Fee'!EE95&gt;0,"✔","-")</f>
        <v>-</v>
      </c>
      <c r="BC89" s="141" t="str">
        <f>IF('Design Fee'!EF95&gt;0,"✔","-")</f>
        <v>✔</v>
      </c>
      <c r="BD89" s="141" t="str">
        <f>IF('Design Fee'!EG95&gt;0,"✔","-")</f>
        <v>-</v>
      </c>
      <c r="BE89" s="141" t="str">
        <f>IF('Design Fee'!EI95&gt;0,"✔","-")</f>
        <v>-</v>
      </c>
      <c r="BF89" s="141" t="str">
        <f>IF('Design Fee'!EJ95&gt;0,"✔","-")</f>
        <v>-</v>
      </c>
      <c r="BG89" s="141" t="str">
        <f>IF('Design Fee'!EK95&gt;0,"✔","-")</f>
        <v>-</v>
      </c>
      <c r="BH89" s="141" t="str">
        <f>IF('Design Fee'!EL95&gt;0,"✔","-")</f>
        <v>-</v>
      </c>
      <c r="BI89" s="141" t="str">
        <f>IF('Design Fee'!EM95&gt;0,"✔","-")</f>
        <v>-</v>
      </c>
      <c r="BJ89" s="86"/>
    </row>
    <row r="90" spans="2:62" ht="11.85" customHeight="1" outlineLevel="2">
      <c r="B90" s="86"/>
      <c r="C90" s="140" t="s">
        <v>117</v>
      </c>
      <c r="D90" s="76" t="s">
        <v>118</v>
      </c>
      <c r="F90" s="585">
        <f>COUNTIF('Design Fee'!V96,"&gt;0")+COUNTIF('Design Fee'!BE96,"&gt;0")+COUNTIF('Design Fee'!CN96,"&gt;0")+COUNTIF('Design Fee'!DZ96,"&gt;0")</f>
        <v>0</v>
      </c>
      <c r="G90" s="585">
        <f>COUNTIF('Design Fee'!Y96,"&gt;0")+COUNTIF('Design Fee'!BH96,"&gt;0")+COUNTIF('Design Fee'!CQ96,"&gt;0")+COUNTIF('Design Fee'!EA96,"&gt;0")</f>
        <v>0</v>
      </c>
      <c r="H90" s="585">
        <f>COUNTIF('Design Fee'!Z96,"&gt;0")+COUNTIF('Design Fee'!BI96,"&gt;0")+COUNTIF('Design Fee'!CR96,"&gt;0")+COUNTIF('Design Fee'!EB96,"&gt;0")</f>
        <v>0</v>
      </c>
      <c r="I90" s="586">
        <f t="shared" si="76"/>
        <v>0</v>
      </c>
      <c r="J90" s="587"/>
      <c r="K90" s="141" t="str">
        <f>IF('Design Fee'!V96&gt;0,"✔","-")</f>
        <v>-</v>
      </c>
      <c r="L90" s="588"/>
      <c r="M90" s="141" t="str">
        <f>IF('Design Fee'!AA96&gt;0,"✔","-")</f>
        <v>-</v>
      </c>
      <c r="N90" s="141" t="str">
        <f>IF('Design Fee'!AB96&gt;0,"✔","-")</f>
        <v>-</v>
      </c>
      <c r="O90" s="141" t="str">
        <f>IF('Design Fee'!AC96&gt;0,"✔","-")</f>
        <v>-</v>
      </c>
      <c r="P90" s="141" t="str">
        <f>IF('Design Fee'!AD96&gt;0,"✔","-")</f>
        <v>-</v>
      </c>
      <c r="Q90" s="141" t="str">
        <f>IF('Design Fee'!AE96&gt;0,"✔","-")</f>
        <v>-</v>
      </c>
      <c r="R90" s="141" t="str">
        <f>IF('Design Fee'!AG96&gt;0,"✔","-")</f>
        <v>-</v>
      </c>
      <c r="S90" s="141" t="str">
        <f>IF('Design Fee'!AH96&gt;0,"✔","-")</f>
        <v>-</v>
      </c>
      <c r="T90" s="141" t="str">
        <f>IF('Design Fee'!AI96&gt;0,"✔","-")</f>
        <v>-</v>
      </c>
      <c r="U90" s="141" t="str">
        <f>IF('Design Fee'!AJ96&gt;0,"✔","-")</f>
        <v>-</v>
      </c>
      <c r="V90" s="141" t="str">
        <f>IF('Design Fee'!AK96&gt;0,"✔","-")</f>
        <v>-</v>
      </c>
      <c r="W90" s="589"/>
      <c r="X90" s="141" t="str">
        <f>IF('Design Fee'!BE96&gt;0,"✔","-")</f>
        <v>-</v>
      </c>
      <c r="Y90" s="590"/>
      <c r="Z90" s="141" t="str">
        <f>IF('Design Fee'!BJ96&gt;0,"✔","-")</f>
        <v>-</v>
      </c>
      <c r="AA90" s="141" t="str">
        <f>IF('Design Fee'!BK96&gt;0,"✔","-")</f>
        <v>-</v>
      </c>
      <c r="AB90" s="141" t="str">
        <f>IF('Design Fee'!BL96&gt;0,"✔","-")</f>
        <v>-</v>
      </c>
      <c r="AC90" s="141" t="str">
        <f>IF('Design Fee'!BM96&gt;0,"✔","-")</f>
        <v>-</v>
      </c>
      <c r="AD90" s="141" t="str">
        <f>IF('Design Fee'!BN96&gt;0,"✔","-")</f>
        <v>-</v>
      </c>
      <c r="AE90" s="141" t="str">
        <f>IF('Design Fee'!BP96&gt;0,"✔","-")</f>
        <v>-</v>
      </c>
      <c r="AF90" s="141" t="str">
        <f>IF('Design Fee'!BQ96&gt;0,"✔","-")</f>
        <v>-</v>
      </c>
      <c r="AG90" s="141" t="str">
        <f>IF('Design Fee'!BR96&gt;0,"✔","-")</f>
        <v>-</v>
      </c>
      <c r="AH90" s="141" t="str">
        <f>IF('Design Fee'!BS96&gt;0,"✔","-")</f>
        <v>-</v>
      </c>
      <c r="AI90" s="141" t="str">
        <f>IF('Design Fee'!BT96&gt;0,"✔","-")</f>
        <v>-</v>
      </c>
      <c r="AJ90" s="590"/>
      <c r="AK90" s="141" t="str">
        <f>IF('Design Fee'!CN96&gt;0,"✔","-")</f>
        <v>-</v>
      </c>
      <c r="AL90" s="590"/>
      <c r="AM90" s="141" t="str">
        <f>IF('Design Fee'!CS96&gt;0,"✔","-")</f>
        <v>-</v>
      </c>
      <c r="AN90" s="141" t="str">
        <f>IF('Design Fee'!CT96&gt;0,"✔","-")</f>
        <v>-</v>
      </c>
      <c r="AO90" s="141" t="str">
        <f>IF('Design Fee'!CU96&gt;0,"✔","-")</f>
        <v>-</v>
      </c>
      <c r="AP90" s="141" t="str">
        <f>IF('Design Fee'!CV96&gt;0,"✔","-")</f>
        <v>-</v>
      </c>
      <c r="AQ90" s="141" t="str">
        <f>IF('Design Fee'!CW96&gt;0,"✔","-")</f>
        <v>-</v>
      </c>
      <c r="AR90" s="141" t="str">
        <f>IF('Design Fee'!CY96&gt;0,"✔","-")</f>
        <v>-</v>
      </c>
      <c r="AS90" s="141" t="str">
        <f>IF('Design Fee'!CZ96&gt;0,"✔","-")</f>
        <v>-</v>
      </c>
      <c r="AT90" s="141" t="str">
        <f>IF('Design Fee'!DA96&gt;0,"✔","-")</f>
        <v>-</v>
      </c>
      <c r="AU90" s="141" t="str">
        <f>IF('Design Fee'!DB96&gt;0,"✔","-")</f>
        <v>-</v>
      </c>
      <c r="AV90" s="141" t="str">
        <f>IF('Design Fee'!DC96&gt;0,"✔","-")</f>
        <v>-</v>
      </c>
      <c r="AW90" s="589"/>
      <c r="AX90" s="141" t="str">
        <f>IF('Design Fee'!DX96&gt;0,"✔","-")</f>
        <v>-</v>
      </c>
      <c r="AY90" s="590"/>
      <c r="AZ90" s="141" t="str">
        <f>IF('Design Fee'!EC96&gt;0,"✔","-")</f>
        <v>-</v>
      </c>
      <c r="BA90" s="141" t="str">
        <f>IF('Design Fee'!ED96&gt;0,"✔","-")</f>
        <v>-</v>
      </c>
      <c r="BB90" s="141" t="str">
        <f>IF('Design Fee'!EE96&gt;0,"✔","-")</f>
        <v>-</v>
      </c>
      <c r="BC90" s="141" t="str">
        <f>IF('Design Fee'!EF96&gt;0,"✔","-")</f>
        <v>-</v>
      </c>
      <c r="BD90" s="141" t="str">
        <f>IF('Design Fee'!EG96&gt;0,"✔","-")</f>
        <v>-</v>
      </c>
      <c r="BE90" s="141" t="str">
        <f>IF('Design Fee'!EI96&gt;0,"✔","-")</f>
        <v>-</v>
      </c>
      <c r="BF90" s="141" t="str">
        <f>IF('Design Fee'!EJ96&gt;0,"✔","-")</f>
        <v>-</v>
      </c>
      <c r="BG90" s="141" t="str">
        <f>IF('Design Fee'!EK96&gt;0,"✔","-")</f>
        <v>-</v>
      </c>
      <c r="BH90" s="141" t="str">
        <f>IF('Design Fee'!EL96&gt;0,"✔","-")</f>
        <v>-</v>
      </c>
      <c r="BI90" s="141" t="str">
        <f>IF('Design Fee'!EM96&gt;0,"✔","-")</f>
        <v>-</v>
      </c>
      <c r="BJ90" s="86"/>
    </row>
    <row r="91" spans="2:62" ht="3" customHeight="1">
      <c r="B91" s="86"/>
      <c r="D91" s="95"/>
      <c r="E91" s="95"/>
      <c r="F91" s="324"/>
      <c r="G91" s="324"/>
      <c r="H91" s="324"/>
      <c r="I91" s="453"/>
      <c r="J91" s="96"/>
      <c r="L91" s="97"/>
      <c r="M91" s="138"/>
      <c r="N91" s="126"/>
      <c r="O91" s="126"/>
      <c r="P91" s="126"/>
      <c r="Q91" s="126"/>
      <c r="R91" s="111"/>
      <c r="S91" s="111"/>
      <c r="T91" s="111"/>
      <c r="U91" s="111"/>
      <c r="V91" s="111"/>
      <c r="W91" s="127"/>
      <c r="Y91" s="88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88"/>
      <c r="AL91" s="88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27"/>
      <c r="AY91" s="88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86"/>
    </row>
    <row r="92" spans="2:62" ht="17.399999999999999">
      <c r="B92" s="86"/>
      <c r="C92" s="607" t="s">
        <v>119</v>
      </c>
      <c r="D92" s="607"/>
      <c r="E92" s="320"/>
      <c r="F92" s="326">
        <f>F94</f>
        <v>4</v>
      </c>
      <c r="G92" s="326">
        <f t="shared" ref="G92:I92" si="77">G94</f>
        <v>0</v>
      </c>
      <c r="H92" s="326">
        <f t="shared" ref="H92" si="78">H94</f>
        <v>0</v>
      </c>
      <c r="I92" s="449">
        <f t="shared" si="77"/>
        <v>4</v>
      </c>
      <c r="J92" s="96"/>
      <c r="K92" s="449"/>
      <c r="L92" s="97"/>
      <c r="M92" s="449"/>
      <c r="N92" s="449"/>
      <c r="O92" s="449"/>
      <c r="P92" s="449"/>
      <c r="Q92" s="449"/>
      <c r="R92" s="449"/>
      <c r="S92" s="449"/>
      <c r="T92" s="449"/>
      <c r="U92" s="449"/>
      <c r="V92" s="449"/>
      <c r="W92" s="94"/>
      <c r="X92" s="449"/>
      <c r="Y92" s="97"/>
      <c r="Z92" s="449"/>
      <c r="AA92" s="449"/>
      <c r="AB92" s="449"/>
      <c r="AC92" s="449"/>
      <c r="AD92" s="449"/>
      <c r="AE92" s="449"/>
      <c r="AF92" s="449"/>
      <c r="AG92" s="449"/>
      <c r="AH92" s="449"/>
      <c r="AI92" s="449"/>
      <c r="AJ92" s="97"/>
      <c r="AK92" s="449"/>
      <c r="AL92" s="97"/>
      <c r="AM92" s="449"/>
      <c r="AN92" s="449"/>
      <c r="AO92" s="449"/>
      <c r="AP92" s="449"/>
      <c r="AQ92" s="449"/>
      <c r="AR92" s="449"/>
      <c r="AS92" s="449"/>
      <c r="AT92" s="449"/>
      <c r="AU92" s="449"/>
      <c r="AV92" s="449"/>
      <c r="AW92" s="94"/>
      <c r="AX92" s="449"/>
      <c r="AY92" s="97"/>
      <c r="AZ92" s="449"/>
      <c r="BA92" s="449"/>
      <c r="BB92" s="449"/>
      <c r="BC92" s="449"/>
      <c r="BD92" s="449"/>
      <c r="BE92" s="449"/>
      <c r="BF92" s="449"/>
      <c r="BG92" s="449"/>
      <c r="BH92" s="449"/>
      <c r="BI92" s="449"/>
      <c r="BJ92" s="86"/>
    </row>
    <row r="93" spans="2:62" ht="3" customHeight="1" outlineLevel="1">
      <c r="B93" s="86"/>
      <c r="D93" s="95"/>
      <c r="E93" s="95"/>
      <c r="F93" s="324"/>
      <c r="G93" s="324"/>
      <c r="H93" s="324"/>
      <c r="I93" s="453"/>
      <c r="J93" s="96"/>
      <c r="L93" s="97"/>
      <c r="M93" s="113"/>
      <c r="N93" s="113"/>
      <c r="O93" s="113"/>
      <c r="P93" s="113"/>
      <c r="Q93" s="113"/>
      <c r="R93" s="111"/>
      <c r="S93" s="111"/>
      <c r="T93" s="111"/>
      <c r="U93" s="111"/>
      <c r="V93" s="111"/>
      <c r="W93" s="127"/>
      <c r="Y93" s="88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88"/>
      <c r="AL93" s="88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27"/>
      <c r="AY93" s="88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86"/>
    </row>
    <row r="94" spans="2:62" ht="11.85" customHeight="1" outlineLevel="1">
      <c r="B94" s="86"/>
      <c r="C94" s="114">
        <v>1</v>
      </c>
      <c r="D94" s="115" t="s">
        <v>120</v>
      </c>
      <c r="E94" s="321"/>
      <c r="F94" s="440">
        <f>F95</f>
        <v>4</v>
      </c>
      <c r="G94" s="440">
        <f t="shared" ref="G94:I94" si="79">G95</f>
        <v>0</v>
      </c>
      <c r="H94" s="440">
        <f t="shared" si="79"/>
        <v>0</v>
      </c>
      <c r="I94" s="454">
        <f t="shared" si="79"/>
        <v>4</v>
      </c>
      <c r="J94" s="115"/>
      <c r="K94" s="546">
        <f>COUNTIF(K95,"✔")</f>
        <v>1</v>
      </c>
      <c r="L94" s="117"/>
      <c r="M94" s="441">
        <f>COUNTIF(M95,"✔")</f>
        <v>1</v>
      </c>
      <c r="N94" s="441">
        <f t="shared" ref="N94:V94" si="80">COUNTIF(N95,"✔")</f>
        <v>0</v>
      </c>
      <c r="O94" s="441">
        <f t="shared" si="80"/>
        <v>0</v>
      </c>
      <c r="P94" s="441">
        <f t="shared" si="80"/>
        <v>0</v>
      </c>
      <c r="Q94" s="441">
        <f t="shared" si="80"/>
        <v>1</v>
      </c>
      <c r="R94" s="441">
        <f t="shared" si="80"/>
        <v>0</v>
      </c>
      <c r="S94" s="441">
        <f t="shared" si="80"/>
        <v>0</v>
      </c>
      <c r="T94" s="441">
        <f t="shared" si="80"/>
        <v>0</v>
      </c>
      <c r="U94" s="441">
        <f t="shared" si="80"/>
        <v>0</v>
      </c>
      <c r="V94" s="441">
        <f t="shared" si="80"/>
        <v>0</v>
      </c>
      <c r="W94" s="120"/>
      <c r="X94" s="546">
        <f>COUNTIF(X95,"✔")</f>
        <v>1</v>
      </c>
      <c r="Y94" s="117"/>
      <c r="Z94" s="441">
        <f t="shared" ref="Z94:AI94" si="81">COUNTIF(Z95,"✔")</f>
        <v>1</v>
      </c>
      <c r="AA94" s="441">
        <f t="shared" si="81"/>
        <v>0</v>
      </c>
      <c r="AB94" s="441">
        <f t="shared" si="81"/>
        <v>0</v>
      </c>
      <c r="AC94" s="441">
        <f t="shared" si="81"/>
        <v>0</v>
      </c>
      <c r="AD94" s="441">
        <f t="shared" si="81"/>
        <v>1</v>
      </c>
      <c r="AE94" s="441">
        <f t="shared" si="81"/>
        <v>0</v>
      </c>
      <c r="AF94" s="441">
        <f t="shared" si="81"/>
        <v>0</v>
      </c>
      <c r="AG94" s="441">
        <f t="shared" si="81"/>
        <v>0</v>
      </c>
      <c r="AH94" s="441">
        <f t="shared" si="81"/>
        <v>0</v>
      </c>
      <c r="AI94" s="441">
        <f t="shared" si="81"/>
        <v>0</v>
      </c>
      <c r="AJ94" s="117"/>
      <c r="AK94" s="546">
        <f>COUNTIF(AK95,"✔")</f>
        <v>1</v>
      </c>
      <c r="AL94" s="117"/>
      <c r="AM94" s="441">
        <f t="shared" ref="AM94:AV94" si="82">COUNTIF(AM95,"✔")</f>
        <v>1</v>
      </c>
      <c r="AN94" s="441">
        <f t="shared" si="82"/>
        <v>0</v>
      </c>
      <c r="AO94" s="441">
        <f t="shared" si="82"/>
        <v>0</v>
      </c>
      <c r="AP94" s="441">
        <f t="shared" si="82"/>
        <v>0</v>
      </c>
      <c r="AQ94" s="441">
        <f t="shared" si="82"/>
        <v>1</v>
      </c>
      <c r="AR94" s="441">
        <f t="shared" si="82"/>
        <v>0</v>
      </c>
      <c r="AS94" s="441">
        <f t="shared" si="82"/>
        <v>0</v>
      </c>
      <c r="AT94" s="441">
        <f t="shared" si="82"/>
        <v>0</v>
      </c>
      <c r="AU94" s="441">
        <f t="shared" si="82"/>
        <v>0</v>
      </c>
      <c r="AV94" s="441">
        <f t="shared" si="82"/>
        <v>0</v>
      </c>
      <c r="AW94" s="120"/>
      <c r="AX94" s="546">
        <f>COUNTIF(AX95,"✔")</f>
        <v>1</v>
      </c>
      <c r="AY94" s="117"/>
      <c r="AZ94" s="441">
        <f t="shared" ref="AZ94:BI94" si="83">COUNTIF(AZ95,"✔")</f>
        <v>1</v>
      </c>
      <c r="BA94" s="441">
        <f t="shared" si="83"/>
        <v>0</v>
      </c>
      <c r="BB94" s="441">
        <f t="shared" si="83"/>
        <v>0</v>
      </c>
      <c r="BC94" s="441">
        <f t="shared" si="83"/>
        <v>0</v>
      </c>
      <c r="BD94" s="441">
        <f t="shared" si="83"/>
        <v>1</v>
      </c>
      <c r="BE94" s="441">
        <f t="shared" si="83"/>
        <v>0</v>
      </c>
      <c r="BF94" s="441">
        <f t="shared" si="83"/>
        <v>0</v>
      </c>
      <c r="BG94" s="441">
        <f t="shared" si="83"/>
        <v>0</v>
      </c>
      <c r="BH94" s="441">
        <f t="shared" si="83"/>
        <v>0</v>
      </c>
      <c r="BI94" s="441">
        <f t="shared" si="83"/>
        <v>0</v>
      </c>
      <c r="BJ94" s="86"/>
    </row>
    <row r="95" spans="2:62" ht="11.85" customHeight="1" outlineLevel="2">
      <c r="B95" s="86"/>
      <c r="C95" s="140">
        <v>1</v>
      </c>
      <c r="D95" s="76" t="s">
        <v>121</v>
      </c>
      <c r="F95" s="585">
        <f>COUNTIF('Design Fee'!V101,"&gt;0")+COUNTIF('Design Fee'!BE101,"&gt;0")+COUNTIF('Design Fee'!CN101,"&gt;0")+COUNTIF('Design Fee'!DZ101,"&gt;0")</f>
        <v>4</v>
      </c>
      <c r="G95" s="585">
        <f>COUNTIF('Design Fee'!Y101,"&gt;0")+COUNTIF('Design Fee'!BH101,"&gt;0")+COUNTIF('Design Fee'!CQ101,"&gt;0")+COUNTIF('Design Fee'!EA101,"&gt;0")</f>
        <v>0</v>
      </c>
      <c r="H95" s="585">
        <f>COUNTIF('Design Fee'!Z101,"&gt;0")+COUNTIF('Design Fee'!BI101,"&gt;0")+COUNTIF('Design Fee'!CR101,"&gt;0")+COUNTIF('Design Fee'!EB101,"&gt;0")</f>
        <v>0</v>
      </c>
      <c r="I95" s="586">
        <f t="shared" ref="I95" si="84">F95-G95</f>
        <v>4</v>
      </c>
      <c r="J95" s="587"/>
      <c r="K95" s="141" t="str">
        <f>IF('Design Fee'!V101&gt;0,"✔","-")</f>
        <v>✔</v>
      </c>
      <c r="L95" s="588"/>
      <c r="M95" s="141" t="str">
        <f>IF('Design Fee'!AA101&gt;0,"✔","-")</f>
        <v>✔</v>
      </c>
      <c r="N95" s="141" t="str">
        <f>IF('Design Fee'!AB101&gt;0,"✔","-")</f>
        <v>-</v>
      </c>
      <c r="O95" s="141" t="str">
        <f>IF('Design Fee'!AC101&gt;0,"✔","-")</f>
        <v>-</v>
      </c>
      <c r="P95" s="141" t="str">
        <f>IF('Design Fee'!AD101&gt;0,"✔","-")</f>
        <v>-</v>
      </c>
      <c r="Q95" s="141" t="str">
        <f>IF('Design Fee'!AE101&gt;0,"✔","-")</f>
        <v>✔</v>
      </c>
      <c r="R95" s="141" t="str">
        <f>IF('Design Fee'!AG101&gt;0,"✔","-")</f>
        <v>-</v>
      </c>
      <c r="S95" s="141" t="str">
        <f>IF('Design Fee'!AH101&gt;0,"✔","-")</f>
        <v>-</v>
      </c>
      <c r="T95" s="141" t="str">
        <f>IF('Design Fee'!AI101&gt;0,"✔","-")</f>
        <v>-</v>
      </c>
      <c r="U95" s="141" t="str">
        <f>IF('Design Fee'!AJ101&gt;0,"✔","-")</f>
        <v>-</v>
      </c>
      <c r="V95" s="141" t="str">
        <f>IF('Design Fee'!AK101&gt;0,"✔","-")</f>
        <v>-</v>
      </c>
      <c r="W95" s="589"/>
      <c r="X95" s="141" t="str">
        <f>IF('Design Fee'!BE101&gt;0,"✔","-")</f>
        <v>✔</v>
      </c>
      <c r="Y95" s="590"/>
      <c r="Z95" s="141" t="str">
        <f>IF('Design Fee'!BJ101&gt;0,"✔","-")</f>
        <v>✔</v>
      </c>
      <c r="AA95" s="141" t="str">
        <f>IF('Design Fee'!BK101&gt;0,"✔","-")</f>
        <v>-</v>
      </c>
      <c r="AB95" s="141" t="str">
        <f>IF('Design Fee'!BL101&gt;0,"✔","-")</f>
        <v>-</v>
      </c>
      <c r="AC95" s="141" t="str">
        <f>IF('Design Fee'!BM101&gt;0,"✔","-")</f>
        <v>-</v>
      </c>
      <c r="AD95" s="141" t="str">
        <f>IF('Design Fee'!BN101&gt;0,"✔","-")</f>
        <v>✔</v>
      </c>
      <c r="AE95" s="141" t="str">
        <f>IF('Design Fee'!BP101&gt;0,"✔","-")</f>
        <v>-</v>
      </c>
      <c r="AF95" s="141" t="str">
        <f>IF('Design Fee'!BQ101&gt;0,"✔","-")</f>
        <v>-</v>
      </c>
      <c r="AG95" s="141" t="str">
        <f>IF('Design Fee'!BR101&gt;0,"✔","-")</f>
        <v>-</v>
      </c>
      <c r="AH95" s="141" t="str">
        <f>IF('Design Fee'!BS101&gt;0,"✔","-")</f>
        <v>-</v>
      </c>
      <c r="AI95" s="141" t="str">
        <f>IF('Design Fee'!BT101&gt;0,"✔","-")</f>
        <v>-</v>
      </c>
      <c r="AJ95" s="590"/>
      <c r="AK95" s="141" t="str">
        <f>IF('Design Fee'!CN101&gt;0,"✔","-")</f>
        <v>✔</v>
      </c>
      <c r="AL95" s="590"/>
      <c r="AM95" s="141" t="str">
        <f>IF('Design Fee'!CS101&gt;0,"✔","-")</f>
        <v>✔</v>
      </c>
      <c r="AN95" s="141" t="str">
        <f>IF('Design Fee'!CT101&gt;0,"✔","-")</f>
        <v>-</v>
      </c>
      <c r="AO95" s="141" t="str">
        <f>IF('Design Fee'!CU101&gt;0,"✔","-")</f>
        <v>-</v>
      </c>
      <c r="AP95" s="141" t="str">
        <f>IF('Design Fee'!CV101&gt;0,"✔","-")</f>
        <v>-</v>
      </c>
      <c r="AQ95" s="141" t="str">
        <f>IF('Design Fee'!CW101&gt;0,"✔","-")</f>
        <v>✔</v>
      </c>
      <c r="AR95" s="141" t="str">
        <f>IF('Design Fee'!CY101&gt;0,"✔","-")</f>
        <v>-</v>
      </c>
      <c r="AS95" s="141" t="str">
        <f>IF('Design Fee'!CZ101&gt;0,"✔","-")</f>
        <v>-</v>
      </c>
      <c r="AT95" s="141" t="str">
        <f>IF('Design Fee'!DA101&gt;0,"✔","-")</f>
        <v>-</v>
      </c>
      <c r="AU95" s="141" t="str">
        <f>IF('Design Fee'!DB101&gt;0,"✔","-")</f>
        <v>-</v>
      </c>
      <c r="AV95" s="141" t="str">
        <f>IF('Design Fee'!DC101&gt;0,"✔","-")</f>
        <v>-</v>
      </c>
      <c r="AW95" s="589"/>
      <c r="AX95" s="141" t="str">
        <f>IF('Design Fee'!DX101&gt;0,"✔","-")</f>
        <v>✔</v>
      </c>
      <c r="AY95" s="590"/>
      <c r="AZ95" s="141" t="str">
        <f>IF('Design Fee'!EC101&gt;0,"✔","-")</f>
        <v>✔</v>
      </c>
      <c r="BA95" s="141" t="str">
        <f>IF('Design Fee'!ED101&gt;0,"✔","-")</f>
        <v>-</v>
      </c>
      <c r="BB95" s="141" t="str">
        <f>IF('Design Fee'!EE101&gt;0,"✔","-")</f>
        <v>-</v>
      </c>
      <c r="BC95" s="141" t="str">
        <f>IF('Design Fee'!EF101&gt;0,"✔","-")</f>
        <v>-</v>
      </c>
      <c r="BD95" s="141" t="str">
        <f>IF('Design Fee'!EG101&gt;0,"✔","-")</f>
        <v>✔</v>
      </c>
      <c r="BE95" s="141" t="str">
        <f>IF('Design Fee'!EI101&gt;0,"✔","-")</f>
        <v>-</v>
      </c>
      <c r="BF95" s="141" t="str">
        <f>IF('Design Fee'!EJ101&gt;0,"✔","-")</f>
        <v>-</v>
      </c>
      <c r="BG95" s="141" t="str">
        <f>IF('Design Fee'!EK101&gt;0,"✔","-")</f>
        <v>-</v>
      </c>
      <c r="BH95" s="141" t="str">
        <f>IF('Design Fee'!EL101&gt;0,"✔","-")</f>
        <v>-</v>
      </c>
      <c r="BI95" s="141" t="str">
        <f>IF('Design Fee'!EM101&gt;0,"✔","-")</f>
        <v>-</v>
      </c>
      <c r="BJ95" s="86"/>
    </row>
    <row r="96" spans="2:62" ht="3" customHeight="1">
      <c r="B96" s="8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86"/>
    </row>
    <row r="97" spans="2:62" s="149" customFormat="1" ht="3" customHeight="1">
      <c r="B97" s="86"/>
      <c r="C97" s="102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  <c r="BD97" s="86"/>
      <c r="BE97" s="86"/>
      <c r="BF97" s="86"/>
      <c r="BG97" s="86"/>
      <c r="BH97" s="86"/>
      <c r="BI97" s="86"/>
      <c r="BJ97" s="86"/>
    </row>
    <row r="98" spans="2:62" ht="3" customHeight="1"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  <c r="BF98" s="76"/>
      <c r="BG98" s="76"/>
      <c r="BH98" s="76"/>
      <c r="BI98" s="76"/>
    </row>
  </sheetData>
  <mergeCells count="11">
    <mergeCell ref="F1:I1"/>
    <mergeCell ref="C49:D49"/>
    <mergeCell ref="C92:D92"/>
    <mergeCell ref="C9:D9"/>
    <mergeCell ref="C3:D3"/>
    <mergeCell ref="K3:K5"/>
    <mergeCell ref="X3:X5"/>
    <mergeCell ref="AK3:AK5"/>
    <mergeCell ref="AX3:AX5"/>
    <mergeCell ref="C5:D5"/>
    <mergeCell ref="C4:D4"/>
  </mergeCells>
  <conditionalFormatting sqref="I3:I4">
    <cfRule type="expression" dxfId="126" priority="30">
      <formula>OR(CELL("col")=COLUMN(),CELL("rom")=ROW())</formula>
    </cfRule>
  </conditionalFormatting>
  <conditionalFormatting sqref="M3:M4 M4:V4">
    <cfRule type="expression" dxfId="125" priority="299">
      <formula>OR(CELL("col")=COLUMN(),CELL("rom")=ROW())</formula>
    </cfRule>
  </conditionalFormatting>
  <conditionalFormatting sqref="R3:R4">
    <cfRule type="expression" dxfId="124" priority="53">
      <formula>OR(CELL("col")=COLUMN(),CELL("rom")=ROW())</formula>
    </cfRule>
  </conditionalFormatting>
  <conditionalFormatting sqref="Z3">
    <cfRule type="expression" dxfId="123" priority="48">
      <formula>OR(CELL("col")=COLUMN(),CELL("rom")=ROW())</formula>
    </cfRule>
  </conditionalFormatting>
  <conditionalFormatting sqref="Z5:AI5">
    <cfRule type="iconSet" priority="71">
      <iconSet iconSet="3Symbols" showValue="0">
        <cfvo type="percent" val="0"/>
        <cfvo type="num" val="0"/>
        <cfvo type="num" val="1"/>
      </iconSet>
    </cfRule>
  </conditionalFormatting>
  <conditionalFormatting sqref="Z8:AI8">
    <cfRule type="iconSet" priority="62">
      <iconSet iconSet="3Symbols" showValue="0">
        <cfvo type="percent" val="0"/>
        <cfvo type="num" val="0"/>
        <cfvo type="num" val="1"/>
      </iconSet>
    </cfRule>
  </conditionalFormatting>
  <conditionalFormatting sqref="Z4:AI4">
    <cfRule type="expression" dxfId="122" priority="18">
      <formula>OR(CELL("col")=COLUMN(),CELL("rom")=ROW())</formula>
    </cfRule>
  </conditionalFormatting>
  <conditionalFormatting sqref="AE3:AE4">
    <cfRule type="expression" dxfId="121" priority="17">
      <formula>OR(CELL("col")=COLUMN(),CELL("rom")=ROW())</formula>
    </cfRule>
  </conditionalFormatting>
  <conditionalFormatting sqref="AM3">
    <cfRule type="expression" dxfId="120" priority="42">
      <formula>OR(CELL("col")=COLUMN(),CELL("rom")=ROW())</formula>
    </cfRule>
  </conditionalFormatting>
  <conditionalFormatting sqref="AM5:AV5">
    <cfRule type="iconSet" priority="68">
      <iconSet iconSet="3Symbols" showValue="0">
        <cfvo type="percent" val="0"/>
        <cfvo type="num" val="0"/>
        <cfvo type="num" val="1"/>
      </iconSet>
    </cfRule>
  </conditionalFormatting>
  <conditionalFormatting sqref="AM8:AV8">
    <cfRule type="iconSet" priority="59">
      <iconSet iconSet="3Symbols" showValue="0">
        <cfvo type="percent" val="0"/>
        <cfvo type="num" val="0"/>
        <cfvo type="num" val="1"/>
      </iconSet>
    </cfRule>
  </conditionalFormatting>
  <conditionalFormatting sqref="AM4:AV4">
    <cfRule type="expression" dxfId="119" priority="12">
      <formula>OR(CELL("col")=COLUMN(),CELL("rom")=ROW())</formula>
    </cfRule>
  </conditionalFormatting>
  <conditionalFormatting sqref="AR3:AR4">
    <cfRule type="expression" dxfId="118" priority="11">
      <formula>OR(CELL("col")=COLUMN(),CELL("rom")=ROW())</formula>
    </cfRule>
  </conditionalFormatting>
  <conditionalFormatting sqref="AZ3">
    <cfRule type="expression" dxfId="117" priority="36">
      <formula>OR(CELL("col")=COLUMN(),CELL("rom")=ROW())</formula>
    </cfRule>
  </conditionalFormatting>
  <conditionalFormatting sqref="AZ5:BI5">
    <cfRule type="iconSet" priority="65">
      <iconSet iconSet="3Symbols" showValue="0">
        <cfvo type="percent" val="0"/>
        <cfvo type="num" val="0"/>
        <cfvo type="num" val="1"/>
      </iconSet>
    </cfRule>
  </conditionalFormatting>
  <conditionalFormatting sqref="AZ8:BI8">
    <cfRule type="iconSet" priority="56">
      <iconSet iconSet="3Symbols" showValue="0">
        <cfvo type="percent" val="0"/>
        <cfvo type="num" val="0"/>
        <cfvo type="num" val="1"/>
      </iconSet>
    </cfRule>
  </conditionalFormatting>
  <conditionalFormatting sqref="AZ4:BI4">
    <cfRule type="expression" dxfId="116" priority="6">
      <formula>OR(CELL("col")=COLUMN(),CELL("rom")=ROW())</formula>
    </cfRule>
  </conditionalFormatting>
  <conditionalFormatting sqref="BE3:BE4">
    <cfRule type="expression" dxfId="115" priority="5">
      <formula>OR(CELL("col")=COLUMN(),CELL("rom")=ROW())</formula>
    </cfRule>
  </conditionalFormatting>
  <conditionalFormatting sqref="M5:V5">
    <cfRule type="iconSet" priority="153465">
      <iconSet iconSet="3Symbols" showValue="0">
        <cfvo type="percent" val="0"/>
        <cfvo type="num" val="0"/>
        <cfvo type="num" val="1"/>
      </iconSet>
    </cfRule>
  </conditionalFormatting>
  <printOptions horizontalCentered="1"/>
  <pageMargins left="0.25" right="0.25" top="0.75" bottom="0.75" header="0.3" footer="0.3"/>
  <pageSetup paperSize="9" scale="5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5A2B9-A960-4D31-8C66-B6A172052F1E}">
  <sheetPr codeName="Sheet1">
    <outlinePr summaryBelow="0" summaryRight="0"/>
    <pageSetUpPr fitToPage="1"/>
  </sheetPr>
  <dimension ref="B1:FH103"/>
  <sheetViews>
    <sheetView tabSelected="1" zoomScale="116" zoomScaleNormal="85" zoomScaleSheetLayoutView="115" workbookViewId="0">
      <pane xSplit="3" ySplit="6" topLeftCell="CN64" activePane="bottomRight" state="frozen"/>
      <selection pane="topRight" activeCell="M118" sqref="M118"/>
      <selection pane="bottomLeft" activeCell="M118" sqref="M118"/>
      <selection pane="bottomRight" activeCell="CP76" sqref="CP76"/>
    </sheetView>
  </sheetViews>
  <sheetFormatPr defaultColWidth="11.44140625" defaultRowHeight="11.85" customHeight="1" outlineLevelRow="2" outlineLevelCol="3"/>
  <cols>
    <col min="1" max="1" width="0.5546875" style="153" customWidth="1"/>
    <col min="2" max="2" width="8.109375" style="154" bestFit="1" customWidth="1"/>
    <col min="3" max="3" width="61" style="155" customWidth="1"/>
    <col min="4" max="4" width="0.5546875" style="155" customWidth="1"/>
    <col min="5" max="5" width="10.5546875" style="155" customWidth="1" collapsed="1"/>
    <col min="6" max="7" width="9.44140625" style="155" hidden="1" customWidth="1" outlineLevel="2"/>
    <col min="8" max="8" width="10.5546875" style="236" hidden="1" customWidth="1" outlineLevel="1"/>
    <col min="9" max="9" width="12.44140625" style="236" hidden="1" customWidth="1" outlineLevel="2"/>
    <col min="10" max="10" width="10.5546875" style="236" hidden="1" customWidth="1" outlineLevel="3"/>
    <col min="11" max="11" width="9.44140625" style="236" hidden="1" customWidth="1" outlineLevel="3"/>
    <col min="12" max="13" width="10.5546875" style="236" hidden="1" customWidth="1" outlineLevel="3"/>
    <col min="14" max="14" width="0.5546875" style="236" hidden="1" customWidth="1" outlineLevel="3"/>
    <col min="15" max="15" width="10.5546875" style="282" hidden="1" customWidth="1" outlineLevel="2"/>
    <col min="16" max="19" width="10.5546875" style="282" hidden="1" customWidth="1" outlineLevel="3"/>
    <col min="20" max="20" width="0.5546875" style="161" hidden="1" customWidth="1" outlineLevel="1"/>
    <col min="21" max="21" width="0.5546875" style="161" customWidth="1"/>
    <col min="22" max="22" width="7" style="156" customWidth="1"/>
    <col min="23" max="23" width="0.5546875" style="157" customWidth="1"/>
    <col min="24" max="24" width="11.44140625" style="190" customWidth="1" collapsed="1"/>
    <col min="25" max="25" width="10.5546875" style="190" hidden="1" customWidth="1" outlineLevel="1"/>
    <col min="26" max="26" width="10.5546875" style="236" hidden="1" customWidth="1" outlineLevel="1"/>
    <col min="27" max="27" width="12.44140625" style="236" hidden="1" customWidth="1" outlineLevel="2"/>
    <col min="28" max="31" width="10.5546875" style="236" hidden="1" customWidth="1" outlineLevel="3"/>
    <col min="32" max="32" width="0.5546875" style="236" hidden="1" customWidth="1" outlineLevel="3"/>
    <col min="33" max="33" width="10.5546875" style="282" hidden="1" customWidth="1" outlineLevel="2"/>
    <col min="34" max="37" width="10.5546875" style="282" hidden="1" customWidth="1" outlineLevel="3"/>
    <col min="38" max="38" width="0.5546875" style="161" hidden="1" customWidth="1" outlineLevel="2"/>
    <col min="39" max="41" width="10.5546875" style="279" hidden="1" customWidth="1" outlineLevel="2"/>
    <col min="42" max="42" width="0.44140625" style="162" hidden="1" customWidth="1" outlineLevel="2"/>
    <col min="43" max="43" width="11.109375" style="164" hidden="1" customWidth="1" outlineLevel="2"/>
    <col min="44" max="44" width="10.5546875" style="164" hidden="1" customWidth="1" outlineLevel="2"/>
    <col min="45" max="45" width="11.109375" style="164" hidden="1" customWidth="1" outlineLevel="2"/>
    <col min="46" max="46" width="11.44140625" style="164" hidden="1" customWidth="1" outlineLevel="3"/>
    <col min="47" max="49" width="10.5546875" style="164" hidden="1" customWidth="1" outlineLevel="3"/>
    <col min="50" max="50" width="0.5546875" style="164" hidden="1" customWidth="1" outlineLevel="3"/>
    <col min="51" max="51" width="10.5546875" style="163" hidden="1" customWidth="1" outlineLevel="2"/>
    <col min="52" max="55" width="10.5546875" style="163" hidden="1" customWidth="1" outlineLevel="3"/>
    <col min="56" max="56" width="0.5546875" style="164" customWidth="1"/>
    <col min="57" max="57" width="7" style="156" customWidth="1"/>
    <col min="58" max="58" width="1" style="157" customWidth="1"/>
    <col min="59" max="59" width="9.88671875" style="190" customWidth="1" collapsed="1"/>
    <col min="60" max="60" width="10.5546875" style="190" hidden="1" customWidth="1" outlineLevel="1"/>
    <col min="61" max="61" width="10.5546875" style="236" hidden="1" customWidth="1" outlineLevel="1"/>
    <col min="62" max="62" width="10.5546875" style="236" hidden="1" customWidth="1" outlineLevel="2"/>
    <col min="63" max="66" width="10.5546875" style="236" hidden="1" customWidth="1" outlineLevel="3"/>
    <col min="67" max="67" width="0.5546875" style="236" hidden="1" customWidth="1" outlineLevel="3"/>
    <col min="68" max="68" width="10.5546875" style="282" hidden="1" customWidth="1" outlineLevel="2"/>
    <col min="69" max="72" width="10.5546875" style="282" hidden="1" customWidth="1" outlineLevel="3"/>
    <col min="73" max="73" width="0.5546875" style="161" hidden="1" customWidth="1" outlineLevel="2"/>
    <col min="74" max="76" width="10.5546875" style="279" hidden="1" customWidth="1" outlineLevel="2"/>
    <col min="77" max="77" width="0.44140625" style="355" hidden="1" customWidth="1" outlineLevel="2"/>
    <col min="78" max="80" width="10.5546875" style="164" hidden="1" customWidth="1" outlineLevel="2"/>
    <col min="81" max="84" width="10.5546875" style="164" hidden="1" customWidth="1" outlineLevel="3"/>
    <col min="85" max="85" width="0.5546875" style="164" hidden="1" customWidth="1" outlineLevel="3"/>
    <col min="86" max="86" width="10.5546875" style="163" hidden="1" customWidth="1" outlineLevel="2"/>
    <col min="87" max="90" width="10.5546875" style="163" hidden="1" customWidth="1" outlineLevel="3"/>
    <col min="91" max="91" width="0.5546875" style="164" customWidth="1"/>
    <col min="92" max="92" width="7" style="156" customWidth="1"/>
    <col min="93" max="93" width="0.5546875" style="157" customWidth="1"/>
    <col min="94" max="94" width="9.88671875" style="190" customWidth="1"/>
    <col min="95" max="95" width="10.5546875" style="190" customWidth="1" outlineLevel="1"/>
    <col min="96" max="96" width="16.44140625" style="236" customWidth="1" outlineLevel="1"/>
    <col min="97" max="97" width="22.5546875" style="236" customWidth="1" outlineLevel="2"/>
    <col min="98" max="101" width="9.88671875" style="236" customWidth="1" outlineLevel="3"/>
    <col min="102" max="102" width="0.5546875" style="236" customWidth="1" outlineLevel="2"/>
    <col min="103" max="103" width="21.5546875" style="282" customWidth="1" outlineLevel="2"/>
    <col min="104" max="104" width="7.5546875" style="282" customWidth="1" outlineLevel="3"/>
    <col min="105" max="105" width="6.44140625" style="282" customWidth="1" outlineLevel="3"/>
    <col min="106" max="106" width="8" style="282" customWidth="1" outlineLevel="3"/>
    <col min="107" max="107" width="7.44140625" style="282" customWidth="1" outlineLevel="3"/>
    <col min="108" max="108" width="0.5546875" style="161" customWidth="1" outlineLevel="2"/>
    <col min="109" max="111" width="10.44140625" style="236" customWidth="1" outlineLevel="2"/>
    <col min="112" max="112" width="0.44140625" style="162" customWidth="1" outlineLevel="2"/>
    <col min="113" max="114" width="11.5546875" style="164" customWidth="1" outlineLevel="2"/>
    <col min="115" max="115" width="11.109375" style="164" customWidth="1" outlineLevel="2"/>
    <col min="116" max="116" width="10.44140625" style="164" customWidth="1" outlineLevel="3"/>
    <col min="117" max="117" width="9.44140625" style="164" customWidth="1" outlineLevel="3"/>
    <col min="118" max="119" width="10.44140625" style="164" customWidth="1" outlineLevel="3"/>
    <col min="120" max="120" width="0.5546875" style="164" customWidth="1" outlineLevel="2"/>
    <col min="121" max="121" width="9.5546875" style="163" customWidth="1" outlineLevel="2"/>
    <col min="122" max="122" width="9.44140625" style="163" customWidth="1" outlineLevel="3"/>
    <col min="123" max="123" width="8" style="163" customWidth="1" outlineLevel="3"/>
    <col min="124" max="124" width="9" style="163" customWidth="1" outlineLevel="3"/>
    <col min="125" max="125" width="9.44140625" style="163" customWidth="1" outlineLevel="3"/>
    <col min="126" max="126" width="0.5546875" style="163" customWidth="1" outlineLevel="1"/>
    <col min="127" max="127" width="0.5546875" style="164" customWidth="1"/>
    <col min="128" max="128" width="7" style="156" customWidth="1"/>
    <col min="129" max="129" width="0.5546875" style="157" customWidth="1"/>
    <col min="130" max="130" width="9.88671875" style="190" customWidth="1"/>
    <col min="131" max="131" width="10.44140625" style="190" customWidth="1" outlineLevel="1"/>
    <col min="132" max="132" width="11.5546875" style="236" customWidth="1" outlineLevel="1"/>
    <col min="133" max="133" width="9.44140625" style="236" customWidth="1" outlineLevel="2"/>
    <col min="134" max="137" width="8.5546875" style="236" customWidth="1" outlineLevel="3"/>
    <col min="138" max="138" width="0.5546875" style="236" customWidth="1" outlineLevel="2"/>
    <col min="139" max="139" width="11.109375" style="282" customWidth="1" outlineLevel="2"/>
    <col min="140" max="141" width="7.109375" style="282" customWidth="1" outlineLevel="3"/>
    <col min="142" max="142" width="8" style="282" customWidth="1" outlineLevel="3"/>
    <col min="143" max="143" width="8.5546875" style="282" customWidth="1" outlineLevel="3"/>
    <col min="144" max="144" width="0.5546875" style="161" customWidth="1" outlineLevel="2"/>
    <col min="145" max="147" width="10.44140625" style="236" customWidth="1" outlineLevel="2"/>
    <col min="148" max="148" width="0.44140625" style="162" customWidth="1" outlineLevel="2"/>
    <col min="149" max="149" width="8.5546875" style="164" customWidth="1" outlineLevel="2"/>
    <col min="150" max="151" width="9.5546875" style="164" customWidth="1" outlineLevel="2"/>
    <col min="152" max="152" width="9.44140625" style="164" customWidth="1" outlineLevel="3"/>
    <col min="153" max="153" width="8.44140625" style="164" customWidth="1" outlineLevel="3"/>
    <col min="154" max="154" width="9.5546875" style="164" customWidth="1" outlineLevel="3"/>
    <col min="155" max="155" width="9" style="164" customWidth="1" outlineLevel="3"/>
    <col min="156" max="156" width="0.5546875" style="164" customWidth="1" outlineLevel="2"/>
    <col min="157" max="157" width="9.5546875" style="163" customWidth="1" outlineLevel="2"/>
    <col min="158" max="160" width="7.109375" style="163" customWidth="1" outlineLevel="3"/>
    <col min="161" max="161" width="9.44140625" style="163" customWidth="1" outlineLevel="3"/>
    <col min="162" max="162" width="0.5546875" style="163" customWidth="1" outlineLevel="1"/>
    <col min="163" max="163" width="0.5546875" style="164" customWidth="1"/>
    <col min="164" max="164" width="11.44140625" style="156" bestFit="1" customWidth="1"/>
    <col min="165" max="165" width="0.5546875" style="153" customWidth="1"/>
    <col min="166" max="166" width="11.44140625" style="153" customWidth="1"/>
    <col min="167" max="16384" width="11.44140625" style="153"/>
  </cols>
  <sheetData>
    <row r="1" spans="2:164" ht="18" hidden="1" customHeight="1">
      <c r="D1" s="315"/>
      <c r="E1" s="340" t="s">
        <v>122</v>
      </c>
      <c r="F1" s="341"/>
      <c r="G1" s="342"/>
      <c r="H1" s="284">
        <v>2024</v>
      </c>
      <c r="I1" s="338" t="s">
        <v>123</v>
      </c>
      <c r="J1" s="158"/>
      <c r="K1" s="158"/>
      <c r="L1" s="158"/>
      <c r="M1" s="158"/>
      <c r="N1" s="159"/>
      <c r="O1" s="339" t="s">
        <v>124</v>
      </c>
      <c r="P1" s="160"/>
      <c r="Q1" s="160"/>
      <c r="R1" s="160"/>
      <c r="S1" s="160"/>
      <c r="U1" s="343">
        <v>0.01</v>
      </c>
      <c r="V1" s="343">
        <v>0.01</v>
      </c>
      <c r="Y1" s="283"/>
      <c r="Z1" s="284">
        <v>2024</v>
      </c>
      <c r="AA1" s="338" t="s">
        <v>123</v>
      </c>
      <c r="AB1" s="158"/>
      <c r="AC1" s="158"/>
      <c r="AD1" s="158"/>
      <c r="AE1" s="158"/>
      <c r="AF1" s="159"/>
      <c r="AG1" s="339" t="s">
        <v>124</v>
      </c>
      <c r="AH1" s="160"/>
      <c r="AI1" s="160"/>
      <c r="AJ1" s="160"/>
      <c r="AK1" s="160"/>
      <c r="AM1" s="610" t="s">
        <v>125</v>
      </c>
      <c r="AN1" s="610"/>
      <c r="AO1" s="610"/>
      <c r="AQ1" s="611" t="s">
        <v>126</v>
      </c>
      <c r="AR1" s="611"/>
      <c r="AS1" s="338" t="s">
        <v>7</v>
      </c>
      <c r="AT1" s="158"/>
      <c r="AU1" s="158"/>
      <c r="AV1" s="158"/>
      <c r="AW1" s="158"/>
      <c r="AX1" s="159"/>
      <c r="AY1" s="339" t="s">
        <v>127</v>
      </c>
      <c r="AZ1" s="160"/>
      <c r="BA1" s="160"/>
      <c r="BB1" s="160"/>
      <c r="BC1" s="160"/>
      <c r="BH1" s="283"/>
      <c r="BI1" s="284">
        <v>2024</v>
      </c>
      <c r="BJ1" s="338" t="s">
        <v>123</v>
      </c>
      <c r="BK1" s="158"/>
      <c r="BL1" s="158"/>
      <c r="BM1" s="158"/>
      <c r="BN1" s="158"/>
      <c r="BO1" s="159"/>
      <c r="BP1" s="339" t="s">
        <v>124</v>
      </c>
      <c r="BQ1" s="160"/>
      <c r="BR1" s="160"/>
      <c r="BS1" s="160"/>
      <c r="BT1" s="160"/>
      <c r="BV1" s="610" t="s">
        <v>125</v>
      </c>
      <c r="BW1" s="610"/>
      <c r="BX1" s="610"/>
      <c r="BZ1" s="611" t="s">
        <v>126</v>
      </c>
      <c r="CA1" s="611"/>
      <c r="CB1" s="338" t="s">
        <v>7</v>
      </c>
      <c r="CC1" s="158"/>
      <c r="CD1" s="158"/>
      <c r="CE1" s="158"/>
      <c r="CF1" s="158"/>
      <c r="CG1" s="159"/>
      <c r="CH1" s="339" t="s">
        <v>127</v>
      </c>
      <c r="CI1" s="160"/>
      <c r="CJ1" s="160"/>
      <c r="CK1" s="160"/>
      <c r="CL1" s="160"/>
      <c r="CQ1" s="283"/>
      <c r="CR1" s="284">
        <v>2024</v>
      </c>
      <c r="CS1" s="338" t="s">
        <v>123</v>
      </c>
      <c r="CT1" s="158"/>
      <c r="CU1" s="158"/>
      <c r="CV1" s="158"/>
      <c r="CW1" s="158"/>
      <c r="CX1" s="159"/>
      <c r="CY1" s="339" t="s">
        <v>124</v>
      </c>
      <c r="CZ1" s="160"/>
      <c r="DA1" s="160"/>
      <c r="DB1" s="160"/>
      <c r="DC1" s="160"/>
      <c r="DE1" s="611" t="s">
        <v>125</v>
      </c>
      <c r="DF1" s="611"/>
      <c r="DG1" s="611"/>
      <c r="DI1" s="611" t="s">
        <v>126</v>
      </c>
      <c r="DJ1" s="611"/>
      <c r="DK1" s="338" t="s">
        <v>7</v>
      </c>
      <c r="DL1" s="158"/>
      <c r="DM1" s="158"/>
      <c r="DN1" s="158"/>
      <c r="DO1" s="158"/>
      <c r="DP1" s="159"/>
      <c r="DQ1" s="339" t="s">
        <v>127</v>
      </c>
      <c r="DR1" s="160"/>
      <c r="DS1" s="160"/>
      <c r="DT1" s="160"/>
      <c r="DU1" s="160"/>
      <c r="EA1" s="283"/>
      <c r="EB1" s="284">
        <v>2024</v>
      </c>
      <c r="EC1" s="338" t="s">
        <v>123</v>
      </c>
      <c r="ED1" s="158"/>
      <c r="EE1" s="158"/>
      <c r="EF1" s="158"/>
      <c r="EG1" s="158"/>
      <c r="EH1" s="159"/>
      <c r="EI1" s="339" t="s">
        <v>124</v>
      </c>
      <c r="EJ1" s="160"/>
      <c r="EK1" s="160"/>
      <c r="EL1" s="160"/>
      <c r="EM1" s="160"/>
      <c r="EO1" s="611" t="s">
        <v>125</v>
      </c>
      <c r="EP1" s="611"/>
      <c r="EQ1" s="611"/>
      <c r="ES1" s="611" t="s">
        <v>126</v>
      </c>
      <c r="ET1" s="611"/>
      <c r="EU1" s="338" t="s">
        <v>7</v>
      </c>
      <c r="EV1" s="158"/>
      <c r="EW1" s="158"/>
      <c r="EX1" s="158"/>
      <c r="EY1" s="158"/>
      <c r="EZ1" s="159"/>
      <c r="FA1" s="339" t="s">
        <v>127</v>
      </c>
      <c r="FB1" s="160"/>
      <c r="FC1" s="160"/>
      <c r="FD1" s="160"/>
      <c r="FE1" s="160"/>
    </row>
    <row r="2" spans="2:164" s="165" customFormat="1" ht="3" customHeight="1">
      <c r="B2" s="166"/>
      <c r="C2" s="173"/>
      <c r="D2" s="173"/>
      <c r="E2" s="173"/>
      <c r="F2" s="173"/>
      <c r="G2" s="173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9"/>
      <c r="U2" s="169"/>
      <c r="W2" s="167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9"/>
      <c r="AM2" s="344"/>
      <c r="AN2" s="344"/>
      <c r="AO2" s="344"/>
      <c r="AQ2" s="172"/>
      <c r="AR2" s="172"/>
      <c r="AS2" s="172"/>
      <c r="AT2" s="172"/>
      <c r="AU2" s="172"/>
      <c r="AV2" s="172"/>
      <c r="AW2" s="172"/>
      <c r="AX2" s="172"/>
      <c r="AY2" s="172"/>
      <c r="AZ2" s="172"/>
      <c r="BA2" s="172"/>
      <c r="BB2" s="172"/>
      <c r="BC2" s="172"/>
      <c r="BD2" s="172"/>
      <c r="BF2" s="167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9"/>
      <c r="BV2" s="344"/>
      <c r="BW2" s="344"/>
      <c r="BX2" s="344"/>
      <c r="BY2" s="355"/>
      <c r="BZ2" s="172"/>
      <c r="CA2" s="172"/>
      <c r="CB2" s="172"/>
      <c r="CC2" s="172"/>
      <c r="CD2" s="172"/>
      <c r="CE2" s="172"/>
      <c r="CF2" s="172"/>
      <c r="CG2" s="172"/>
      <c r="CH2" s="172"/>
      <c r="CI2" s="172"/>
      <c r="CJ2" s="172"/>
      <c r="CK2" s="172"/>
      <c r="CL2" s="172"/>
      <c r="CM2" s="172"/>
      <c r="CO2" s="167"/>
      <c r="CP2" s="168"/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9"/>
      <c r="DE2" s="172"/>
      <c r="DF2" s="172"/>
      <c r="DG2" s="172"/>
      <c r="DI2" s="172"/>
      <c r="DJ2" s="172"/>
      <c r="DK2" s="172"/>
      <c r="DL2" s="172"/>
      <c r="DM2" s="172"/>
      <c r="DN2" s="172"/>
      <c r="DO2" s="172"/>
      <c r="DP2" s="172"/>
      <c r="DQ2" s="172"/>
      <c r="DR2" s="172"/>
      <c r="DS2" s="172"/>
      <c r="DT2" s="172"/>
      <c r="DU2" s="172"/>
      <c r="DV2" s="172"/>
      <c r="DW2" s="172"/>
      <c r="DY2" s="167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9"/>
      <c r="EO2" s="172"/>
      <c r="EP2" s="172"/>
      <c r="EQ2" s="172"/>
      <c r="ES2" s="172"/>
      <c r="ET2" s="172"/>
      <c r="EU2" s="172"/>
      <c r="EV2" s="172"/>
      <c r="EW2" s="172"/>
      <c r="EX2" s="172"/>
      <c r="EY2" s="172"/>
      <c r="EZ2" s="172"/>
      <c r="FA2" s="172"/>
      <c r="FB2" s="172"/>
      <c r="FC2" s="172"/>
      <c r="FD2" s="172"/>
      <c r="FE2" s="172"/>
      <c r="FF2" s="172"/>
      <c r="FG2" s="172"/>
    </row>
    <row r="3" spans="2:164" s="165" customFormat="1" ht="41.4">
      <c r="B3" s="614" t="s">
        <v>128</v>
      </c>
      <c r="C3" s="615"/>
      <c r="D3" s="312"/>
      <c r="E3" s="176" t="s">
        <v>129</v>
      </c>
      <c r="F3" s="177" t="s">
        <v>3</v>
      </c>
      <c r="G3" s="178" t="s">
        <v>5</v>
      </c>
      <c r="H3" s="177" t="s">
        <v>130</v>
      </c>
      <c r="I3" s="178" t="s">
        <v>131</v>
      </c>
      <c r="J3" s="179" t="s">
        <v>8</v>
      </c>
      <c r="K3" s="179" t="s">
        <v>9</v>
      </c>
      <c r="L3" s="179" t="s">
        <v>10</v>
      </c>
      <c r="M3" s="179" t="s">
        <v>11</v>
      </c>
      <c r="N3" s="180"/>
      <c r="O3" s="178" t="s">
        <v>132</v>
      </c>
      <c r="P3" s="179" t="s">
        <v>8</v>
      </c>
      <c r="Q3" s="179" t="s">
        <v>9</v>
      </c>
      <c r="R3" s="179" t="s">
        <v>10</v>
      </c>
      <c r="S3" s="179" t="s">
        <v>11</v>
      </c>
      <c r="T3" s="169"/>
      <c r="U3" s="183"/>
      <c r="V3" s="335" t="s">
        <v>6</v>
      </c>
      <c r="W3" s="175"/>
      <c r="X3" s="176" t="s">
        <v>133</v>
      </c>
      <c r="Y3" s="176" t="s">
        <v>134</v>
      </c>
      <c r="Z3" s="177" t="s">
        <v>130</v>
      </c>
      <c r="AA3" s="178" t="s">
        <v>131</v>
      </c>
      <c r="AB3" s="179" t="s">
        <v>8</v>
      </c>
      <c r="AC3" s="179" t="s">
        <v>9</v>
      </c>
      <c r="AD3" s="179" t="s">
        <v>10</v>
      </c>
      <c r="AE3" s="179" t="s">
        <v>11</v>
      </c>
      <c r="AF3" s="180"/>
      <c r="AG3" s="178" t="s">
        <v>132</v>
      </c>
      <c r="AH3" s="179" t="s">
        <v>8</v>
      </c>
      <c r="AI3" s="179" t="s">
        <v>9</v>
      </c>
      <c r="AJ3" s="179" t="s">
        <v>10</v>
      </c>
      <c r="AK3" s="179" t="s">
        <v>11</v>
      </c>
      <c r="AL3" s="169"/>
      <c r="AM3" s="345" t="s">
        <v>135</v>
      </c>
      <c r="AN3" s="346" t="s">
        <v>136</v>
      </c>
      <c r="AO3" s="347" t="s">
        <v>137</v>
      </c>
      <c r="AP3" s="182"/>
      <c r="AQ3" s="330" t="s">
        <v>2</v>
      </c>
      <c r="AR3" s="327" t="s">
        <v>138</v>
      </c>
      <c r="AS3" s="181" t="s">
        <v>139</v>
      </c>
      <c r="AT3" s="179" t="s">
        <v>8</v>
      </c>
      <c r="AU3" s="179" t="s">
        <v>9</v>
      </c>
      <c r="AV3" s="179" t="s">
        <v>10</v>
      </c>
      <c r="AW3" s="179" t="s">
        <v>11</v>
      </c>
      <c r="AX3" s="180"/>
      <c r="AY3" s="181" t="s">
        <v>140</v>
      </c>
      <c r="AZ3" s="179" t="s">
        <v>8</v>
      </c>
      <c r="BA3" s="179" t="s">
        <v>9</v>
      </c>
      <c r="BB3" s="179" t="s">
        <v>10</v>
      </c>
      <c r="BC3" s="179" t="s">
        <v>11</v>
      </c>
      <c r="BD3" s="184"/>
      <c r="BE3" s="335" t="s">
        <v>13</v>
      </c>
      <c r="BF3" s="175"/>
      <c r="BG3" s="176" t="s">
        <v>133</v>
      </c>
      <c r="BH3" s="176" t="s">
        <v>134</v>
      </c>
      <c r="BI3" s="177" t="s">
        <v>130</v>
      </c>
      <c r="BJ3" s="178" t="s">
        <v>131</v>
      </c>
      <c r="BK3" s="179" t="s">
        <v>8</v>
      </c>
      <c r="BL3" s="179" t="s">
        <v>9</v>
      </c>
      <c r="BM3" s="179" t="s">
        <v>10</v>
      </c>
      <c r="BN3" s="179" t="s">
        <v>11</v>
      </c>
      <c r="BO3" s="180"/>
      <c r="BP3" s="178" t="s">
        <v>132</v>
      </c>
      <c r="BQ3" s="179" t="s">
        <v>8</v>
      </c>
      <c r="BR3" s="179" t="s">
        <v>9</v>
      </c>
      <c r="BS3" s="179" t="s">
        <v>10</v>
      </c>
      <c r="BT3" s="179" t="s">
        <v>11</v>
      </c>
      <c r="BU3" s="169"/>
      <c r="BV3" s="345" t="s">
        <v>135</v>
      </c>
      <c r="BW3" s="346" t="s">
        <v>136</v>
      </c>
      <c r="BX3" s="347" t="s">
        <v>137</v>
      </c>
      <c r="BY3" s="356"/>
      <c r="BZ3" s="330" t="s">
        <v>2</v>
      </c>
      <c r="CA3" s="327" t="s">
        <v>138</v>
      </c>
      <c r="CB3" s="181" t="s">
        <v>139</v>
      </c>
      <c r="CC3" s="179" t="s">
        <v>8</v>
      </c>
      <c r="CD3" s="179" t="s">
        <v>9</v>
      </c>
      <c r="CE3" s="179" t="s">
        <v>10</v>
      </c>
      <c r="CF3" s="179" t="s">
        <v>11</v>
      </c>
      <c r="CG3" s="180"/>
      <c r="CH3" s="181" t="s">
        <v>140</v>
      </c>
      <c r="CI3" s="179" t="s">
        <v>8</v>
      </c>
      <c r="CJ3" s="179" t="s">
        <v>9</v>
      </c>
      <c r="CK3" s="179" t="s">
        <v>10</v>
      </c>
      <c r="CL3" s="179" t="s">
        <v>11</v>
      </c>
      <c r="CM3" s="184"/>
      <c r="CN3" s="335" t="s">
        <v>14</v>
      </c>
      <c r="CO3" s="175"/>
      <c r="CP3" s="176" t="s">
        <v>133</v>
      </c>
      <c r="CQ3" s="176" t="s">
        <v>134</v>
      </c>
      <c r="CR3" s="177" t="s">
        <v>130</v>
      </c>
      <c r="CS3" s="178" t="s">
        <v>131</v>
      </c>
      <c r="CT3" s="179" t="s">
        <v>8</v>
      </c>
      <c r="CU3" s="179" t="s">
        <v>9</v>
      </c>
      <c r="CV3" s="179" t="s">
        <v>10</v>
      </c>
      <c r="CW3" s="179" t="s">
        <v>11</v>
      </c>
      <c r="CX3" s="180"/>
      <c r="CY3" s="178" t="s">
        <v>132</v>
      </c>
      <c r="CZ3" s="179" t="s">
        <v>8</v>
      </c>
      <c r="DA3" s="179" t="s">
        <v>9</v>
      </c>
      <c r="DB3" s="179" t="s">
        <v>10</v>
      </c>
      <c r="DC3" s="179" t="s">
        <v>11</v>
      </c>
      <c r="DD3" s="169"/>
      <c r="DE3" s="327" t="s">
        <v>135</v>
      </c>
      <c r="DF3" s="328" t="s">
        <v>136</v>
      </c>
      <c r="DG3" s="329" t="s">
        <v>137</v>
      </c>
      <c r="DH3" s="182"/>
      <c r="DI3" s="330" t="s">
        <v>2</v>
      </c>
      <c r="DJ3" s="327" t="s">
        <v>138</v>
      </c>
      <c r="DK3" s="181" t="s">
        <v>139</v>
      </c>
      <c r="DL3" s="179" t="s">
        <v>8</v>
      </c>
      <c r="DM3" s="179" t="s">
        <v>9</v>
      </c>
      <c r="DN3" s="179" t="s">
        <v>10</v>
      </c>
      <c r="DO3" s="179" t="s">
        <v>11</v>
      </c>
      <c r="DP3" s="180"/>
      <c r="DQ3" s="181" t="s">
        <v>140</v>
      </c>
      <c r="DR3" s="179" t="s">
        <v>8</v>
      </c>
      <c r="DS3" s="179" t="s">
        <v>9</v>
      </c>
      <c r="DT3" s="179" t="s">
        <v>10</v>
      </c>
      <c r="DU3" s="179" t="s">
        <v>11</v>
      </c>
      <c r="DV3" s="179"/>
      <c r="DW3" s="184"/>
      <c r="DX3" s="335" t="s">
        <v>141</v>
      </c>
      <c r="DY3" s="175"/>
      <c r="DZ3" s="176" t="s">
        <v>133</v>
      </c>
      <c r="EA3" s="176" t="s">
        <v>134</v>
      </c>
      <c r="EB3" s="177" t="s">
        <v>130</v>
      </c>
      <c r="EC3" s="178" t="s">
        <v>131</v>
      </c>
      <c r="ED3" s="179" t="s">
        <v>8</v>
      </c>
      <c r="EE3" s="179" t="s">
        <v>9</v>
      </c>
      <c r="EF3" s="179" t="s">
        <v>10</v>
      </c>
      <c r="EG3" s="179" t="s">
        <v>11</v>
      </c>
      <c r="EH3" s="180"/>
      <c r="EI3" s="178" t="s">
        <v>132</v>
      </c>
      <c r="EJ3" s="179" t="s">
        <v>8</v>
      </c>
      <c r="EK3" s="179" t="s">
        <v>9</v>
      </c>
      <c r="EL3" s="179" t="s">
        <v>10</v>
      </c>
      <c r="EM3" s="179" t="s">
        <v>11</v>
      </c>
      <c r="EN3" s="169"/>
      <c r="EO3" s="327" t="s">
        <v>135</v>
      </c>
      <c r="EP3" s="328" t="s">
        <v>136</v>
      </c>
      <c r="EQ3" s="329" t="s">
        <v>137</v>
      </c>
      <c r="ER3" s="182"/>
      <c r="ES3" s="330" t="s">
        <v>2</v>
      </c>
      <c r="ET3" s="327" t="s">
        <v>138</v>
      </c>
      <c r="EU3" s="181" t="s">
        <v>139</v>
      </c>
      <c r="EV3" s="179" t="s">
        <v>8</v>
      </c>
      <c r="EW3" s="179" t="s">
        <v>9</v>
      </c>
      <c r="EX3" s="179" t="s">
        <v>10</v>
      </c>
      <c r="EY3" s="179" t="s">
        <v>11</v>
      </c>
      <c r="EZ3" s="180"/>
      <c r="FA3" s="181" t="s">
        <v>140</v>
      </c>
      <c r="FB3" s="179" t="s">
        <v>8</v>
      </c>
      <c r="FC3" s="179" t="s">
        <v>9</v>
      </c>
      <c r="FD3" s="179" t="s">
        <v>10</v>
      </c>
      <c r="FE3" s="179" t="s">
        <v>11</v>
      </c>
      <c r="FF3" s="179"/>
      <c r="FG3" s="184"/>
      <c r="FH3" s="335" t="s">
        <v>142</v>
      </c>
    </row>
    <row r="4" spans="2:164" s="165" customFormat="1" ht="20.25" customHeight="1">
      <c r="B4" s="616" t="s">
        <v>16</v>
      </c>
      <c r="C4" s="617"/>
      <c r="D4" s="316"/>
      <c r="E4" s="456">
        <f>X4+BG4+CP4+DZ4</f>
        <v>97</v>
      </c>
      <c r="F4" s="456">
        <f>Y4+BH4+CQ4+EA4</f>
        <v>44</v>
      </c>
      <c r="G4" s="456">
        <f>E4-F4</f>
        <v>53</v>
      </c>
      <c r="H4" s="456">
        <f t="shared" ref="H4:M4" si="0">Z4+BI4+CR4+EB4</f>
        <v>38</v>
      </c>
      <c r="I4" s="456">
        <f t="shared" si="0"/>
        <v>59</v>
      </c>
      <c r="J4" s="456">
        <f t="shared" si="0"/>
        <v>31</v>
      </c>
      <c r="K4" s="456">
        <f t="shared" si="0"/>
        <v>11</v>
      </c>
      <c r="L4" s="456">
        <f t="shared" si="0"/>
        <v>13</v>
      </c>
      <c r="M4" s="456">
        <f t="shared" si="0"/>
        <v>4</v>
      </c>
      <c r="N4" s="168"/>
      <c r="O4" s="456">
        <f>AG4+BP4+CY4+EI4</f>
        <v>6</v>
      </c>
      <c r="P4" s="456">
        <f>AH4+BQ4+CZ4+EJ4</f>
        <v>4</v>
      </c>
      <c r="Q4" s="456">
        <f>AI4+BR4+DA4+EK4</f>
        <v>2</v>
      </c>
      <c r="R4" s="456">
        <f>AJ4+BS4+DB4+EL4</f>
        <v>0</v>
      </c>
      <c r="S4" s="456">
        <f>AK4+BT4+DC4+EM4</f>
        <v>0</v>
      </c>
      <c r="T4" s="169"/>
      <c r="U4" s="183"/>
      <c r="V4" s="194">
        <v>0.05</v>
      </c>
      <c r="W4" s="167"/>
      <c r="X4" s="456">
        <f t="shared" ref="X4:Y4" si="1">COUNTIF(X17,"&gt;0")+COUNTIF(X23,"&gt;0")+COUNTIF(X30,"&gt;0")+COUNTIF(X57:X66,"&gt;0")+COUNTIF(X39,"&gt;0")+COUNTIF(X11,"&gt;0")+COUNTIF(X44,"&gt;0")+COUNTIF(X69:X73,"&gt;0")+COUNTIF(X86:X89,"&gt;0")+COUNTIF(X92:X96,"&gt;0")+COUNTIF(X76:X83,"&gt;0")+COUNTIF(X101,"&gt;0")</f>
        <v>36</v>
      </c>
      <c r="Y4" s="456">
        <f t="shared" si="1"/>
        <v>12</v>
      </c>
      <c r="Z4" s="456">
        <f>COUNTIF(Z17,"&gt;0")+COUNTIF(Z23,"&gt;0")+COUNTIF(Z30,"&gt;0")+COUNTIF(Z57:Z66,"&gt;0")+COUNTIF(Z39,"&gt;0")+COUNTIF(Z11,"&gt;0")+COUNTIF(Z44,"&gt;0")+COUNTIF(Z69:Z73,"&gt;0")+COUNTIF(Z86:Z89,"&gt;0")+COUNTIF(Z92:Z96,"&gt;0")+COUNTIF(Z76:Z83,"&gt;0")+COUNTIF(Z101,"&gt;0")</f>
        <v>11</v>
      </c>
      <c r="AA4" s="456">
        <f t="shared" ref="AA4:AE4" si="2">COUNTIF(AA17,"&gt;0")+COUNTIF(AA23,"&gt;0")+COUNTIF(AA30,"&gt;0")+COUNTIF(AA57:AA66,"&gt;0")+COUNTIF(AA39,"&gt;0")+COUNTIF(AA11,"&gt;0")+COUNTIF(AA44,"&gt;0")+COUNTIF(AA69:AA73,"&gt;0")+COUNTIF(AA86:AA89,"&gt;0")+COUNTIF(AA92:AA96,"&gt;0")+COUNTIF(AA76:AA83,"&gt;0")+COUNTIF(AA101,"&gt;0")</f>
        <v>25</v>
      </c>
      <c r="AB4" s="456">
        <f t="shared" si="2"/>
        <v>19</v>
      </c>
      <c r="AC4" s="456">
        <f t="shared" si="2"/>
        <v>2</v>
      </c>
      <c r="AD4" s="456">
        <f t="shared" si="2"/>
        <v>3</v>
      </c>
      <c r="AE4" s="456">
        <f t="shared" si="2"/>
        <v>1</v>
      </c>
      <c r="AF4" s="168"/>
      <c r="AG4" s="456">
        <f t="shared" ref="AG4:AO4" si="3">COUNTIF(AG17,"&gt;0")+COUNTIF(AG23,"&gt;0")+COUNTIF(AG30,"&gt;0")+COUNTIF(AG57:AG66,"&gt;0")+COUNTIF(AG39,"&gt;0")+COUNTIF(AG11,"&gt;0")+COUNTIF(AG44,"&gt;0")+COUNTIF(AG69:AG73,"&gt;0")+COUNTIF(AG86:AG89,"&gt;0")+COUNTIF(AG92:AG96,"&gt;0")+COUNTIF(AG76:AG83,"&gt;0")+COUNTIF(AG101,"&gt;0")</f>
        <v>1</v>
      </c>
      <c r="AH4" s="456">
        <f t="shared" si="3"/>
        <v>0</v>
      </c>
      <c r="AI4" s="456">
        <f t="shared" si="3"/>
        <v>1</v>
      </c>
      <c r="AJ4" s="456">
        <f t="shared" si="3"/>
        <v>0</v>
      </c>
      <c r="AK4" s="456">
        <f t="shared" si="3"/>
        <v>0</v>
      </c>
      <c r="AL4" s="456">
        <f t="shared" si="3"/>
        <v>0</v>
      </c>
      <c r="AM4" s="456">
        <f t="shared" si="3"/>
        <v>9</v>
      </c>
      <c r="AN4" s="456">
        <f t="shared" si="3"/>
        <v>25</v>
      </c>
      <c r="AO4" s="456">
        <f t="shared" si="3"/>
        <v>6</v>
      </c>
      <c r="AP4" s="171"/>
      <c r="AQ4" s="613" t="s">
        <v>143</v>
      </c>
      <c r="AR4" s="613"/>
      <c r="AS4" s="613"/>
      <c r="AT4" s="613"/>
      <c r="AU4" s="613"/>
      <c r="AV4" s="613"/>
      <c r="AW4" s="613"/>
      <c r="AX4" s="613"/>
      <c r="AY4" s="613"/>
      <c r="AZ4" s="613"/>
      <c r="BA4" s="613"/>
      <c r="BB4" s="613"/>
      <c r="BC4" s="613"/>
      <c r="BD4" s="172"/>
      <c r="BE4" s="194">
        <v>0.03</v>
      </c>
      <c r="BF4" s="167"/>
      <c r="BG4" s="456">
        <f t="shared" ref="BG4:BH4" si="4">COUNTIF(BG17,"&gt;0")+COUNTIF(BG23,"&gt;0")+COUNTIF(BG30,"&gt;0")+COUNTIF(BG57:BG66,"&gt;0")+COUNTIF(BG39,"&gt;0")+COUNTIF(BG11,"&gt;0")+COUNTIF(BG44,"&gt;0")+COUNTIF(BG69:BG73,"&gt;0")+COUNTIF(BG86:BG89,"&gt;0")+COUNTIF(BG92:BG96,"&gt;0")+COUNTIF(BG76:BG83,"&gt;0")+COUNTIF(BG101,"&gt;0")</f>
        <v>17</v>
      </c>
      <c r="BH4" s="456">
        <f t="shared" si="4"/>
        <v>10</v>
      </c>
      <c r="BI4" s="456">
        <f>COUNTIF(BI17,"&gt;0")+COUNTIF(BI23,"&gt;0")+COUNTIF(BI30,"&gt;0")+COUNTIF(BI57:BI66,"&gt;0")+COUNTIF(BI39,"&gt;0")+COUNTIF(BI11,"&gt;0")+COUNTIF(BI44,"&gt;0")+COUNTIF(BI69:BI73,"&gt;0")+COUNTIF(BI86:BI89,"&gt;0")+COUNTIF(BI92:BI96,"&gt;0")+COUNTIF(BI76:BI83,"&gt;0")+COUNTIF(BI101,"&gt;0")</f>
        <v>9</v>
      </c>
      <c r="BJ4" s="456">
        <f t="shared" ref="BJ4:BN4" si="5">COUNTIF(BJ17,"&gt;0")+COUNTIF(BJ23,"&gt;0")+COUNTIF(BJ30,"&gt;0")+COUNTIF(BJ57:BJ66,"&gt;0")+COUNTIF(BJ39,"&gt;0")+COUNTIF(BJ11,"&gt;0")+COUNTIF(BJ44,"&gt;0")+COUNTIF(BJ69:BJ73,"&gt;0")+COUNTIF(BJ86:BJ89,"&gt;0")+COUNTIF(BJ92:BJ96,"&gt;0")+COUNTIF(BJ76:BJ83,"&gt;0")+COUNTIF(BJ101,"&gt;0")</f>
        <v>8</v>
      </c>
      <c r="BK4" s="456">
        <f t="shared" si="5"/>
        <v>7</v>
      </c>
      <c r="BL4" s="456">
        <f t="shared" si="5"/>
        <v>0</v>
      </c>
      <c r="BM4" s="456">
        <f t="shared" si="5"/>
        <v>0</v>
      </c>
      <c r="BN4" s="456">
        <f t="shared" si="5"/>
        <v>1</v>
      </c>
      <c r="BO4" s="168"/>
      <c r="BP4" s="456">
        <f t="shared" ref="BP4:BT4" si="6">COUNTIF(BP17,"&gt;0")+COUNTIF(BP23,"&gt;0")+COUNTIF(BP30,"&gt;0")+COUNTIF(BP57:BP66,"&gt;0")+COUNTIF(BP39,"&gt;0")+COUNTIF(BP11,"&gt;0")+COUNTIF(BP44,"&gt;0")+COUNTIF(BP69:BP73,"&gt;0")+COUNTIF(BP86:BP89,"&gt;0")+COUNTIF(BP92:BP96,"&gt;0")+COUNTIF(BP76:BP83,"&gt;0")+COUNTIF(BP101,"&gt;0")</f>
        <v>1</v>
      </c>
      <c r="BQ4" s="456">
        <f t="shared" si="6"/>
        <v>0</v>
      </c>
      <c r="BR4" s="456">
        <f t="shared" si="6"/>
        <v>1</v>
      </c>
      <c r="BS4" s="456">
        <f t="shared" si="6"/>
        <v>0</v>
      </c>
      <c r="BT4" s="456">
        <f t="shared" si="6"/>
        <v>0</v>
      </c>
      <c r="BU4" s="456">
        <f>COUNTIF(BU17,"&gt;0")+COUNTIF(BU26,"&gt;0")+COUNTIF(BU30,"&gt;0")+COUNTIF(BU57:BU66,"&gt;0")+COUNTIF(BU39,"&gt;0")+COUNTIF(BU11,"&gt;0")+COUNTIF(BU44,"&gt;0")+COUNTIF(BU69:BU73,"&gt;0")+COUNTIF(BU86:BU89,"&gt;0")+COUNTIF(BU92:BU96,"&gt;0")+COUNTIF(BU76:BU83,"&gt;0")+COUNTIF(BU101,"&gt;0")</f>
        <v>0</v>
      </c>
      <c r="BV4" s="619" t="s">
        <v>144</v>
      </c>
      <c r="BW4" s="619"/>
      <c r="BX4" s="619"/>
      <c r="BY4" s="357"/>
      <c r="BZ4" s="613" t="s">
        <v>143</v>
      </c>
      <c r="CA4" s="613"/>
      <c r="CB4" s="613"/>
      <c r="CC4" s="613"/>
      <c r="CD4" s="613"/>
      <c r="CE4" s="613"/>
      <c r="CF4" s="613"/>
      <c r="CG4" s="613"/>
      <c r="CH4" s="613"/>
      <c r="CI4" s="613"/>
      <c r="CJ4" s="613"/>
      <c r="CK4" s="613"/>
      <c r="CL4" s="613"/>
      <c r="CM4" s="172"/>
      <c r="CN4" s="194">
        <v>0.02</v>
      </c>
      <c r="CO4" s="167"/>
      <c r="CP4" s="456">
        <f t="shared" ref="CP4:CQ4" si="7">COUNTIF(CP17,"&gt;0")+COUNTIF(CP23,"&gt;0")+COUNTIF(CP30,"&gt;0")+COUNTIF(CP57:CP66,"&gt;0")+COUNTIF(CP39,"&gt;0")+COUNTIF(CP11,"&gt;0")+COUNTIF(CP44,"&gt;0")+COUNTIF(CP69:CP73,"&gt;0")+COUNTIF(CP86:CP89,"&gt;0")+COUNTIF(CP92:CP96,"&gt;0")+COUNTIF(CP76:CP83,"&gt;0")+COUNTIF(CP101,"&gt;0")</f>
        <v>25</v>
      </c>
      <c r="CQ4" s="456">
        <f t="shared" si="7"/>
        <v>13</v>
      </c>
      <c r="CR4" s="456">
        <f>COUNTIF(CR17,"&gt;0")+COUNTIF(CR23,"&gt;0")+COUNTIF(CR30,"&gt;0")+COUNTIF(CR57:CR66,"&gt;0")+COUNTIF(CR39,"&gt;0")+COUNTIF(CR11,"&gt;0")+COUNTIF(CR44,"&gt;0")+COUNTIF(CR69:CR73,"&gt;0")+COUNTIF(CR86:CR89,"&gt;0")+COUNTIF(CR92:CR96,"&gt;0")+COUNTIF(CR76:CR83,"&gt;0")+COUNTIF(CR101,"&gt;0")</f>
        <v>9</v>
      </c>
      <c r="CS4" s="456">
        <f>COUNTIF(CS17,"&gt;0")+COUNTIF(CS23,"&gt;0")+COUNTIF(CS30,"&gt;0")+COUNTIF(CS57:CS66,"&gt;0")+COUNTIF(CS39,"&gt;0")+COUNTIF(CS11,"&gt;0")+COUNTIF(CS44,"&gt;0")+COUNTIF(CS69:CS73,"&gt;0")+COUNTIF(CS86:CS89,"&gt;0")+COUNTIF(CS92:CS96,"&gt;0")+COUNTIF(CS76:CS83,"&gt;0")+COUNTIF(CS101,"&gt;0")</f>
        <v>16</v>
      </c>
      <c r="CT4" s="456">
        <f t="shared" ref="CT4:CW4" si="8">COUNTIF(CT17,"&gt;0")+COUNTIF(CT23,"&gt;0")+COUNTIF(CT30,"&gt;0")+COUNTIF(CT57:CT66,"&gt;0")+COUNTIF(CT39,"&gt;0")+COUNTIF(CT11,"&gt;0")+COUNTIF(CT44,"&gt;0")+COUNTIF(CT69:CT73,"&gt;0")+COUNTIF(CT86:CT89,"&gt;0")+COUNTIF(CT92:CT96,"&gt;0")+COUNTIF(CT76:CT83,"&gt;0")+COUNTIF(CT101,"&gt;0")</f>
        <v>4</v>
      </c>
      <c r="CU4" s="456">
        <f t="shared" si="8"/>
        <v>6</v>
      </c>
      <c r="CV4" s="456">
        <f t="shared" si="8"/>
        <v>5</v>
      </c>
      <c r="CW4" s="456">
        <f t="shared" si="8"/>
        <v>1</v>
      </c>
      <c r="CX4" s="168"/>
      <c r="CY4" s="456">
        <f t="shared" ref="CY4:DC4" si="9">COUNTIF(CY17,"&gt;0")+COUNTIF(CY23,"&gt;0")+COUNTIF(CY30,"&gt;0")+COUNTIF(CY57:CY66,"&gt;0")+COUNTIF(CY39,"&gt;0")+COUNTIF(CY11,"&gt;0")+COUNTIF(CY44,"&gt;0")+COUNTIF(CY69:CY73,"&gt;0")+COUNTIF(CY86:CY89,"&gt;0")+COUNTIF(CY92:CY96,"&gt;0")+COUNTIF(CY76:CY83,"&gt;0")+COUNTIF(CY101,"&gt;0")</f>
        <v>4</v>
      </c>
      <c r="CZ4" s="456">
        <f t="shared" si="9"/>
        <v>4</v>
      </c>
      <c r="DA4" s="456">
        <f t="shared" si="9"/>
        <v>0</v>
      </c>
      <c r="DB4" s="456">
        <f t="shared" si="9"/>
        <v>0</v>
      </c>
      <c r="DC4" s="456">
        <f t="shared" si="9"/>
        <v>0</v>
      </c>
      <c r="DD4" s="456">
        <f>COUNTIF(DD17,"&gt;0")+COUNTIF(DD26,"&gt;0")+COUNTIF(DD30,"&gt;0")+COUNTIF(DD57:DD66,"&gt;0")+COUNTIF(DD39,"&gt;0")+COUNTIF(DD11,"&gt;0")+COUNTIF(DD44,"&gt;0")+COUNTIF(DD69:DD73,"&gt;0")+COUNTIF(DD86:DD89,"&gt;0")+COUNTIF(DD92:DD96,"&gt;0")+COUNTIF(DD76:DD83,"&gt;0")+COUNTIF(DD101,"&gt;0")</f>
        <v>0</v>
      </c>
      <c r="DE4" s="613" t="s">
        <v>144</v>
      </c>
      <c r="DF4" s="613"/>
      <c r="DG4" s="613"/>
      <c r="DH4" s="171"/>
      <c r="DI4" s="613" t="s">
        <v>143</v>
      </c>
      <c r="DJ4" s="613"/>
      <c r="DK4" s="613"/>
      <c r="DL4" s="613"/>
      <c r="DM4" s="613"/>
      <c r="DN4" s="613"/>
      <c r="DO4" s="613"/>
      <c r="DP4" s="613"/>
      <c r="DQ4" s="613"/>
      <c r="DR4" s="613"/>
      <c r="DS4" s="613"/>
      <c r="DT4" s="613"/>
      <c r="DU4" s="613"/>
      <c r="DV4" s="170"/>
      <c r="DW4" s="172"/>
      <c r="DX4" s="194">
        <v>7.0000000000000007E-2</v>
      </c>
      <c r="DY4" s="167"/>
      <c r="DZ4" s="456">
        <f t="shared" ref="DZ4:EA4" si="10">COUNTIF(DZ17,"&gt;0")+COUNTIF(DZ23,"&gt;0")+COUNTIF(DZ30,"&gt;0")+COUNTIF(DZ57:DZ66,"&gt;0")+COUNTIF(DZ39,"&gt;0")+COUNTIF(DZ11,"&gt;0")+COUNTIF(DZ44,"&gt;0")+COUNTIF(DZ69:DZ73,"&gt;0")+COUNTIF(DZ86:DZ89,"&gt;0")+COUNTIF(DZ92:DZ96,"&gt;0")+COUNTIF(DZ76:DZ83,"&gt;0")+COUNTIF(DZ101,"&gt;0")</f>
        <v>19</v>
      </c>
      <c r="EA4" s="456">
        <f t="shared" si="10"/>
        <v>9</v>
      </c>
      <c r="EB4" s="456">
        <f>COUNTIF(EB17,"&gt;0")+COUNTIF(EB23,"&gt;0")+COUNTIF(EB30,"&gt;0")+COUNTIF(EB57:EB66,"&gt;0")+COUNTIF(EB39,"&gt;0")+COUNTIF(EB11,"&gt;0")+COUNTIF(EB44,"&gt;0")+COUNTIF(EB69:EB73,"&gt;0")+COUNTIF(EB86:EB89,"&gt;0")+COUNTIF(EB92:EB96,"&gt;0")+COUNTIF(EB76:EB83,"&gt;0")+COUNTIF(EB101,"&gt;0")</f>
        <v>9</v>
      </c>
      <c r="EC4" s="456">
        <f t="shared" ref="EC4:EG4" si="11">COUNTIF(EC17,"&gt;0")+COUNTIF(EC23,"&gt;0")+COUNTIF(EC30,"&gt;0")+COUNTIF(EC57:EC66,"&gt;0")+COUNTIF(EC39,"&gt;0")+COUNTIF(EC11,"&gt;0")+COUNTIF(EC44,"&gt;0")+COUNTIF(EC69:EC73,"&gt;0")+COUNTIF(EC86:EC89,"&gt;0")+COUNTIF(EC92:EC96,"&gt;0")+COUNTIF(EC76:EC83,"&gt;0")+COUNTIF(EC101,"&gt;0")</f>
        <v>10</v>
      </c>
      <c r="ED4" s="456">
        <f t="shared" si="11"/>
        <v>1</v>
      </c>
      <c r="EE4" s="456">
        <f t="shared" si="11"/>
        <v>3</v>
      </c>
      <c r="EF4" s="456">
        <f t="shared" si="11"/>
        <v>5</v>
      </c>
      <c r="EG4" s="456">
        <f t="shared" si="11"/>
        <v>1</v>
      </c>
      <c r="EH4" s="168"/>
      <c r="EI4" s="456">
        <f t="shared" ref="EI4:EM4" si="12">COUNTIF(EI17,"&gt;0")+COUNTIF(EI23,"&gt;0")+COUNTIF(EI30,"&gt;0")+COUNTIF(EI57:EI66,"&gt;0")+COUNTIF(EI39,"&gt;0")+COUNTIF(EI11,"&gt;0")+COUNTIF(EI44,"&gt;0")+COUNTIF(EI69:EI73,"&gt;0")+COUNTIF(EI86:EI89,"&gt;0")+COUNTIF(EI92:EI96,"&gt;0")+COUNTIF(EI76:EI83,"&gt;0")+COUNTIF(EI101,"&gt;0")</f>
        <v>0</v>
      </c>
      <c r="EJ4" s="456">
        <f t="shared" si="12"/>
        <v>0</v>
      </c>
      <c r="EK4" s="456">
        <f t="shared" si="12"/>
        <v>0</v>
      </c>
      <c r="EL4" s="456">
        <f t="shared" si="12"/>
        <v>0</v>
      </c>
      <c r="EM4" s="456">
        <f t="shared" si="12"/>
        <v>0</v>
      </c>
      <c r="EN4" s="456">
        <f>COUNTIF(EN17,"&gt;0")+COUNTIF(EN26,"&gt;0")+COUNTIF(EN30,"&gt;0")+COUNTIF(EN57:EN66,"&gt;0")+COUNTIF(EN39,"&gt;0")+COUNTIF(EN11,"&gt;0")+COUNTIF(EN44,"&gt;0")+COUNTIF(EN69:EN73,"&gt;0")+COUNTIF(EN86:EN89,"&gt;0")+COUNTIF(EN92:EN96,"&gt;0")+COUNTIF(EN76:EN83,"&gt;0")+COUNTIF(EN101,"&gt;0")</f>
        <v>0</v>
      </c>
      <c r="EO4" s="613" t="s">
        <v>144</v>
      </c>
      <c r="EP4" s="613"/>
      <c r="EQ4" s="613"/>
      <c r="ER4" s="171"/>
      <c r="ES4" s="613" t="s">
        <v>143</v>
      </c>
      <c r="ET4" s="613"/>
      <c r="EU4" s="613"/>
      <c r="EV4" s="613"/>
      <c r="EW4" s="613"/>
      <c r="EX4" s="613"/>
      <c r="EY4" s="613"/>
      <c r="EZ4" s="613"/>
      <c r="FA4" s="613"/>
      <c r="FB4" s="613"/>
      <c r="FC4" s="613"/>
      <c r="FD4" s="613"/>
      <c r="FE4" s="613"/>
      <c r="FF4" s="170"/>
      <c r="FG4" s="172"/>
      <c r="FH4" s="336"/>
    </row>
    <row r="5" spans="2:164" s="165" customFormat="1" ht="20.25" customHeight="1">
      <c r="B5" s="616" t="s">
        <v>17</v>
      </c>
      <c r="C5" s="617"/>
      <c r="D5" s="312"/>
      <c r="E5" s="337">
        <f>X5+BG5+CP5+DZ5</f>
        <v>31.001526539578574</v>
      </c>
      <c r="F5" s="337">
        <f>Y5+BH5+CQ5+EA5</f>
        <v>18.059306197770848</v>
      </c>
      <c r="G5" s="337">
        <f>E5-F5</f>
        <v>12.942220341807726</v>
      </c>
      <c r="H5" s="337">
        <f>H9+H54+H98</f>
        <v>17.35895193133933</v>
      </c>
      <c r="I5" s="337">
        <f>I9+I54+I127</f>
        <v>12.09181808251031</v>
      </c>
      <c r="J5" s="337">
        <f>J9+J54+J98</f>
        <v>9.2266575164315192</v>
      </c>
      <c r="K5" s="337">
        <f>K9+K54+K98</f>
        <v>0.92897889518151744</v>
      </c>
      <c r="L5" s="337">
        <f>L9+L54+L98</f>
        <v>1.9361816708972763</v>
      </c>
      <c r="M5" s="337">
        <f>M9+M54+M98</f>
        <v>1.5500955769789286</v>
      </c>
      <c r="N5" s="185"/>
      <c r="O5" s="337">
        <f>O9+O54+O213</f>
        <v>0.70035426643151721</v>
      </c>
      <c r="P5" s="337">
        <f>P9+P54+P213</f>
        <v>0.13609376643151733</v>
      </c>
      <c r="Q5" s="337">
        <f>Q9+Q54+Q213</f>
        <v>0.56426049999999994</v>
      </c>
      <c r="R5" s="337">
        <f>R9+R54+R213</f>
        <v>0</v>
      </c>
      <c r="S5" s="337">
        <f>S9+S54+S213</f>
        <v>0</v>
      </c>
      <c r="T5" s="169"/>
      <c r="U5" s="183"/>
      <c r="V5" s="336"/>
      <c r="W5" s="175"/>
      <c r="X5" s="337">
        <f>X9+X54+X98</f>
        <v>22.890000000000004</v>
      </c>
      <c r="Y5" s="337">
        <f>Y9+Y54+Y98</f>
        <v>12.509456250000001</v>
      </c>
      <c r="Z5" s="337">
        <f t="shared" ref="Z5:AE5" si="13">Z9+Z54+Z98</f>
        <v>12.268493750000001</v>
      </c>
      <c r="AA5" s="337">
        <f t="shared" si="13"/>
        <v>10.621506250000001</v>
      </c>
      <c r="AB5" s="337">
        <f t="shared" si="13"/>
        <v>7.3665312500000013</v>
      </c>
      <c r="AC5" s="337">
        <f t="shared" si="13"/>
        <v>0.54381875000000002</v>
      </c>
      <c r="AD5" s="337">
        <f t="shared" si="13"/>
        <v>1.5666562500000003</v>
      </c>
      <c r="AE5" s="337">
        <f t="shared" si="13"/>
        <v>1.1445000000000001</v>
      </c>
      <c r="AF5" s="185"/>
      <c r="AG5" s="337">
        <f t="shared" ref="AG5:AR5" si="14">AG9+AG54+AG98</f>
        <v>0.24096250000000002</v>
      </c>
      <c r="AH5" s="337">
        <f t="shared" si="14"/>
        <v>0</v>
      </c>
      <c r="AI5" s="337">
        <f t="shared" si="14"/>
        <v>0.24096250000000002</v>
      </c>
      <c r="AJ5" s="337">
        <f t="shared" si="14"/>
        <v>0</v>
      </c>
      <c r="AK5" s="337">
        <f t="shared" si="14"/>
        <v>0</v>
      </c>
      <c r="AL5" s="169"/>
      <c r="AM5" s="348"/>
      <c r="AN5" s="348"/>
      <c r="AO5" s="348"/>
      <c r="AP5" s="182"/>
      <c r="AQ5" s="361">
        <f t="shared" si="14"/>
        <v>681</v>
      </c>
      <c r="AR5" s="361">
        <f t="shared" si="14"/>
        <v>404</v>
      </c>
      <c r="AS5" s="361">
        <f t="shared" ref="AS5:AW5" si="15">AS9+AS54+AS98</f>
        <v>277</v>
      </c>
      <c r="AT5" s="361">
        <f t="shared" si="15"/>
        <v>228</v>
      </c>
      <c r="AU5" s="361">
        <f t="shared" si="15"/>
        <v>31</v>
      </c>
      <c r="AV5" s="361">
        <f t="shared" si="15"/>
        <v>18</v>
      </c>
      <c r="AW5" s="361">
        <f t="shared" si="15"/>
        <v>0</v>
      </c>
      <c r="AX5" s="186"/>
      <c r="AY5" s="361">
        <f t="shared" ref="AY5:BC5" si="16">AY9+AY54+AY98</f>
        <v>47</v>
      </c>
      <c r="AZ5" s="361">
        <f t="shared" si="16"/>
        <v>29</v>
      </c>
      <c r="BA5" s="361">
        <f t="shared" si="16"/>
        <v>18</v>
      </c>
      <c r="BB5" s="361">
        <f t="shared" si="16"/>
        <v>0</v>
      </c>
      <c r="BC5" s="361">
        <f t="shared" si="16"/>
        <v>0</v>
      </c>
      <c r="BD5" s="184"/>
      <c r="BE5" s="336"/>
      <c r="BF5" s="175"/>
      <c r="BG5" s="337">
        <f>BG9+BG54+BG98</f>
        <v>6.18954</v>
      </c>
      <c r="BH5" s="337">
        <f t="shared" ref="BH5:BN5" si="17">BH9+BH54+BH98</f>
        <v>4.4996879999999999</v>
      </c>
      <c r="BI5" s="337">
        <f t="shared" si="17"/>
        <v>4.1763900000000005</v>
      </c>
      <c r="BJ5" s="337">
        <f t="shared" si="17"/>
        <v>2.01315</v>
      </c>
      <c r="BK5" s="337">
        <f t="shared" si="17"/>
        <v>1.703673</v>
      </c>
      <c r="BL5" s="337">
        <f t="shared" si="17"/>
        <v>0</v>
      </c>
      <c r="BM5" s="337">
        <f t="shared" si="17"/>
        <v>0</v>
      </c>
      <c r="BN5" s="337">
        <f t="shared" si="17"/>
        <v>0.309477</v>
      </c>
      <c r="BO5" s="185"/>
      <c r="BP5" s="337">
        <f t="shared" ref="BP5:BT5" si="18">BP9+BP54+BP98</f>
        <v>0.32329799999999992</v>
      </c>
      <c r="BQ5" s="337">
        <f t="shared" si="18"/>
        <v>0</v>
      </c>
      <c r="BR5" s="337">
        <f t="shared" si="18"/>
        <v>0.32329799999999992</v>
      </c>
      <c r="BS5" s="337">
        <f t="shared" si="18"/>
        <v>0</v>
      </c>
      <c r="BT5" s="337">
        <f t="shared" si="18"/>
        <v>0</v>
      </c>
      <c r="BU5" s="169"/>
      <c r="BV5" s="348"/>
      <c r="BW5" s="348"/>
      <c r="BX5" s="348"/>
      <c r="BY5" s="356"/>
      <c r="BZ5" s="337">
        <f>BZ9+BZ54+BZ98</f>
        <v>631</v>
      </c>
      <c r="CA5" s="337">
        <f t="shared" ref="CA5:CF5" si="19">CA9+CA54+CA98</f>
        <v>531</v>
      </c>
      <c r="CB5" s="337">
        <f t="shared" si="19"/>
        <v>100</v>
      </c>
      <c r="CC5" s="337">
        <f t="shared" si="19"/>
        <v>100</v>
      </c>
      <c r="CD5" s="337">
        <f t="shared" si="19"/>
        <v>0</v>
      </c>
      <c r="CE5" s="337">
        <f t="shared" si="19"/>
        <v>0</v>
      </c>
      <c r="CF5" s="337">
        <f t="shared" si="19"/>
        <v>0</v>
      </c>
      <c r="CG5" s="186"/>
      <c r="CH5" s="337">
        <f t="shared" ref="CH5:CL5" si="20">CH9+CH54+CH98</f>
        <v>80</v>
      </c>
      <c r="CI5" s="337">
        <f t="shared" si="20"/>
        <v>78</v>
      </c>
      <c r="CJ5" s="337">
        <f t="shared" si="20"/>
        <v>3</v>
      </c>
      <c r="CK5" s="337">
        <f t="shared" si="20"/>
        <v>0</v>
      </c>
      <c r="CL5" s="337">
        <f t="shared" si="20"/>
        <v>0</v>
      </c>
      <c r="CM5" s="184"/>
      <c r="CN5" s="336"/>
      <c r="CO5" s="175"/>
      <c r="CP5" s="337">
        <f>CP9+CP54+CP98</f>
        <v>1.6358216395785683</v>
      </c>
      <c r="CQ5" s="337">
        <f t="shared" ref="CQ5:CW5" si="21">CQ9+CQ54+CQ98</f>
        <v>0.93355914152084651</v>
      </c>
      <c r="CR5" s="337">
        <f t="shared" si="21"/>
        <v>0.79746537508932924</v>
      </c>
      <c r="CS5" s="337">
        <f t="shared" si="21"/>
        <v>0.83835626448923894</v>
      </c>
      <c r="CT5" s="337">
        <f t="shared" si="21"/>
        <v>0.13609376643151733</v>
      </c>
      <c r="CU5" s="337">
        <f t="shared" si="21"/>
        <v>0.32605976643151729</v>
      </c>
      <c r="CV5" s="337">
        <f t="shared" si="21"/>
        <v>0.29441164964727601</v>
      </c>
      <c r="CW5" s="337">
        <f t="shared" si="21"/>
        <v>8.1791081978928412E-2</v>
      </c>
      <c r="CX5" s="185"/>
      <c r="CY5" s="337">
        <f t="shared" ref="CY5:DC5" si="22">CY9+CY54+CY98</f>
        <v>0.13609376643151733</v>
      </c>
      <c r="CZ5" s="337">
        <f t="shared" si="22"/>
        <v>0.13609376643151733</v>
      </c>
      <c r="DA5" s="337">
        <f t="shared" si="22"/>
        <v>0</v>
      </c>
      <c r="DB5" s="337">
        <f t="shared" si="22"/>
        <v>0</v>
      </c>
      <c r="DC5" s="337">
        <f t="shared" si="22"/>
        <v>0</v>
      </c>
      <c r="DD5" s="169"/>
      <c r="DE5" s="337">
        <f t="shared" ref="DE5:DG5" si="23">DE9+DE54+DE98</f>
        <v>0</v>
      </c>
      <c r="DF5" s="337">
        <f t="shared" si="23"/>
        <v>0</v>
      </c>
      <c r="DG5" s="337">
        <f t="shared" si="23"/>
        <v>0</v>
      </c>
      <c r="DH5" s="182"/>
      <c r="DI5" s="337">
        <f t="shared" ref="DI5:DO5" si="24">DI9+DI54+DI98</f>
        <v>410</v>
      </c>
      <c r="DJ5" s="337">
        <f>DJ9+DJ54+DJ98</f>
        <v>148</v>
      </c>
      <c r="DK5" s="337">
        <f t="shared" si="24"/>
        <v>262</v>
      </c>
      <c r="DL5" s="337">
        <f t="shared" si="24"/>
        <v>86</v>
      </c>
      <c r="DM5" s="337">
        <f t="shared" si="24"/>
        <v>89</v>
      </c>
      <c r="DN5" s="337">
        <f t="shared" si="24"/>
        <v>87</v>
      </c>
      <c r="DO5" s="337">
        <f t="shared" si="24"/>
        <v>0</v>
      </c>
      <c r="DP5" s="186"/>
      <c r="DQ5" s="337">
        <f t="shared" ref="DQ5:DU5" si="25">DQ9+DQ54+DQ98</f>
        <v>93</v>
      </c>
      <c r="DR5" s="337">
        <f t="shared" si="25"/>
        <v>86</v>
      </c>
      <c r="DS5" s="337">
        <f t="shared" si="25"/>
        <v>7</v>
      </c>
      <c r="DT5" s="337">
        <f t="shared" si="25"/>
        <v>0</v>
      </c>
      <c r="DU5" s="337">
        <f t="shared" si="25"/>
        <v>0</v>
      </c>
      <c r="DV5" s="187"/>
      <c r="DW5" s="184"/>
      <c r="DX5" s="336"/>
      <c r="DY5" s="175"/>
      <c r="DZ5" s="337">
        <f>DZ9+DZ54+DZ98</f>
        <v>0.28616490000000006</v>
      </c>
      <c r="EA5" s="337">
        <f t="shared" ref="EA5:EG5" si="26">EA9+EA54+EA98</f>
        <v>0.11660280625</v>
      </c>
      <c r="EB5" s="337">
        <f t="shared" si="26"/>
        <v>0.11660280625</v>
      </c>
      <c r="EC5" s="337">
        <f t="shared" si="26"/>
        <v>0.16890114500000003</v>
      </c>
      <c r="ED5" s="337">
        <f t="shared" si="26"/>
        <v>2.0359500000000003E-2</v>
      </c>
      <c r="EE5" s="337">
        <f t="shared" si="26"/>
        <v>5.9100378750000016E-2</v>
      </c>
      <c r="EF5" s="337">
        <f t="shared" si="26"/>
        <v>7.5113771250000017E-2</v>
      </c>
      <c r="EG5" s="337">
        <f t="shared" si="26"/>
        <v>1.4327495000000003E-2</v>
      </c>
      <c r="EH5" s="185"/>
      <c r="EI5" s="337">
        <f t="shared" ref="EI5:EM5" si="27">EI9+EI54+EI98</f>
        <v>0</v>
      </c>
      <c r="EJ5" s="337">
        <f t="shared" si="27"/>
        <v>0</v>
      </c>
      <c r="EK5" s="337">
        <f t="shared" si="27"/>
        <v>0</v>
      </c>
      <c r="EL5" s="337">
        <f t="shared" si="27"/>
        <v>0</v>
      </c>
      <c r="EM5" s="337">
        <f t="shared" si="27"/>
        <v>0</v>
      </c>
      <c r="EN5" s="169"/>
      <c r="EO5" s="337">
        <f t="shared" ref="EO5:EQ5" si="28">EO9+EO54+EO98</f>
        <v>0</v>
      </c>
      <c r="EP5" s="337">
        <f t="shared" si="28"/>
        <v>0</v>
      </c>
      <c r="EQ5" s="337">
        <f t="shared" si="28"/>
        <v>0</v>
      </c>
      <c r="ER5" s="182"/>
      <c r="ES5" s="337">
        <f t="shared" ref="ES5:EY5" si="29">ES9+ES54+ES98</f>
        <v>92</v>
      </c>
      <c r="ET5" s="337">
        <f t="shared" si="29"/>
        <v>30</v>
      </c>
      <c r="EU5" s="337">
        <f t="shared" si="29"/>
        <v>62</v>
      </c>
      <c r="EV5" s="337">
        <f t="shared" si="29"/>
        <v>9</v>
      </c>
      <c r="EW5" s="337">
        <f t="shared" si="29"/>
        <v>17</v>
      </c>
      <c r="EX5" s="337">
        <f t="shared" si="29"/>
        <v>36</v>
      </c>
      <c r="EY5" s="337">
        <f t="shared" si="29"/>
        <v>0</v>
      </c>
      <c r="EZ5" s="186"/>
      <c r="FA5" s="337">
        <f t="shared" ref="FA5:FE5" si="30">FA9+FA54+FA98</f>
        <v>0</v>
      </c>
      <c r="FB5" s="337">
        <f t="shared" si="30"/>
        <v>0</v>
      </c>
      <c r="FC5" s="337">
        <f t="shared" si="30"/>
        <v>0</v>
      </c>
      <c r="FD5" s="337">
        <f t="shared" si="30"/>
        <v>0</v>
      </c>
      <c r="FE5" s="337">
        <f t="shared" si="30"/>
        <v>0</v>
      </c>
      <c r="FF5" s="187"/>
      <c r="FG5" s="184"/>
      <c r="FH5" s="336"/>
    </row>
    <row r="6" spans="2:164" ht="3" customHeight="1"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88"/>
      <c r="AR6" s="188"/>
      <c r="AS6" s="188"/>
      <c r="AT6" s="188"/>
      <c r="AU6" s="188"/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  <c r="BI6" s="188"/>
      <c r="BJ6" s="188"/>
      <c r="BK6" s="188"/>
      <c r="BL6" s="188"/>
      <c r="BM6" s="188"/>
      <c r="BN6" s="188"/>
      <c r="BO6" s="188"/>
      <c r="BP6" s="188"/>
      <c r="BQ6" s="188"/>
      <c r="BR6" s="188"/>
      <c r="BS6" s="188"/>
      <c r="BT6" s="188"/>
      <c r="BU6" s="188"/>
      <c r="BV6" s="188"/>
      <c r="BW6" s="188"/>
      <c r="BX6" s="188"/>
      <c r="BY6" s="188"/>
      <c r="BZ6" s="188"/>
      <c r="CA6" s="188"/>
      <c r="CB6" s="188"/>
      <c r="CC6" s="188"/>
      <c r="CD6" s="188"/>
      <c r="CE6" s="188"/>
      <c r="CF6" s="188"/>
      <c r="CG6" s="188"/>
      <c r="CH6" s="188"/>
      <c r="CI6" s="188"/>
      <c r="CJ6" s="188"/>
      <c r="CK6" s="188"/>
      <c r="CL6" s="188"/>
      <c r="CM6" s="188"/>
      <c r="CN6" s="188"/>
      <c r="CO6" s="188"/>
      <c r="CP6" s="188"/>
      <c r="CQ6" s="188"/>
      <c r="CR6" s="188"/>
      <c r="CS6" s="188"/>
      <c r="CT6" s="188"/>
      <c r="CU6" s="188"/>
      <c r="CV6" s="188"/>
      <c r="CW6" s="188"/>
      <c r="CX6" s="188"/>
      <c r="CY6" s="188"/>
      <c r="CZ6" s="188"/>
      <c r="DA6" s="188"/>
      <c r="DB6" s="188"/>
      <c r="DC6" s="188"/>
      <c r="DD6" s="188"/>
      <c r="DE6" s="188"/>
      <c r="DF6" s="188"/>
      <c r="DG6" s="188"/>
      <c r="DH6" s="188"/>
      <c r="DI6" s="188"/>
      <c r="DJ6" s="188"/>
      <c r="DK6" s="188"/>
      <c r="DL6" s="188"/>
      <c r="DM6" s="188"/>
      <c r="DN6" s="188"/>
      <c r="DO6" s="188"/>
      <c r="DP6" s="188"/>
      <c r="DQ6" s="188"/>
      <c r="DR6" s="188"/>
      <c r="DS6" s="188"/>
      <c r="DT6" s="188"/>
      <c r="DU6" s="188"/>
      <c r="DV6" s="188"/>
      <c r="DW6" s="188"/>
      <c r="DX6" s="188"/>
      <c r="DY6" s="188"/>
      <c r="DZ6" s="188"/>
      <c r="EA6" s="188"/>
      <c r="EB6" s="188"/>
      <c r="EC6" s="188"/>
      <c r="ED6" s="188"/>
      <c r="EE6" s="188"/>
      <c r="EF6" s="188"/>
      <c r="EG6" s="188"/>
      <c r="EH6" s="188"/>
      <c r="EI6" s="188"/>
      <c r="EJ6" s="188"/>
      <c r="EK6" s="188"/>
      <c r="EL6" s="188"/>
      <c r="EM6" s="188"/>
      <c r="EN6" s="188"/>
      <c r="EO6" s="188"/>
      <c r="EP6" s="188"/>
      <c r="EQ6" s="188"/>
      <c r="ER6" s="188"/>
      <c r="ES6" s="188"/>
      <c r="ET6" s="188"/>
      <c r="EU6" s="188"/>
      <c r="EV6" s="188"/>
      <c r="EW6" s="188"/>
      <c r="EX6" s="188"/>
      <c r="EY6" s="188"/>
      <c r="EZ6" s="188"/>
      <c r="FA6" s="188"/>
      <c r="FB6" s="188"/>
      <c r="FC6" s="188"/>
      <c r="FD6" s="188"/>
      <c r="FE6" s="188"/>
      <c r="FF6" s="188"/>
      <c r="FG6" s="188"/>
      <c r="FH6" s="188"/>
    </row>
    <row r="7" spans="2:164" ht="3" customHeight="1">
      <c r="B7" s="192"/>
      <c r="C7" s="193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193"/>
      <c r="BA7" s="193"/>
      <c r="BB7" s="193"/>
      <c r="BC7" s="193"/>
      <c r="BD7" s="193"/>
      <c r="BE7" s="193"/>
      <c r="BF7" s="193"/>
      <c r="BG7" s="193"/>
      <c r="BH7" s="193"/>
      <c r="BI7" s="193"/>
      <c r="BJ7" s="193"/>
      <c r="BK7" s="193"/>
      <c r="BL7" s="193"/>
      <c r="BM7" s="193"/>
      <c r="BN7" s="193"/>
      <c r="BO7" s="193"/>
      <c r="BP7" s="193"/>
      <c r="BQ7" s="193"/>
      <c r="BR7" s="193"/>
      <c r="BS7" s="193"/>
      <c r="BT7" s="193"/>
      <c r="BU7" s="193"/>
      <c r="BV7" s="193"/>
      <c r="BW7" s="193"/>
      <c r="BX7" s="193"/>
      <c r="BY7" s="193"/>
      <c r="BZ7" s="193"/>
      <c r="CA7" s="193"/>
      <c r="CB7" s="193"/>
      <c r="CC7" s="193"/>
      <c r="CD7" s="193"/>
      <c r="CE7" s="193"/>
      <c r="CF7" s="193"/>
      <c r="CG7" s="193"/>
      <c r="CH7" s="193"/>
      <c r="CI7" s="193"/>
      <c r="CJ7" s="193"/>
      <c r="CK7" s="193"/>
      <c r="CL7" s="193"/>
      <c r="CM7" s="193"/>
      <c r="CN7" s="193"/>
      <c r="CO7" s="193"/>
      <c r="CP7" s="193"/>
      <c r="CQ7" s="193"/>
      <c r="CR7" s="193"/>
      <c r="CS7" s="193"/>
      <c r="CT7" s="193"/>
      <c r="CU7" s="193"/>
      <c r="CV7" s="193"/>
      <c r="CW7" s="193"/>
      <c r="CX7" s="193"/>
      <c r="CY7" s="193"/>
      <c r="CZ7" s="193"/>
      <c r="DA7" s="193"/>
      <c r="DB7" s="193"/>
      <c r="DC7" s="193"/>
      <c r="DD7" s="193"/>
      <c r="DE7" s="193"/>
      <c r="DF7" s="193"/>
      <c r="DG7" s="193"/>
      <c r="DH7" s="193"/>
      <c r="DI7" s="193"/>
      <c r="DJ7" s="193"/>
      <c r="DK7" s="193"/>
      <c r="DL7" s="193"/>
      <c r="DM7" s="193"/>
      <c r="DN7" s="193"/>
      <c r="DO7" s="193"/>
      <c r="DP7" s="193"/>
      <c r="DQ7" s="193"/>
      <c r="DR7" s="193"/>
      <c r="DS7" s="193"/>
      <c r="DT7" s="193"/>
      <c r="DU7" s="193"/>
      <c r="DV7" s="193"/>
      <c r="DW7" s="193"/>
      <c r="DX7" s="193"/>
      <c r="DY7" s="193"/>
      <c r="DZ7" s="193"/>
      <c r="EA7" s="193"/>
      <c r="EB7" s="193"/>
      <c r="EC7" s="193"/>
      <c r="ED7" s="193"/>
      <c r="EE7" s="193"/>
      <c r="EF7" s="193"/>
      <c r="EG7" s="193"/>
      <c r="EH7" s="193"/>
      <c r="EI7" s="193"/>
      <c r="EJ7" s="193"/>
      <c r="EK7" s="193"/>
      <c r="EL7" s="193"/>
      <c r="EM7" s="193"/>
      <c r="EN7" s="193"/>
      <c r="EO7" s="193"/>
      <c r="EP7" s="193"/>
      <c r="EQ7" s="193"/>
      <c r="ER7" s="193"/>
      <c r="ES7" s="193"/>
      <c r="ET7" s="193"/>
      <c r="EU7" s="193"/>
      <c r="EV7" s="193"/>
      <c r="EW7" s="193"/>
      <c r="EX7" s="193"/>
      <c r="EY7" s="193"/>
      <c r="EZ7" s="193"/>
      <c r="FA7" s="193"/>
      <c r="FB7" s="193"/>
      <c r="FC7" s="193"/>
      <c r="FD7" s="193"/>
      <c r="FE7" s="193"/>
      <c r="FF7" s="193"/>
      <c r="FG7" s="193"/>
      <c r="FH7" s="193"/>
    </row>
    <row r="8" spans="2:164" s="287" customFormat="1" ht="3" customHeight="1">
      <c r="B8" s="285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 t="s">
        <v>145</v>
      </c>
      <c r="AS8" s="286" t="s">
        <v>146</v>
      </c>
      <c r="AT8" s="286">
        <v>1</v>
      </c>
      <c r="AU8" s="286">
        <v>2</v>
      </c>
      <c r="AV8" s="286">
        <v>3</v>
      </c>
      <c r="AW8" s="286">
        <v>4</v>
      </c>
      <c r="AX8" s="286"/>
      <c r="AY8" s="286" t="s">
        <v>147</v>
      </c>
      <c r="AZ8" s="286">
        <v>5</v>
      </c>
      <c r="BA8" s="286">
        <v>6</v>
      </c>
      <c r="BB8" s="286">
        <v>7</v>
      </c>
      <c r="BC8" s="286">
        <v>8</v>
      </c>
      <c r="BD8" s="286"/>
      <c r="BE8" s="286"/>
      <c r="BF8" s="286"/>
      <c r="BG8" s="286"/>
      <c r="BH8" s="286"/>
      <c r="BI8" s="286"/>
      <c r="BJ8" s="286"/>
      <c r="BK8" s="286"/>
      <c r="BL8" s="286"/>
      <c r="BM8" s="286"/>
      <c r="BN8" s="286"/>
      <c r="BO8" s="286"/>
      <c r="BP8" s="286"/>
      <c r="BQ8" s="286"/>
      <c r="BR8" s="286"/>
      <c r="BS8" s="286"/>
      <c r="BT8" s="286"/>
      <c r="BU8" s="286"/>
      <c r="BV8" s="286"/>
      <c r="BW8" s="286"/>
      <c r="BX8" s="286"/>
      <c r="BY8" s="286"/>
      <c r="BZ8" s="286"/>
      <c r="CA8" s="286" t="s">
        <v>145</v>
      </c>
      <c r="CB8" s="286" t="s">
        <v>146</v>
      </c>
      <c r="CC8" s="286">
        <v>1</v>
      </c>
      <c r="CD8" s="286">
        <v>2</v>
      </c>
      <c r="CE8" s="286">
        <v>3</v>
      </c>
      <c r="CF8" s="286">
        <v>4</v>
      </c>
      <c r="CG8" s="286"/>
      <c r="CH8" s="286" t="s">
        <v>147</v>
      </c>
      <c r="CI8" s="286">
        <v>5</v>
      </c>
      <c r="CJ8" s="286">
        <v>6</v>
      </c>
      <c r="CK8" s="286">
        <v>7</v>
      </c>
      <c r="CL8" s="286">
        <v>8</v>
      </c>
      <c r="CM8" s="286"/>
      <c r="CN8" s="286"/>
      <c r="CO8" s="286"/>
      <c r="CP8" s="286"/>
      <c r="CQ8" s="286"/>
      <c r="CR8" s="286"/>
      <c r="CS8" s="286"/>
      <c r="CT8" s="286"/>
      <c r="CU8" s="286"/>
      <c r="CV8" s="286"/>
      <c r="CW8" s="286"/>
      <c r="CX8" s="286"/>
      <c r="CY8" s="286"/>
      <c r="CZ8" s="286"/>
      <c r="DA8" s="286"/>
      <c r="DB8" s="286"/>
      <c r="DC8" s="286"/>
      <c r="DD8" s="286"/>
      <c r="DE8" s="286"/>
      <c r="DF8" s="286"/>
      <c r="DG8" s="286"/>
      <c r="DH8" s="286"/>
      <c r="DI8" s="286"/>
      <c r="DJ8" s="286" t="s">
        <v>145</v>
      </c>
      <c r="DK8" s="286" t="s">
        <v>146</v>
      </c>
      <c r="DL8" s="286">
        <v>1</v>
      </c>
      <c r="DM8" s="286">
        <v>2</v>
      </c>
      <c r="DN8" s="286">
        <v>3</v>
      </c>
      <c r="DO8" s="286">
        <v>4</v>
      </c>
      <c r="DP8" s="286"/>
      <c r="DQ8" s="286" t="s">
        <v>147</v>
      </c>
      <c r="DR8" s="286">
        <v>5</v>
      </c>
      <c r="DS8" s="286">
        <v>6</v>
      </c>
      <c r="DT8" s="286">
        <v>7</v>
      </c>
      <c r="DU8" s="286">
        <v>8</v>
      </c>
      <c r="DV8" s="286"/>
      <c r="DW8" s="286"/>
      <c r="DX8" s="286"/>
      <c r="DY8" s="286"/>
      <c r="DZ8" s="286"/>
      <c r="EA8" s="286"/>
      <c r="EB8" s="286"/>
      <c r="EC8" s="286"/>
      <c r="ED8" s="286"/>
      <c r="EE8" s="286"/>
      <c r="EF8" s="286"/>
      <c r="EG8" s="286"/>
      <c r="EH8" s="286"/>
      <c r="EI8" s="286"/>
      <c r="EJ8" s="286"/>
      <c r="EK8" s="286"/>
      <c r="EL8" s="286"/>
      <c r="EM8" s="286"/>
      <c r="EN8" s="286"/>
      <c r="EO8" s="286"/>
      <c r="EP8" s="286"/>
      <c r="EQ8" s="286"/>
      <c r="ER8" s="286"/>
      <c r="ES8" s="286"/>
      <c r="ET8" s="286" t="s">
        <v>145</v>
      </c>
      <c r="EU8" s="286" t="s">
        <v>146</v>
      </c>
      <c r="EV8" s="286">
        <v>1</v>
      </c>
      <c r="EW8" s="286">
        <v>2</v>
      </c>
      <c r="EX8" s="286">
        <v>3</v>
      </c>
      <c r="EY8" s="286">
        <v>4</v>
      </c>
      <c r="EZ8" s="286"/>
      <c r="FA8" s="286" t="s">
        <v>147</v>
      </c>
      <c r="FB8" s="286">
        <v>5</v>
      </c>
      <c r="FC8" s="286">
        <v>6</v>
      </c>
      <c r="FD8" s="286">
        <v>7</v>
      </c>
      <c r="FE8" s="286">
        <v>8</v>
      </c>
      <c r="FF8" s="286"/>
      <c r="FG8" s="286"/>
      <c r="FH8" s="286"/>
    </row>
    <row r="9" spans="2:164" ht="17.399999999999999">
      <c r="B9" s="612" t="s">
        <v>18</v>
      </c>
      <c r="C9" s="612"/>
      <c r="D9" s="312"/>
      <c r="E9" s="290">
        <f t="shared" ref="E9:M9" si="31">E11+E17+E30+E44+E23+E39</f>
        <v>13.381682451873573</v>
      </c>
      <c r="F9" s="290">
        <f t="shared" si="31"/>
        <v>13.381682451873573</v>
      </c>
      <c r="G9" s="290">
        <f t="shared" si="31"/>
        <v>0</v>
      </c>
      <c r="H9" s="290">
        <f t="shared" si="31"/>
        <v>13.381682451873573</v>
      </c>
      <c r="I9" s="290">
        <f t="shared" si="31"/>
        <v>0</v>
      </c>
      <c r="J9" s="290">
        <f t="shared" si="31"/>
        <v>0</v>
      </c>
      <c r="K9" s="290">
        <f t="shared" si="31"/>
        <v>0</v>
      </c>
      <c r="L9" s="290">
        <f t="shared" si="31"/>
        <v>0</v>
      </c>
      <c r="M9" s="290">
        <f t="shared" si="31"/>
        <v>0</v>
      </c>
      <c r="N9" s="201"/>
      <c r="O9" s="290">
        <f t="shared" ref="O9:S9" si="32">O11+O17+O30+O44+O23+O39</f>
        <v>0</v>
      </c>
      <c r="P9" s="290">
        <f t="shared" si="32"/>
        <v>0</v>
      </c>
      <c r="Q9" s="290">
        <f t="shared" si="32"/>
        <v>0</v>
      </c>
      <c r="R9" s="290">
        <f t="shared" si="32"/>
        <v>0</v>
      </c>
      <c r="S9" s="290">
        <f t="shared" si="32"/>
        <v>0</v>
      </c>
      <c r="T9" s="169"/>
      <c r="U9" s="183"/>
      <c r="V9" s="199"/>
      <c r="W9" s="200"/>
      <c r="X9" s="289">
        <f>X11+X17+X30+X44+X23+X39</f>
        <v>10.300500000000001</v>
      </c>
      <c r="Y9" s="289">
        <f t="shared" ref="Y9:AE9" si="33">Y11+Y17+Y30+Y44+Y23+Y39</f>
        <v>10.300500000000001</v>
      </c>
      <c r="Z9" s="289">
        <f t="shared" si="33"/>
        <v>10.300500000000001</v>
      </c>
      <c r="AA9" s="289">
        <f t="shared" si="33"/>
        <v>0</v>
      </c>
      <c r="AB9" s="289">
        <f t="shared" si="33"/>
        <v>0</v>
      </c>
      <c r="AC9" s="289">
        <f t="shared" si="33"/>
        <v>0</v>
      </c>
      <c r="AD9" s="289">
        <f t="shared" si="33"/>
        <v>0</v>
      </c>
      <c r="AE9" s="289">
        <f t="shared" si="33"/>
        <v>0</v>
      </c>
      <c r="AF9" s="201"/>
      <c r="AG9" s="289">
        <f t="shared" ref="AG9:AK9" si="34">AG11+AG17+AG30+AG44+AG23+AG39</f>
        <v>0</v>
      </c>
      <c r="AH9" s="289">
        <f t="shared" si="34"/>
        <v>0</v>
      </c>
      <c r="AI9" s="289">
        <f t="shared" si="34"/>
        <v>0</v>
      </c>
      <c r="AJ9" s="289">
        <f t="shared" si="34"/>
        <v>0</v>
      </c>
      <c r="AK9" s="289">
        <f t="shared" si="34"/>
        <v>0</v>
      </c>
      <c r="AL9" s="169"/>
      <c r="AM9" s="349"/>
      <c r="AN9" s="349"/>
      <c r="AO9" s="349"/>
      <c r="AP9" s="291">
        <f t="shared" ref="AP9" si="35">AP11+AP17+AP30+AP44+AP23</f>
        <v>0</v>
      </c>
      <c r="AQ9" s="362">
        <f t="shared" ref="AQ9:AW9" si="36">AQ11+AQ17+AQ30+AQ44+AQ23+AQ39</f>
        <v>0</v>
      </c>
      <c r="AR9" s="362">
        <f t="shared" si="36"/>
        <v>0</v>
      </c>
      <c r="AS9" s="362">
        <f t="shared" si="36"/>
        <v>0</v>
      </c>
      <c r="AT9" s="362">
        <f t="shared" si="36"/>
        <v>0</v>
      </c>
      <c r="AU9" s="362">
        <f t="shared" si="36"/>
        <v>0</v>
      </c>
      <c r="AV9" s="362">
        <f t="shared" si="36"/>
        <v>0</v>
      </c>
      <c r="AW9" s="362">
        <f t="shared" si="36"/>
        <v>0</v>
      </c>
      <c r="AX9" s="203"/>
      <c r="AY9" s="362">
        <f t="shared" ref="AY9:BC9" si="37">AY11+AY17+AY30+AY44+AY23+AY39</f>
        <v>0</v>
      </c>
      <c r="AZ9" s="362">
        <f t="shared" si="37"/>
        <v>0</v>
      </c>
      <c r="BA9" s="362">
        <f t="shared" si="37"/>
        <v>0</v>
      </c>
      <c r="BB9" s="362">
        <f t="shared" si="37"/>
        <v>0</v>
      </c>
      <c r="BC9" s="362">
        <f t="shared" si="37"/>
        <v>0</v>
      </c>
      <c r="BD9" s="206"/>
      <c r="BE9" s="199"/>
      <c r="BF9" s="200"/>
      <c r="BG9" s="289">
        <f>BG11+BG17+BG30+BG44+BG23+BG39</f>
        <v>2.475816</v>
      </c>
      <c r="BH9" s="289">
        <f t="shared" ref="BH9:BN9" si="38">BH11+BH17+BH30+BH44+BH23+BH39</f>
        <v>2.475816</v>
      </c>
      <c r="BI9" s="289">
        <f t="shared" si="38"/>
        <v>2.475816</v>
      </c>
      <c r="BJ9" s="289">
        <f t="shared" si="38"/>
        <v>0</v>
      </c>
      <c r="BK9" s="289">
        <f t="shared" si="38"/>
        <v>0</v>
      </c>
      <c r="BL9" s="289">
        <f t="shared" si="38"/>
        <v>0</v>
      </c>
      <c r="BM9" s="289">
        <f t="shared" si="38"/>
        <v>0</v>
      </c>
      <c r="BN9" s="289">
        <f t="shared" si="38"/>
        <v>0</v>
      </c>
      <c r="BO9" s="201"/>
      <c r="BP9" s="289">
        <f t="shared" ref="BP9:BT9" si="39">BP11+BP17+BP30+BP44+BP23+BP39</f>
        <v>0</v>
      </c>
      <c r="BQ9" s="289">
        <f t="shared" si="39"/>
        <v>0</v>
      </c>
      <c r="BR9" s="289">
        <f t="shared" si="39"/>
        <v>0</v>
      </c>
      <c r="BS9" s="289">
        <f t="shared" si="39"/>
        <v>0</v>
      </c>
      <c r="BT9" s="289">
        <f t="shared" si="39"/>
        <v>0</v>
      </c>
      <c r="BU9" s="169"/>
      <c r="BV9" s="349"/>
      <c r="BW9" s="349"/>
      <c r="BX9" s="349"/>
      <c r="BY9" s="349">
        <f t="shared" ref="BY9" si="40">BY11+BY17+BY30+BY44+BY23</f>
        <v>0</v>
      </c>
      <c r="BZ9" s="289">
        <f t="shared" ref="BZ9:CF9" si="41">BZ11+BZ17+BZ30+BZ44+BZ23+BZ39</f>
        <v>0</v>
      </c>
      <c r="CA9" s="289">
        <f t="shared" si="41"/>
        <v>0</v>
      </c>
      <c r="CB9" s="289">
        <f t="shared" si="41"/>
        <v>0</v>
      </c>
      <c r="CC9" s="289">
        <f t="shared" si="41"/>
        <v>0</v>
      </c>
      <c r="CD9" s="289">
        <f t="shared" si="41"/>
        <v>0</v>
      </c>
      <c r="CE9" s="289">
        <f t="shared" si="41"/>
        <v>0</v>
      </c>
      <c r="CF9" s="289">
        <f t="shared" si="41"/>
        <v>0</v>
      </c>
      <c r="CG9" s="203"/>
      <c r="CH9" s="289">
        <f t="shared" ref="CH9:CL9" si="42">CH11+CH17+CH30+CH44+CH23+CH39</f>
        <v>0</v>
      </c>
      <c r="CI9" s="289">
        <f t="shared" si="42"/>
        <v>0</v>
      </c>
      <c r="CJ9" s="289">
        <f t="shared" si="42"/>
        <v>0</v>
      </c>
      <c r="CK9" s="289">
        <f t="shared" si="42"/>
        <v>0</v>
      </c>
      <c r="CL9" s="289">
        <f t="shared" si="42"/>
        <v>0</v>
      </c>
      <c r="CM9" s="206"/>
      <c r="CN9" s="199"/>
      <c r="CO9" s="200"/>
      <c r="CP9" s="289">
        <f>CP11+CP17+CP30+CP44+CP23+CP39</f>
        <v>0.4907464918735705</v>
      </c>
      <c r="CQ9" s="289">
        <f t="shared" ref="CQ9:CW9" si="43">CQ11+CQ17+CQ30+CQ44+CQ23+CQ39</f>
        <v>0.4907464918735705</v>
      </c>
      <c r="CR9" s="289">
        <f t="shared" si="43"/>
        <v>0.4907464918735705</v>
      </c>
      <c r="CS9" s="289">
        <f t="shared" si="43"/>
        <v>0</v>
      </c>
      <c r="CT9" s="289">
        <f t="shared" si="43"/>
        <v>0</v>
      </c>
      <c r="CU9" s="289">
        <f t="shared" si="43"/>
        <v>0</v>
      </c>
      <c r="CV9" s="289">
        <f t="shared" si="43"/>
        <v>0</v>
      </c>
      <c r="CW9" s="289">
        <f t="shared" si="43"/>
        <v>0</v>
      </c>
      <c r="CX9" s="201"/>
      <c r="CY9" s="289">
        <f t="shared" ref="CY9:DC9" si="44">CY11+CY17+CY30+CY44+CY23+CY39</f>
        <v>0</v>
      </c>
      <c r="CZ9" s="289">
        <f t="shared" si="44"/>
        <v>0</v>
      </c>
      <c r="DA9" s="289">
        <f t="shared" si="44"/>
        <v>0</v>
      </c>
      <c r="DB9" s="289">
        <f t="shared" si="44"/>
        <v>0</v>
      </c>
      <c r="DC9" s="289">
        <f t="shared" si="44"/>
        <v>0</v>
      </c>
      <c r="DD9" s="169"/>
      <c r="DE9" s="202"/>
      <c r="DF9" s="202"/>
      <c r="DG9" s="202"/>
      <c r="DH9" s="291">
        <f t="shared" ref="DH9" si="45">DH11+DH17+DH30+DH44+DH23</f>
        <v>0</v>
      </c>
      <c r="DI9" s="289">
        <f t="shared" ref="DI9:DO9" si="46">DI11+DI17+DI30+DI44+DI23+DI39</f>
        <v>0</v>
      </c>
      <c r="DJ9" s="289">
        <f t="shared" si="46"/>
        <v>0</v>
      </c>
      <c r="DK9" s="289">
        <f t="shared" si="46"/>
        <v>0</v>
      </c>
      <c r="DL9" s="289">
        <f t="shared" si="46"/>
        <v>0</v>
      </c>
      <c r="DM9" s="289">
        <f t="shared" si="46"/>
        <v>0</v>
      </c>
      <c r="DN9" s="289">
        <f t="shared" si="46"/>
        <v>0</v>
      </c>
      <c r="DO9" s="289">
        <f t="shared" si="46"/>
        <v>0</v>
      </c>
      <c r="DP9" s="203"/>
      <c r="DQ9" s="289">
        <f t="shared" ref="DQ9:DU9" si="47">DQ11+DQ17+DQ30+DQ44+DQ23+DQ39</f>
        <v>0</v>
      </c>
      <c r="DR9" s="289">
        <f t="shared" si="47"/>
        <v>0</v>
      </c>
      <c r="DS9" s="289">
        <f t="shared" si="47"/>
        <v>0</v>
      </c>
      <c r="DT9" s="289">
        <f t="shared" si="47"/>
        <v>0</v>
      </c>
      <c r="DU9" s="289">
        <f t="shared" si="47"/>
        <v>0</v>
      </c>
      <c r="DV9" s="204"/>
      <c r="DW9" s="206"/>
      <c r="DX9" s="199"/>
      <c r="DY9" s="200"/>
      <c r="DZ9" s="289">
        <f>DZ11+DZ17+DZ30+DZ44+DZ23+DZ39</f>
        <v>0.11461995999999999</v>
      </c>
      <c r="EA9" s="289">
        <f t="shared" ref="EA9:EG9" si="48">EA11+EA17+EA30+EA44+EA23+EA39</f>
        <v>0.11461995999999999</v>
      </c>
      <c r="EB9" s="289">
        <f t="shared" si="48"/>
        <v>0.11461995999999999</v>
      </c>
      <c r="EC9" s="289">
        <f t="shared" si="48"/>
        <v>0</v>
      </c>
      <c r="ED9" s="289">
        <f t="shared" si="48"/>
        <v>0</v>
      </c>
      <c r="EE9" s="289">
        <f t="shared" si="48"/>
        <v>0</v>
      </c>
      <c r="EF9" s="289">
        <f t="shared" si="48"/>
        <v>0</v>
      </c>
      <c r="EG9" s="289">
        <f t="shared" si="48"/>
        <v>0</v>
      </c>
      <c r="EH9" s="201"/>
      <c r="EI9" s="289">
        <f t="shared" ref="EI9:EM9" si="49">EI11+EI17+EI30+EI44+EI23+EI39</f>
        <v>0</v>
      </c>
      <c r="EJ9" s="289">
        <f t="shared" si="49"/>
        <v>0</v>
      </c>
      <c r="EK9" s="289">
        <f t="shared" si="49"/>
        <v>0</v>
      </c>
      <c r="EL9" s="289">
        <f t="shared" si="49"/>
        <v>0</v>
      </c>
      <c r="EM9" s="289">
        <f t="shared" si="49"/>
        <v>0</v>
      </c>
      <c r="EN9" s="169"/>
      <c r="EO9" s="202"/>
      <c r="EP9" s="202"/>
      <c r="EQ9" s="202"/>
      <c r="ER9" s="291">
        <f t="shared" ref="ER9" si="50">ER11+ER17+ER30+ER44+ER23</f>
        <v>0</v>
      </c>
      <c r="ES9" s="289">
        <f t="shared" ref="ES9:EY9" si="51">ES11+ES17+ES30+ES44+ES23+ES39</f>
        <v>0</v>
      </c>
      <c r="ET9" s="289">
        <f t="shared" si="51"/>
        <v>0</v>
      </c>
      <c r="EU9" s="289">
        <f t="shared" si="51"/>
        <v>0</v>
      </c>
      <c r="EV9" s="289">
        <f t="shared" si="51"/>
        <v>0</v>
      </c>
      <c r="EW9" s="289">
        <f t="shared" si="51"/>
        <v>0</v>
      </c>
      <c r="EX9" s="289">
        <f t="shared" si="51"/>
        <v>0</v>
      </c>
      <c r="EY9" s="289">
        <f t="shared" si="51"/>
        <v>0</v>
      </c>
      <c r="EZ9" s="203"/>
      <c r="FA9" s="289">
        <f t="shared" ref="FA9:FE9" si="52">FA11+FA17+FA30+FA44+FA23+FA39</f>
        <v>0</v>
      </c>
      <c r="FB9" s="289">
        <f t="shared" si="52"/>
        <v>0</v>
      </c>
      <c r="FC9" s="289">
        <f t="shared" si="52"/>
        <v>0</v>
      </c>
      <c r="FD9" s="289">
        <f t="shared" si="52"/>
        <v>0</v>
      </c>
      <c r="FE9" s="289">
        <f t="shared" si="52"/>
        <v>0</v>
      </c>
      <c r="FF9" s="204"/>
      <c r="FG9" s="206"/>
      <c r="FH9" s="199"/>
    </row>
    <row r="10" spans="2:164" ht="3" customHeight="1" outlineLevel="1">
      <c r="C10" s="188"/>
      <c r="D10" s="188"/>
      <c r="E10" s="188"/>
      <c r="F10" s="188"/>
      <c r="G10" s="188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69"/>
      <c r="U10" s="183"/>
      <c r="W10" s="189"/>
      <c r="X10" s="195"/>
      <c r="Y10" s="195"/>
      <c r="Z10" s="196"/>
      <c r="AA10" s="196"/>
      <c r="AB10" s="196"/>
      <c r="AC10" s="196"/>
      <c r="AD10" s="196"/>
      <c r="AE10" s="196"/>
      <c r="AF10" s="196"/>
      <c r="AG10" s="196"/>
      <c r="AH10" s="196"/>
      <c r="AI10" s="196"/>
      <c r="AJ10" s="196"/>
      <c r="AK10" s="196"/>
      <c r="AL10" s="169"/>
      <c r="AM10" s="281"/>
      <c r="AN10" s="281"/>
      <c r="AO10" s="281"/>
      <c r="AP10" s="191"/>
      <c r="AQ10" s="198"/>
      <c r="AR10" s="198"/>
      <c r="AS10" s="198"/>
      <c r="AT10" s="198"/>
      <c r="AU10" s="198"/>
      <c r="AV10" s="198"/>
      <c r="AW10" s="198"/>
      <c r="AX10" s="198"/>
      <c r="AY10" s="207"/>
      <c r="AZ10" s="207"/>
      <c r="BA10" s="207"/>
      <c r="BB10" s="207"/>
      <c r="BC10" s="207"/>
      <c r="BD10" s="198"/>
      <c r="BF10" s="189"/>
      <c r="BG10" s="195"/>
      <c r="BH10" s="195"/>
      <c r="BI10" s="196"/>
      <c r="BJ10" s="196"/>
      <c r="BK10" s="196"/>
      <c r="BL10" s="196"/>
      <c r="BM10" s="196"/>
      <c r="BN10" s="196"/>
      <c r="BO10" s="196"/>
      <c r="BP10" s="197"/>
      <c r="BQ10" s="197"/>
      <c r="BR10" s="197"/>
      <c r="BS10" s="197"/>
      <c r="BT10" s="197"/>
      <c r="BU10" s="169"/>
      <c r="BV10" s="281"/>
      <c r="BW10" s="281"/>
      <c r="BX10" s="281"/>
      <c r="BY10" s="281"/>
      <c r="BZ10" s="198"/>
      <c r="CA10" s="198"/>
      <c r="CB10" s="198"/>
      <c r="CC10" s="198"/>
      <c r="CD10" s="198"/>
      <c r="CE10" s="198"/>
      <c r="CF10" s="198"/>
      <c r="CG10" s="198"/>
      <c r="CH10" s="207"/>
      <c r="CI10" s="207"/>
      <c r="CJ10" s="207"/>
      <c r="CK10" s="207"/>
      <c r="CL10" s="207"/>
      <c r="CM10" s="198"/>
      <c r="CO10" s="189"/>
      <c r="CP10" s="195"/>
      <c r="CQ10" s="195"/>
      <c r="CR10" s="196"/>
      <c r="CS10" s="196"/>
      <c r="CT10" s="196"/>
      <c r="CU10" s="196"/>
      <c r="CV10" s="196"/>
      <c r="CW10" s="196"/>
      <c r="CX10" s="196"/>
      <c r="CY10" s="196"/>
      <c r="CZ10" s="196"/>
      <c r="DA10" s="196"/>
      <c r="DB10" s="196"/>
      <c r="DC10" s="196"/>
      <c r="DD10" s="183"/>
      <c r="DE10" s="191"/>
      <c r="DF10" s="191"/>
      <c r="DG10" s="191"/>
      <c r="DH10" s="191"/>
      <c r="DI10" s="198"/>
      <c r="DJ10" s="198"/>
      <c r="DK10" s="198"/>
      <c r="DL10" s="198"/>
      <c r="DM10" s="198"/>
      <c r="DN10" s="198"/>
      <c r="DO10" s="198"/>
      <c r="DP10" s="198"/>
      <c r="DQ10" s="207"/>
      <c r="DR10" s="207"/>
      <c r="DS10" s="207"/>
      <c r="DT10" s="207"/>
      <c r="DU10" s="207"/>
      <c r="DV10" s="207"/>
      <c r="DW10" s="198"/>
      <c r="DY10" s="189"/>
      <c r="DZ10" s="195"/>
      <c r="EA10" s="195"/>
      <c r="EB10" s="196"/>
      <c r="EC10" s="196"/>
      <c r="ED10" s="196"/>
      <c r="EE10" s="196"/>
      <c r="EF10" s="196"/>
      <c r="EG10" s="196"/>
      <c r="EH10" s="196"/>
      <c r="EI10" s="196"/>
      <c r="EJ10" s="196"/>
      <c r="EK10" s="196"/>
      <c r="EL10" s="196"/>
      <c r="EM10" s="196"/>
      <c r="EN10" s="183"/>
      <c r="EO10" s="191"/>
      <c r="EP10" s="191"/>
      <c r="EQ10" s="191"/>
      <c r="ER10" s="191"/>
      <c r="ES10" s="198"/>
      <c r="ET10" s="198"/>
      <c r="EU10" s="198"/>
      <c r="EV10" s="198"/>
      <c r="EW10" s="198"/>
      <c r="EX10" s="198"/>
      <c r="EY10" s="198"/>
      <c r="EZ10" s="198"/>
      <c r="FA10" s="207"/>
      <c r="FB10" s="207"/>
      <c r="FC10" s="207"/>
      <c r="FD10" s="207"/>
      <c r="FE10" s="207"/>
      <c r="FF10" s="207"/>
      <c r="FG10" s="198"/>
    </row>
    <row r="11" spans="2:164" ht="15" outlineLevel="1" collapsed="1">
      <c r="B11" s="208">
        <v>1</v>
      </c>
      <c r="C11" s="209" t="s">
        <v>19</v>
      </c>
      <c r="D11" s="313"/>
      <c r="E11" s="332">
        <f>X11+BG11+CP11+DZ11</f>
        <v>1.1445000000000001</v>
      </c>
      <c r="F11" s="332">
        <f>Y11+BH11+CQ11+EA11</f>
        <v>1.1445000000000001</v>
      </c>
      <c r="G11" s="332">
        <f t="shared" ref="G11" si="53">E11-F11</f>
        <v>0</v>
      </c>
      <c r="H11" s="332">
        <f t="shared" ref="H11:M11" si="54">Z11+BI11+CR11+EB11</f>
        <v>1.1445000000000001</v>
      </c>
      <c r="I11" s="332">
        <f t="shared" si="54"/>
        <v>0</v>
      </c>
      <c r="J11" s="332">
        <f t="shared" si="54"/>
        <v>0</v>
      </c>
      <c r="K11" s="332">
        <f t="shared" si="54"/>
        <v>0</v>
      </c>
      <c r="L11" s="332">
        <f t="shared" si="54"/>
        <v>0</v>
      </c>
      <c r="M11" s="332">
        <f t="shared" si="54"/>
        <v>0</v>
      </c>
      <c r="N11" s="333"/>
      <c r="O11" s="334">
        <f>AG11+BP11+CY11+EI11</f>
        <v>0</v>
      </c>
      <c r="P11" s="334">
        <f>AH11+BQ11+CZ11+EJ11</f>
        <v>0</v>
      </c>
      <c r="Q11" s="334">
        <f>AI11+BR11+DA11+EK11</f>
        <v>0</v>
      </c>
      <c r="R11" s="334">
        <f>AJ11+BS11+DB11+EL11</f>
        <v>0</v>
      </c>
      <c r="S11" s="334">
        <f>AK11+BT11+DC11+EM11</f>
        <v>0</v>
      </c>
      <c r="T11" s="331"/>
      <c r="U11" s="183"/>
      <c r="V11" s="210">
        <v>0.05</v>
      </c>
      <c r="W11" s="210"/>
      <c r="X11" s="292">
        <f>V11*($V$4*'BOQ COST'!$E$4)</f>
        <v>1.1445000000000001</v>
      </c>
      <c r="Y11" s="292">
        <f>Z11+AG11</f>
        <v>1.1445000000000001</v>
      </c>
      <c r="Z11" s="293">
        <f>X11</f>
        <v>1.1445000000000001</v>
      </c>
      <c r="AA11" s="212"/>
      <c r="AB11" s="212"/>
      <c r="AC11" s="293">
        <f t="shared" ref="AC11:AW11" si="55">SUM(AC12:AC15)</f>
        <v>0</v>
      </c>
      <c r="AD11" s="293">
        <f t="shared" si="55"/>
        <v>0</v>
      </c>
      <c r="AE11" s="293">
        <f t="shared" si="55"/>
        <v>0</v>
      </c>
      <c r="AF11" s="213"/>
      <c r="AG11" s="293">
        <f>AA11</f>
        <v>0</v>
      </c>
      <c r="AH11" s="293">
        <f>AG11</f>
        <v>0</v>
      </c>
      <c r="AI11" s="293">
        <f t="shared" ref="AI11:AK11" si="56">SUM(AI12:AI15)</f>
        <v>0</v>
      </c>
      <c r="AJ11" s="293">
        <f t="shared" si="56"/>
        <v>0</v>
      </c>
      <c r="AK11" s="293">
        <f t="shared" si="56"/>
        <v>0</v>
      </c>
      <c r="AL11" s="169"/>
      <c r="AM11" s="350"/>
      <c r="AN11" s="350"/>
      <c r="AO11" s="350"/>
      <c r="AP11" s="293">
        <f t="shared" si="55"/>
        <v>0</v>
      </c>
      <c r="AQ11" s="363">
        <f t="shared" si="55"/>
        <v>0</v>
      </c>
      <c r="AR11" s="363">
        <f t="shared" si="55"/>
        <v>0</v>
      </c>
      <c r="AS11" s="363">
        <f t="shared" si="55"/>
        <v>0</v>
      </c>
      <c r="AT11" s="363">
        <f t="shared" si="55"/>
        <v>0</v>
      </c>
      <c r="AU11" s="363">
        <f t="shared" si="55"/>
        <v>0</v>
      </c>
      <c r="AV11" s="363">
        <f t="shared" si="55"/>
        <v>0</v>
      </c>
      <c r="AW11" s="363">
        <f t="shared" si="55"/>
        <v>0</v>
      </c>
      <c r="AX11" s="216"/>
      <c r="AY11" s="217"/>
      <c r="AZ11" s="217"/>
      <c r="BA11" s="217"/>
      <c r="BB11" s="217"/>
      <c r="BC11" s="217"/>
      <c r="BD11" s="219"/>
      <c r="BE11" s="210"/>
      <c r="BF11" s="210"/>
      <c r="BG11" s="211"/>
      <c r="BH11" s="292">
        <f>BI11+BP11</f>
        <v>0</v>
      </c>
      <c r="BI11" s="212"/>
      <c r="BJ11" s="293">
        <f>BG11</f>
        <v>0</v>
      </c>
      <c r="BK11" s="293">
        <f>BJ11</f>
        <v>0</v>
      </c>
      <c r="BL11" s="293">
        <f t="shared" ref="BL11:BN11" si="57">SUM(BL12:BL15)</f>
        <v>0</v>
      </c>
      <c r="BM11" s="293">
        <f t="shared" si="57"/>
        <v>0</v>
      </c>
      <c r="BN11" s="293">
        <f t="shared" si="57"/>
        <v>0</v>
      </c>
      <c r="BO11" s="213"/>
      <c r="BP11" s="214"/>
      <c r="BQ11" s="214"/>
      <c r="BR11" s="214"/>
      <c r="BS11" s="214"/>
      <c r="BT11" s="214"/>
      <c r="BU11" s="169"/>
      <c r="BV11" s="350"/>
      <c r="BW11" s="350"/>
      <c r="BX11" s="350"/>
      <c r="BY11" s="350">
        <f t="shared" ref="BY11:CF11" si="58">SUM(BY12:BY15)</f>
        <v>0</v>
      </c>
      <c r="BZ11" s="293">
        <f t="shared" si="58"/>
        <v>0</v>
      </c>
      <c r="CA11" s="293">
        <f t="shared" si="58"/>
        <v>0</v>
      </c>
      <c r="CB11" s="293">
        <f t="shared" si="58"/>
        <v>0</v>
      </c>
      <c r="CC11" s="293">
        <f t="shared" si="58"/>
        <v>0</v>
      </c>
      <c r="CD11" s="293">
        <f t="shared" si="58"/>
        <v>0</v>
      </c>
      <c r="CE11" s="293">
        <f t="shared" si="58"/>
        <v>0</v>
      </c>
      <c r="CF11" s="293">
        <f t="shared" si="58"/>
        <v>0</v>
      </c>
      <c r="CG11" s="216"/>
      <c r="CH11" s="217"/>
      <c r="CI11" s="217"/>
      <c r="CJ11" s="217"/>
      <c r="CK11" s="217"/>
      <c r="CL11" s="217"/>
      <c r="CM11" s="219"/>
      <c r="CN11" s="210"/>
      <c r="CO11" s="210"/>
      <c r="CP11" s="292">
        <f>CN11*($CN$4*'BOQ COST'!$G$4)</f>
        <v>0</v>
      </c>
      <c r="CQ11" s="292">
        <f>CR11+CY11</f>
        <v>0</v>
      </c>
      <c r="CR11" s="212"/>
      <c r="CS11" s="293">
        <f>CP11</f>
        <v>0</v>
      </c>
      <c r="CT11" s="293">
        <f>CS11</f>
        <v>0</v>
      </c>
      <c r="CU11" s="293">
        <f t="shared" ref="CU11:CW11" si="59">SUM(CU12:CU15)</f>
        <v>0</v>
      </c>
      <c r="CV11" s="293">
        <f t="shared" si="59"/>
        <v>0</v>
      </c>
      <c r="CW11" s="293">
        <f t="shared" si="59"/>
        <v>0</v>
      </c>
      <c r="CX11" s="213"/>
      <c r="CY11" s="293">
        <f>CV11</f>
        <v>0</v>
      </c>
      <c r="CZ11" s="293">
        <f>CY11</f>
        <v>0</v>
      </c>
      <c r="DA11" s="293">
        <f t="shared" ref="DA11:DC11" si="60">SUM(DA12:DA15)</f>
        <v>0</v>
      </c>
      <c r="DB11" s="293">
        <f t="shared" si="60"/>
        <v>0</v>
      </c>
      <c r="DC11" s="293">
        <f t="shared" si="60"/>
        <v>0</v>
      </c>
      <c r="DD11" s="183"/>
      <c r="DE11" s="215"/>
      <c r="DF11" s="215"/>
      <c r="DG11" s="215"/>
      <c r="DH11" s="293">
        <f t="shared" ref="DH11:DO11" si="61">SUM(DH12:DH15)</f>
        <v>0</v>
      </c>
      <c r="DI11" s="293">
        <f t="shared" si="61"/>
        <v>0</v>
      </c>
      <c r="DJ11" s="293">
        <f t="shared" si="61"/>
        <v>0</v>
      </c>
      <c r="DK11" s="293">
        <f t="shared" si="61"/>
        <v>0</v>
      </c>
      <c r="DL11" s="293">
        <f t="shared" si="61"/>
        <v>0</v>
      </c>
      <c r="DM11" s="293">
        <f t="shared" si="61"/>
        <v>0</v>
      </c>
      <c r="DN11" s="293">
        <f t="shared" si="61"/>
        <v>0</v>
      </c>
      <c r="DO11" s="293">
        <f t="shared" si="61"/>
        <v>0</v>
      </c>
      <c r="DP11" s="216"/>
      <c r="DQ11" s="217"/>
      <c r="DR11" s="217"/>
      <c r="DS11" s="217"/>
      <c r="DT11" s="217"/>
      <c r="DU11" s="217"/>
      <c r="DV11" s="217"/>
      <c r="DW11" s="219"/>
      <c r="DX11" s="210">
        <v>0</v>
      </c>
      <c r="DY11" s="210"/>
      <c r="DZ11" s="292">
        <f>DX11*($DX$4*'BOQ COST'!$H$4)</f>
        <v>0</v>
      </c>
      <c r="EA11" s="292">
        <f>EB11+EI11</f>
        <v>0</v>
      </c>
      <c r="EB11" s="212"/>
      <c r="EC11" s="293">
        <f>DZ11</f>
        <v>0</v>
      </c>
      <c r="ED11" s="293">
        <f>EC11</f>
        <v>0</v>
      </c>
      <c r="EE11" s="293">
        <f t="shared" ref="EE11:EG11" si="62">SUM(EE12:EE15)</f>
        <v>0</v>
      </c>
      <c r="EF11" s="293">
        <f t="shared" si="62"/>
        <v>0</v>
      </c>
      <c r="EG11" s="293">
        <f t="shared" si="62"/>
        <v>0</v>
      </c>
      <c r="EH11" s="213"/>
      <c r="EI11" s="293">
        <f>EF11</f>
        <v>0</v>
      </c>
      <c r="EJ11" s="293">
        <f>EI11</f>
        <v>0</v>
      </c>
      <c r="EK11" s="293">
        <f t="shared" ref="EK11:EM11" si="63">SUM(EK12:EK15)</f>
        <v>0</v>
      </c>
      <c r="EL11" s="293">
        <f t="shared" si="63"/>
        <v>0</v>
      </c>
      <c r="EM11" s="293">
        <f t="shared" si="63"/>
        <v>0</v>
      </c>
      <c r="EN11" s="183"/>
      <c r="EO11" s="215"/>
      <c r="EP11" s="215"/>
      <c r="EQ11" s="215"/>
      <c r="ER11" s="293">
        <f t="shared" ref="ER11:EY11" si="64">SUM(ER12:ER15)</f>
        <v>0</v>
      </c>
      <c r="ES11" s="293">
        <f t="shared" si="64"/>
        <v>0</v>
      </c>
      <c r="ET11" s="293">
        <f t="shared" si="64"/>
        <v>0</v>
      </c>
      <c r="EU11" s="293">
        <f t="shared" si="64"/>
        <v>0</v>
      </c>
      <c r="EV11" s="293">
        <f t="shared" si="64"/>
        <v>0</v>
      </c>
      <c r="EW11" s="293">
        <f t="shared" si="64"/>
        <v>0</v>
      </c>
      <c r="EX11" s="293">
        <f t="shared" si="64"/>
        <v>0</v>
      </c>
      <c r="EY11" s="293">
        <f t="shared" si="64"/>
        <v>0</v>
      </c>
      <c r="EZ11" s="216"/>
      <c r="FA11" s="217"/>
      <c r="FB11" s="217"/>
      <c r="FC11" s="217"/>
      <c r="FD11" s="217"/>
      <c r="FE11" s="217"/>
      <c r="FF11" s="217"/>
      <c r="FG11" s="219"/>
      <c r="FH11" s="210"/>
    </row>
    <row r="12" spans="2:164" ht="12.6" hidden="1" customHeight="1" outlineLevel="2">
      <c r="B12" s="459">
        <v>1</v>
      </c>
      <c r="C12" s="155" t="s">
        <v>20</v>
      </c>
      <c r="H12" s="224"/>
      <c r="I12" s="224"/>
      <c r="J12" s="224"/>
      <c r="K12" s="224"/>
      <c r="L12" s="224"/>
      <c r="M12" s="224"/>
      <c r="N12" s="225"/>
      <c r="O12" s="224"/>
      <c r="P12" s="224"/>
      <c r="Q12" s="224"/>
      <c r="R12" s="224"/>
      <c r="S12" s="224"/>
      <c r="T12" s="169"/>
      <c r="U12" s="183"/>
      <c r="V12" s="221"/>
      <c r="W12" s="222"/>
      <c r="X12" s="223"/>
      <c r="Y12" s="223"/>
      <c r="Z12" s="224"/>
      <c r="AA12" s="224"/>
      <c r="AB12" s="224"/>
      <c r="AC12" s="224"/>
      <c r="AD12" s="224"/>
      <c r="AE12" s="224"/>
      <c r="AF12" s="225"/>
      <c r="AG12" s="224"/>
      <c r="AH12" s="224"/>
      <c r="AI12" s="224"/>
      <c r="AJ12" s="224"/>
      <c r="AK12" s="224"/>
      <c r="AL12" s="169"/>
      <c r="AP12" s="228"/>
      <c r="AQ12" s="198"/>
      <c r="AR12" s="198"/>
      <c r="AS12" s="198"/>
      <c r="AT12" s="198"/>
      <c r="AU12" s="198"/>
      <c r="AV12" s="198"/>
      <c r="AW12" s="198"/>
      <c r="AX12" s="198"/>
      <c r="AY12" s="207"/>
      <c r="AZ12" s="207"/>
      <c r="BA12" s="207"/>
      <c r="BB12" s="207"/>
      <c r="BC12" s="207"/>
      <c r="BD12" s="198"/>
      <c r="BE12" s="221"/>
      <c r="BF12" s="222"/>
      <c r="BG12" s="223"/>
      <c r="BH12" s="223"/>
      <c r="BI12" s="224"/>
      <c r="BJ12" s="224"/>
      <c r="BK12" s="224"/>
      <c r="BL12" s="224"/>
      <c r="BM12" s="224"/>
      <c r="BN12" s="224"/>
      <c r="BO12" s="225"/>
      <c r="BP12" s="226"/>
      <c r="BQ12" s="226"/>
      <c r="BR12" s="226"/>
      <c r="BS12" s="226"/>
      <c r="BT12" s="226"/>
      <c r="BU12" s="169"/>
      <c r="BZ12" s="198"/>
      <c r="CA12" s="198"/>
      <c r="CB12" s="198"/>
      <c r="CC12" s="198"/>
      <c r="CD12" s="198"/>
      <c r="CE12" s="198"/>
      <c r="CF12" s="198"/>
      <c r="CG12" s="198"/>
      <c r="CH12" s="207"/>
      <c r="CI12" s="207"/>
      <c r="CJ12" s="207"/>
      <c r="CK12" s="207"/>
      <c r="CL12" s="207"/>
      <c r="CM12" s="198"/>
      <c r="CN12" s="221"/>
      <c r="CO12" s="222"/>
      <c r="CP12" s="223"/>
      <c r="CQ12" s="223"/>
      <c r="CR12" s="224"/>
      <c r="CS12" s="224"/>
      <c r="CT12" s="224"/>
      <c r="CU12" s="224"/>
      <c r="CV12" s="224"/>
      <c r="CW12" s="224"/>
      <c r="CX12" s="225"/>
      <c r="CY12" s="224"/>
      <c r="CZ12" s="224"/>
      <c r="DA12" s="224"/>
      <c r="DB12" s="224"/>
      <c r="DC12" s="224"/>
      <c r="DD12" s="183"/>
      <c r="DE12" s="227"/>
      <c r="DF12" s="227"/>
      <c r="DG12" s="227"/>
      <c r="DH12" s="228"/>
      <c r="DI12" s="198"/>
      <c r="DJ12" s="198"/>
      <c r="DK12" s="198"/>
      <c r="DL12" s="198"/>
      <c r="DM12" s="198"/>
      <c r="DN12" s="198"/>
      <c r="DO12" s="198"/>
      <c r="DP12" s="198"/>
      <c r="DQ12" s="207"/>
      <c r="DR12" s="207"/>
      <c r="DS12" s="207"/>
      <c r="DT12" s="207"/>
      <c r="DU12" s="207"/>
      <c r="DV12" s="207"/>
      <c r="DW12" s="198"/>
      <c r="DX12" s="221"/>
      <c r="DY12" s="222"/>
      <c r="DZ12" s="223"/>
      <c r="EA12" s="223"/>
      <c r="EB12" s="224"/>
      <c r="EC12" s="224"/>
      <c r="ED12" s="224"/>
      <c r="EE12" s="224"/>
      <c r="EF12" s="224"/>
      <c r="EG12" s="224"/>
      <c r="EH12" s="225"/>
      <c r="EI12" s="224"/>
      <c r="EJ12" s="224"/>
      <c r="EK12" s="224"/>
      <c r="EL12" s="224"/>
      <c r="EM12" s="224"/>
      <c r="EN12" s="183"/>
      <c r="EO12" s="227"/>
      <c r="EP12" s="227"/>
      <c r="EQ12" s="227"/>
      <c r="ER12" s="228"/>
      <c r="ES12" s="198"/>
      <c r="ET12" s="198"/>
      <c r="EU12" s="198"/>
      <c r="EV12" s="198"/>
      <c r="EW12" s="198"/>
      <c r="EX12" s="198"/>
      <c r="EY12" s="198"/>
      <c r="EZ12" s="198"/>
      <c r="FA12" s="207"/>
      <c r="FB12" s="207"/>
      <c r="FC12" s="207"/>
      <c r="FD12" s="207"/>
      <c r="FE12" s="207"/>
      <c r="FF12" s="207"/>
      <c r="FG12" s="198"/>
      <c r="FH12" s="221"/>
    </row>
    <row r="13" spans="2:164" ht="22.5" hidden="1" customHeight="1" outlineLevel="2">
      <c r="B13" s="459">
        <v>2</v>
      </c>
      <c r="C13" s="155" t="s">
        <v>21</v>
      </c>
      <c r="H13" s="224"/>
      <c r="I13" s="224"/>
      <c r="J13" s="224"/>
      <c r="K13" s="224"/>
      <c r="L13" s="224"/>
      <c r="M13" s="224"/>
      <c r="N13" s="225"/>
      <c r="O13" s="224"/>
      <c r="P13" s="224"/>
      <c r="Q13" s="224"/>
      <c r="R13" s="224"/>
      <c r="S13" s="224"/>
      <c r="T13" s="169"/>
      <c r="U13" s="183"/>
      <c r="V13" s="221"/>
      <c r="W13" s="222"/>
      <c r="X13" s="223"/>
      <c r="Y13" s="223"/>
      <c r="Z13" s="224"/>
      <c r="AA13" s="224"/>
      <c r="AB13" s="224"/>
      <c r="AC13" s="224"/>
      <c r="AD13" s="224"/>
      <c r="AE13" s="224"/>
      <c r="AF13" s="225"/>
      <c r="AG13" s="224"/>
      <c r="AH13" s="224"/>
      <c r="AI13" s="224"/>
      <c r="AJ13" s="224"/>
      <c r="AK13" s="224"/>
      <c r="AL13" s="169"/>
      <c r="AP13" s="228"/>
      <c r="AQ13" s="198"/>
      <c r="AR13" s="198"/>
      <c r="AS13" s="198"/>
      <c r="AT13" s="198"/>
      <c r="AU13" s="198"/>
      <c r="AV13" s="198"/>
      <c r="AW13" s="198"/>
      <c r="AX13" s="198"/>
      <c r="AY13" s="207"/>
      <c r="AZ13" s="207"/>
      <c r="BA13" s="207"/>
      <c r="BB13" s="207"/>
      <c r="BC13" s="207"/>
      <c r="BD13" s="198"/>
      <c r="BE13" s="221"/>
      <c r="BF13" s="222"/>
      <c r="BG13" s="223"/>
      <c r="BH13" s="223"/>
      <c r="BI13" s="224"/>
      <c r="BJ13" s="224"/>
      <c r="BK13" s="224"/>
      <c r="BL13" s="224"/>
      <c r="BM13" s="224"/>
      <c r="BN13" s="224"/>
      <c r="BO13" s="225"/>
      <c r="BP13" s="226"/>
      <c r="BQ13" s="226"/>
      <c r="BR13" s="226"/>
      <c r="BS13" s="226"/>
      <c r="BT13" s="226"/>
      <c r="BU13" s="169"/>
      <c r="BZ13" s="198"/>
      <c r="CA13" s="198"/>
      <c r="CB13" s="198"/>
      <c r="CC13" s="198"/>
      <c r="CD13" s="198"/>
      <c r="CE13" s="198"/>
      <c r="CF13" s="198"/>
      <c r="CG13" s="198"/>
      <c r="CH13" s="207"/>
      <c r="CI13" s="207"/>
      <c r="CJ13" s="207"/>
      <c r="CK13" s="207"/>
      <c r="CL13" s="207"/>
      <c r="CM13" s="198"/>
      <c r="CN13" s="221"/>
      <c r="CO13" s="222"/>
      <c r="CP13" s="223"/>
      <c r="CQ13" s="223"/>
      <c r="CR13" s="224"/>
      <c r="CS13" s="224"/>
      <c r="CT13" s="224"/>
      <c r="CU13" s="224"/>
      <c r="CV13" s="224"/>
      <c r="CW13" s="224"/>
      <c r="CX13" s="225"/>
      <c r="CY13" s="224"/>
      <c r="CZ13" s="224"/>
      <c r="DA13" s="224"/>
      <c r="DB13" s="224"/>
      <c r="DC13" s="224"/>
      <c r="DD13" s="183"/>
      <c r="DE13" s="227"/>
      <c r="DF13" s="227"/>
      <c r="DG13" s="227"/>
      <c r="DH13" s="228"/>
      <c r="DI13" s="198"/>
      <c r="DJ13" s="198"/>
      <c r="DK13" s="198"/>
      <c r="DL13" s="198"/>
      <c r="DM13" s="198"/>
      <c r="DN13" s="198"/>
      <c r="DO13" s="198"/>
      <c r="DP13" s="198"/>
      <c r="DQ13" s="207"/>
      <c r="DR13" s="207"/>
      <c r="DS13" s="207"/>
      <c r="DT13" s="207"/>
      <c r="DU13" s="207"/>
      <c r="DV13" s="207"/>
      <c r="DW13" s="198"/>
      <c r="DX13" s="221"/>
      <c r="DY13" s="222"/>
      <c r="DZ13" s="223"/>
      <c r="EA13" s="223"/>
      <c r="EB13" s="224"/>
      <c r="EC13" s="224"/>
      <c r="ED13" s="224"/>
      <c r="EE13" s="224"/>
      <c r="EF13" s="224"/>
      <c r="EG13" s="224"/>
      <c r="EH13" s="225"/>
      <c r="EI13" s="224"/>
      <c r="EJ13" s="224"/>
      <c r="EK13" s="224"/>
      <c r="EL13" s="224"/>
      <c r="EM13" s="224"/>
      <c r="EN13" s="183"/>
      <c r="EO13" s="227"/>
      <c r="EP13" s="227"/>
      <c r="EQ13" s="227"/>
      <c r="ER13" s="228"/>
      <c r="ES13" s="198"/>
      <c r="ET13" s="198"/>
      <c r="EU13" s="198"/>
      <c r="EV13" s="198"/>
      <c r="EW13" s="198"/>
      <c r="EX13" s="198"/>
      <c r="EY13" s="198"/>
      <c r="EZ13" s="198"/>
      <c r="FA13" s="207"/>
      <c r="FB13" s="207"/>
      <c r="FC13" s="207"/>
      <c r="FD13" s="207"/>
      <c r="FE13" s="207"/>
      <c r="FF13" s="207"/>
      <c r="FG13" s="198"/>
      <c r="FH13" s="221"/>
    </row>
    <row r="14" spans="2:164" ht="12.6" hidden="1" customHeight="1" outlineLevel="2">
      <c r="B14" s="459">
        <v>3</v>
      </c>
      <c r="C14" s="155" t="s">
        <v>22</v>
      </c>
      <c r="H14" s="224"/>
      <c r="I14" s="224"/>
      <c r="J14" s="224"/>
      <c r="K14" s="224"/>
      <c r="L14" s="224"/>
      <c r="M14" s="224"/>
      <c r="N14" s="225"/>
      <c r="O14" s="224"/>
      <c r="P14" s="224"/>
      <c r="Q14" s="224"/>
      <c r="R14" s="224"/>
      <c r="S14" s="224"/>
      <c r="T14" s="169"/>
      <c r="U14" s="183"/>
      <c r="V14" s="221"/>
      <c r="W14" s="222"/>
      <c r="X14" s="223"/>
      <c r="Y14" s="223"/>
      <c r="Z14" s="224"/>
      <c r="AA14" s="224"/>
      <c r="AB14" s="224"/>
      <c r="AC14" s="224"/>
      <c r="AD14" s="224"/>
      <c r="AE14" s="224"/>
      <c r="AF14" s="225"/>
      <c r="AG14" s="224"/>
      <c r="AH14" s="224"/>
      <c r="AI14" s="224"/>
      <c r="AJ14" s="224"/>
      <c r="AK14" s="224"/>
      <c r="AL14" s="169"/>
      <c r="AP14" s="228"/>
      <c r="AQ14" s="198"/>
      <c r="AR14" s="198"/>
      <c r="AS14" s="198"/>
      <c r="AT14" s="198"/>
      <c r="AU14" s="198"/>
      <c r="AV14" s="198"/>
      <c r="AW14" s="198"/>
      <c r="AX14" s="198"/>
      <c r="AY14" s="207"/>
      <c r="AZ14" s="207"/>
      <c r="BA14" s="207"/>
      <c r="BB14" s="207"/>
      <c r="BC14" s="207"/>
      <c r="BD14" s="198"/>
      <c r="BE14" s="221"/>
      <c r="BF14" s="222"/>
      <c r="BG14" s="223"/>
      <c r="BH14" s="223"/>
      <c r="BI14" s="224"/>
      <c r="BJ14" s="224"/>
      <c r="BK14" s="224"/>
      <c r="BL14" s="224"/>
      <c r="BM14" s="224"/>
      <c r="BN14" s="224"/>
      <c r="BO14" s="225"/>
      <c r="BP14" s="226"/>
      <c r="BQ14" s="226"/>
      <c r="BR14" s="226"/>
      <c r="BS14" s="226"/>
      <c r="BT14" s="226"/>
      <c r="BU14" s="169"/>
      <c r="BZ14" s="198"/>
      <c r="CA14" s="198"/>
      <c r="CB14" s="198"/>
      <c r="CC14" s="198"/>
      <c r="CD14" s="198"/>
      <c r="CE14" s="198"/>
      <c r="CF14" s="198"/>
      <c r="CG14" s="198"/>
      <c r="CH14" s="207"/>
      <c r="CI14" s="207"/>
      <c r="CJ14" s="207"/>
      <c r="CK14" s="207"/>
      <c r="CL14" s="207"/>
      <c r="CM14" s="198"/>
      <c r="CN14" s="221"/>
      <c r="CO14" s="222"/>
      <c r="CP14" s="223"/>
      <c r="CQ14" s="223"/>
      <c r="CR14" s="224"/>
      <c r="CS14" s="224"/>
      <c r="CT14" s="224"/>
      <c r="CU14" s="224"/>
      <c r="CV14" s="224"/>
      <c r="CW14" s="224"/>
      <c r="CX14" s="225"/>
      <c r="CY14" s="224"/>
      <c r="CZ14" s="224"/>
      <c r="DA14" s="224"/>
      <c r="DB14" s="224"/>
      <c r="DC14" s="224"/>
      <c r="DD14" s="183"/>
      <c r="DE14" s="227"/>
      <c r="DF14" s="227"/>
      <c r="DG14" s="227"/>
      <c r="DH14" s="228"/>
      <c r="DI14" s="198"/>
      <c r="DJ14" s="198"/>
      <c r="DK14" s="198"/>
      <c r="DL14" s="198"/>
      <c r="DM14" s="198"/>
      <c r="DN14" s="198"/>
      <c r="DO14" s="198"/>
      <c r="DP14" s="198"/>
      <c r="DQ14" s="207"/>
      <c r="DR14" s="207"/>
      <c r="DS14" s="207"/>
      <c r="DT14" s="207"/>
      <c r="DU14" s="207"/>
      <c r="DV14" s="207"/>
      <c r="DW14" s="198"/>
      <c r="DX14" s="221"/>
      <c r="DY14" s="222"/>
      <c r="DZ14" s="223"/>
      <c r="EA14" s="223"/>
      <c r="EB14" s="224"/>
      <c r="EC14" s="224"/>
      <c r="ED14" s="224"/>
      <c r="EE14" s="224"/>
      <c r="EF14" s="224"/>
      <c r="EG14" s="224"/>
      <c r="EH14" s="225"/>
      <c r="EI14" s="224"/>
      <c r="EJ14" s="224"/>
      <c r="EK14" s="224"/>
      <c r="EL14" s="224"/>
      <c r="EM14" s="224"/>
      <c r="EN14" s="183"/>
      <c r="EO14" s="227"/>
      <c r="EP14" s="227"/>
      <c r="EQ14" s="227"/>
      <c r="ER14" s="228"/>
      <c r="ES14" s="198"/>
      <c r="ET14" s="198"/>
      <c r="EU14" s="198"/>
      <c r="EV14" s="198"/>
      <c r="EW14" s="198"/>
      <c r="EX14" s="198"/>
      <c r="EY14" s="198"/>
      <c r="EZ14" s="198"/>
      <c r="FA14" s="207"/>
      <c r="FB14" s="207"/>
      <c r="FC14" s="207"/>
      <c r="FD14" s="207"/>
      <c r="FE14" s="207"/>
      <c r="FF14" s="207"/>
      <c r="FG14" s="198"/>
      <c r="FH14" s="221"/>
    </row>
    <row r="15" spans="2:164" ht="12.6" hidden="1" customHeight="1" outlineLevel="2">
      <c r="B15" s="459">
        <v>4</v>
      </c>
      <c r="C15" s="155" t="s">
        <v>23</v>
      </c>
      <c r="H15" s="224"/>
      <c r="I15" s="224"/>
      <c r="J15" s="224"/>
      <c r="K15" s="224"/>
      <c r="L15" s="224"/>
      <c r="M15" s="224"/>
      <c r="N15" s="225"/>
      <c r="O15" s="224"/>
      <c r="P15" s="224"/>
      <c r="Q15" s="224"/>
      <c r="R15" s="224"/>
      <c r="S15" s="224"/>
      <c r="T15" s="169"/>
      <c r="U15" s="183"/>
      <c r="V15" s="221"/>
      <c r="W15" s="222"/>
      <c r="X15" s="223"/>
      <c r="Y15" s="223"/>
      <c r="Z15" s="224"/>
      <c r="AA15" s="224"/>
      <c r="AB15" s="224"/>
      <c r="AC15" s="224"/>
      <c r="AD15" s="224"/>
      <c r="AE15" s="224"/>
      <c r="AF15" s="225"/>
      <c r="AG15" s="224"/>
      <c r="AH15" s="224"/>
      <c r="AI15" s="224"/>
      <c r="AJ15" s="224"/>
      <c r="AK15" s="224"/>
      <c r="AL15" s="169"/>
      <c r="AQ15" s="198"/>
      <c r="AR15" s="198"/>
      <c r="AS15" s="198"/>
      <c r="AT15" s="198"/>
      <c r="AU15" s="198"/>
      <c r="AV15" s="198"/>
      <c r="AW15" s="198"/>
      <c r="AX15" s="198"/>
      <c r="AY15" s="207"/>
      <c r="AZ15" s="207"/>
      <c r="BA15" s="207"/>
      <c r="BB15" s="207"/>
      <c r="BC15" s="207"/>
      <c r="BD15" s="198"/>
      <c r="BE15" s="221"/>
      <c r="BF15" s="222"/>
      <c r="BG15" s="223"/>
      <c r="BH15" s="223"/>
      <c r="BI15" s="224"/>
      <c r="BJ15" s="224"/>
      <c r="BK15" s="224"/>
      <c r="BL15" s="224"/>
      <c r="BM15" s="224"/>
      <c r="BN15" s="224"/>
      <c r="BO15" s="225"/>
      <c r="BP15" s="226"/>
      <c r="BQ15" s="226"/>
      <c r="BR15" s="226"/>
      <c r="BS15" s="226"/>
      <c r="BT15" s="226"/>
      <c r="BU15" s="169"/>
      <c r="BZ15" s="198"/>
      <c r="CA15" s="198"/>
      <c r="CB15" s="198"/>
      <c r="CC15" s="198"/>
      <c r="CD15" s="198"/>
      <c r="CE15" s="198"/>
      <c r="CF15" s="198"/>
      <c r="CG15" s="198"/>
      <c r="CH15" s="207"/>
      <c r="CI15" s="207"/>
      <c r="CJ15" s="207"/>
      <c r="CK15" s="207"/>
      <c r="CL15" s="207"/>
      <c r="CM15" s="198"/>
      <c r="CN15" s="221"/>
      <c r="CO15" s="222"/>
      <c r="CP15" s="223"/>
      <c r="CQ15" s="223"/>
      <c r="CR15" s="224"/>
      <c r="CS15" s="224"/>
      <c r="CT15" s="224"/>
      <c r="CU15" s="224"/>
      <c r="CV15" s="224"/>
      <c r="CW15" s="224"/>
      <c r="CX15" s="225"/>
      <c r="CY15" s="224"/>
      <c r="CZ15" s="224"/>
      <c r="DA15" s="224"/>
      <c r="DB15" s="224"/>
      <c r="DC15" s="224"/>
      <c r="DD15" s="183"/>
      <c r="DE15" s="227"/>
      <c r="DF15" s="227"/>
      <c r="DG15" s="227"/>
      <c r="DI15" s="198"/>
      <c r="DJ15" s="198"/>
      <c r="DK15" s="198"/>
      <c r="DL15" s="198"/>
      <c r="DM15" s="198"/>
      <c r="DN15" s="198"/>
      <c r="DO15" s="198"/>
      <c r="DP15" s="198"/>
      <c r="DQ15" s="207"/>
      <c r="DR15" s="207"/>
      <c r="DS15" s="207"/>
      <c r="DT15" s="207"/>
      <c r="DU15" s="207"/>
      <c r="DV15" s="207"/>
      <c r="DW15" s="198"/>
      <c r="DX15" s="221"/>
      <c r="DY15" s="222"/>
      <c r="DZ15" s="223"/>
      <c r="EA15" s="223"/>
      <c r="EB15" s="224"/>
      <c r="EC15" s="224"/>
      <c r="ED15" s="224"/>
      <c r="EE15" s="224"/>
      <c r="EF15" s="224"/>
      <c r="EG15" s="224"/>
      <c r="EH15" s="225"/>
      <c r="EI15" s="224"/>
      <c r="EJ15" s="224"/>
      <c r="EK15" s="224"/>
      <c r="EL15" s="224"/>
      <c r="EM15" s="224"/>
      <c r="EN15" s="183"/>
      <c r="EO15" s="227"/>
      <c r="EP15" s="227"/>
      <c r="EQ15" s="227"/>
      <c r="ES15" s="198"/>
      <c r="ET15" s="198"/>
      <c r="EU15" s="198"/>
      <c r="EV15" s="198"/>
      <c r="EW15" s="198"/>
      <c r="EX15" s="198"/>
      <c r="EY15" s="198"/>
      <c r="EZ15" s="198"/>
      <c r="FA15" s="207"/>
      <c r="FB15" s="207"/>
      <c r="FC15" s="207"/>
      <c r="FD15" s="207"/>
      <c r="FE15" s="207"/>
      <c r="FF15" s="207"/>
      <c r="FG15" s="198"/>
      <c r="FH15" s="221"/>
    </row>
    <row r="16" spans="2:164" ht="3" customHeight="1" outlineLevel="1">
      <c r="H16" s="234"/>
      <c r="I16" s="234"/>
      <c r="J16" s="234"/>
      <c r="K16" s="234"/>
      <c r="L16" s="234"/>
      <c r="M16" s="234"/>
      <c r="N16" s="234"/>
      <c r="O16" s="234"/>
      <c r="P16" s="234"/>
      <c r="Q16" s="234"/>
      <c r="R16" s="234"/>
      <c r="S16" s="234"/>
      <c r="T16" s="169"/>
      <c r="U16" s="183"/>
      <c r="V16" s="232"/>
      <c r="W16" s="222"/>
      <c r="X16" s="233"/>
      <c r="Y16" s="233"/>
      <c r="Z16" s="234"/>
      <c r="AA16" s="234"/>
      <c r="AB16" s="234"/>
      <c r="AC16" s="234"/>
      <c r="AD16" s="234"/>
      <c r="AE16" s="234"/>
      <c r="AF16" s="234"/>
      <c r="AG16" s="234"/>
      <c r="AH16" s="234"/>
      <c r="AI16" s="234"/>
      <c r="AJ16" s="234"/>
      <c r="AK16" s="234"/>
      <c r="AL16" s="169"/>
      <c r="AP16" s="237"/>
      <c r="AQ16" s="198"/>
      <c r="AR16" s="198"/>
      <c r="AS16" s="198"/>
      <c r="AT16" s="198"/>
      <c r="AU16" s="198"/>
      <c r="AV16" s="198"/>
      <c r="AW16" s="198"/>
      <c r="AX16" s="198"/>
      <c r="AY16" s="207"/>
      <c r="AZ16" s="207"/>
      <c r="BA16" s="207"/>
      <c r="BB16" s="207"/>
      <c r="BC16" s="207"/>
      <c r="BD16" s="198"/>
      <c r="BE16" s="232"/>
      <c r="BF16" s="222"/>
      <c r="BG16" s="233"/>
      <c r="BH16" s="233"/>
      <c r="BI16" s="234"/>
      <c r="BJ16" s="234"/>
      <c r="BK16" s="234"/>
      <c r="BL16" s="234"/>
      <c r="BM16" s="234"/>
      <c r="BN16" s="234"/>
      <c r="BO16" s="234"/>
      <c r="BP16" s="235"/>
      <c r="BQ16" s="235"/>
      <c r="BR16" s="235"/>
      <c r="BS16" s="235"/>
      <c r="BT16" s="235"/>
      <c r="BU16" s="169"/>
      <c r="BY16" s="358"/>
      <c r="BZ16" s="198"/>
      <c r="CA16" s="198"/>
      <c r="CB16" s="198"/>
      <c r="CC16" s="198"/>
      <c r="CD16" s="198"/>
      <c r="CE16" s="198"/>
      <c r="CF16" s="198"/>
      <c r="CG16" s="198"/>
      <c r="CH16" s="207"/>
      <c r="CI16" s="207"/>
      <c r="CJ16" s="207"/>
      <c r="CK16" s="207"/>
      <c r="CL16" s="207"/>
      <c r="CM16" s="198"/>
      <c r="CN16" s="232"/>
      <c r="CO16" s="222"/>
      <c r="CP16" s="233"/>
      <c r="CQ16" s="233"/>
      <c r="CR16" s="234"/>
      <c r="CS16" s="234"/>
      <c r="CT16" s="234"/>
      <c r="CU16" s="234"/>
      <c r="CV16" s="234"/>
      <c r="CW16" s="234"/>
      <c r="CX16" s="234"/>
      <c r="CY16" s="234"/>
      <c r="CZ16" s="234"/>
      <c r="DA16" s="234"/>
      <c r="DB16" s="234"/>
      <c r="DC16" s="234"/>
      <c r="DD16" s="183"/>
      <c r="DH16" s="237"/>
      <c r="DI16" s="198"/>
      <c r="DJ16" s="198"/>
      <c r="DK16" s="198"/>
      <c r="DL16" s="198"/>
      <c r="DM16" s="198"/>
      <c r="DN16" s="198"/>
      <c r="DO16" s="198"/>
      <c r="DP16" s="198"/>
      <c r="DQ16" s="207"/>
      <c r="DR16" s="207"/>
      <c r="DS16" s="207"/>
      <c r="DT16" s="207"/>
      <c r="DU16" s="207"/>
      <c r="DV16" s="207"/>
      <c r="DW16" s="198"/>
      <c r="DX16" s="232"/>
      <c r="DY16" s="222"/>
      <c r="DZ16" s="233"/>
      <c r="EA16" s="233"/>
      <c r="EB16" s="234"/>
      <c r="EC16" s="234"/>
      <c r="ED16" s="234"/>
      <c r="EE16" s="234"/>
      <c r="EF16" s="234"/>
      <c r="EG16" s="234"/>
      <c r="EH16" s="234"/>
      <c r="EI16" s="234"/>
      <c r="EJ16" s="234"/>
      <c r="EK16" s="234"/>
      <c r="EL16" s="234"/>
      <c r="EM16" s="234"/>
      <c r="EN16" s="183"/>
      <c r="ER16" s="237"/>
      <c r="ES16" s="198"/>
      <c r="ET16" s="198"/>
      <c r="EU16" s="198"/>
      <c r="EV16" s="198"/>
      <c r="EW16" s="198"/>
      <c r="EX16" s="198"/>
      <c r="EY16" s="198"/>
      <c r="EZ16" s="198"/>
      <c r="FA16" s="207"/>
      <c r="FB16" s="207"/>
      <c r="FC16" s="207"/>
      <c r="FD16" s="207"/>
      <c r="FE16" s="207"/>
      <c r="FF16" s="207"/>
      <c r="FG16" s="198"/>
      <c r="FH16" s="232"/>
    </row>
    <row r="17" spans="2:162" ht="15" outlineLevel="1" collapsed="1">
      <c r="B17" s="208">
        <v>2</v>
      </c>
      <c r="C17" s="209" t="s">
        <v>24</v>
      </c>
      <c r="D17" s="313"/>
      <c r="E17" s="332">
        <f>X17+BG17+CP17+DZ17</f>
        <v>3.0184000719789288</v>
      </c>
      <c r="F17" s="332">
        <f>Y17+BH17+CQ17+EA17</f>
        <v>3.0184000719789288</v>
      </c>
      <c r="G17" s="332">
        <f t="shared" ref="G17" si="65">E17-F17</f>
        <v>0</v>
      </c>
      <c r="H17" s="332">
        <f t="shared" ref="H17:M17" si="66">Z17+BI17+CR17+EB17</f>
        <v>3.0184000719789288</v>
      </c>
      <c r="I17" s="332">
        <f t="shared" si="66"/>
        <v>0</v>
      </c>
      <c r="J17" s="332">
        <f t="shared" si="66"/>
        <v>0</v>
      </c>
      <c r="K17" s="332">
        <f t="shared" si="66"/>
        <v>0</v>
      </c>
      <c r="L17" s="332">
        <f t="shared" si="66"/>
        <v>0</v>
      </c>
      <c r="M17" s="332">
        <f t="shared" si="66"/>
        <v>0</v>
      </c>
      <c r="N17" s="333"/>
      <c r="O17" s="334">
        <f>AG17+BP17+CY17+EI17</f>
        <v>0</v>
      </c>
      <c r="P17" s="334">
        <f>AH17+BQ17+CZ17+EJ17</f>
        <v>0</v>
      </c>
      <c r="Q17" s="334">
        <f>AI17+BR17+DA17+EK17</f>
        <v>0</v>
      </c>
      <c r="R17" s="334">
        <f>AJ17+BS17+DB17+EL17</f>
        <v>0</v>
      </c>
      <c r="S17" s="334">
        <f>AK17+BT17+DC17+EM17</f>
        <v>0</v>
      </c>
      <c r="T17" s="331"/>
      <c r="U17" s="183"/>
      <c r="V17" s="210">
        <v>0.1</v>
      </c>
      <c r="W17" s="210"/>
      <c r="X17" s="292">
        <f>V17*($V$4*'BOQ COST'!$E$4)</f>
        <v>2.2890000000000001</v>
      </c>
      <c r="Y17" s="292">
        <f>Z17+AG17</f>
        <v>2.2890000000000001</v>
      </c>
      <c r="Z17" s="293">
        <f>X17</f>
        <v>2.2890000000000001</v>
      </c>
      <c r="AA17" s="212"/>
      <c r="AB17" s="212"/>
      <c r="AC17" s="293">
        <f t="shared" ref="AC17:AE17" si="67">SUM(AC18:AC21)</f>
        <v>0</v>
      </c>
      <c r="AD17" s="293">
        <f t="shared" si="67"/>
        <v>0</v>
      </c>
      <c r="AE17" s="293">
        <f t="shared" si="67"/>
        <v>0</v>
      </c>
      <c r="AF17" s="213"/>
      <c r="AG17" s="293">
        <f>AA17</f>
        <v>0</v>
      </c>
      <c r="AH17" s="293">
        <f>AG17</f>
        <v>0</v>
      </c>
      <c r="AI17" s="293">
        <f t="shared" ref="AI17:AK17" si="68">SUM(AI24:AI26)</f>
        <v>0</v>
      </c>
      <c r="AJ17" s="293">
        <f t="shared" si="68"/>
        <v>0</v>
      </c>
      <c r="AK17" s="293">
        <f t="shared" si="68"/>
        <v>0</v>
      </c>
      <c r="AL17" s="169"/>
      <c r="AM17" s="350"/>
      <c r="AN17" s="350"/>
      <c r="AO17" s="350"/>
      <c r="AP17" s="293">
        <f t="shared" ref="AP17:AW17" si="69">SUM(AP24:AP26)</f>
        <v>0</v>
      </c>
      <c r="AQ17" s="363">
        <f t="shared" si="69"/>
        <v>0</v>
      </c>
      <c r="AR17" s="363">
        <f t="shared" si="69"/>
        <v>0</v>
      </c>
      <c r="AS17" s="363">
        <f t="shared" si="69"/>
        <v>0</v>
      </c>
      <c r="AT17" s="363">
        <f t="shared" si="69"/>
        <v>0</v>
      </c>
      <c r="AU17" s="363">
        <f t="shared" si="69"/>
        <v>0</v>
      </c>
      <c r="AV17" s="363">
        <f t="shared" si="69"/>
        <v>0</v>
      </c>
      <c r="AW17" s="363">
        <f t="shared" si="69"/>
        <v>0</v>
      </c>
      <c r="AX17" s="216"/>
      <c r="AY17" s="217"/>
      <c r="AZ17" s="217"/>
      <c r="BA17" s="217"/>
      <c r="BB17" s="217"/>
      <c r="BC17" s="217"/>
      <c r="BD17" s="219"/>
      <c r="BE17" s="210">
        <v>0.1</v>
      </c>
      <c r="BF17" s="210"/>
      <c r="BG17" s="292">
        <f>BE17*($BE$4*'BOQ COST'!$F$4)</f>
        <v>0.618954</v>
      </c>
      <c r="BH17" s="292">
        <f>BI17+BP17</f>
        <v>0.618954</v>
      </c>
      <c r="BI17" s="293">
        <f>BG17</f>
        <v>0.618954</v>
      </c>
      <c r="BJ17" s="212"/>
      <c r="BK17" s="212"/>
      <c r="BL17" s="293">
        <f t="shared" ref="BL17:BN17" si="70">SUM(BL18:BL21)</f>
        <v>0</v>
      </c>
      <c r="BM17" s="293">
        <f t="shared" si="70"/>
        <v>0</v>
      </c>
      <c r="BN17" s="293">
        <f t="shared" si="70"/>
        <v>0</v>
      </c>
      <c r="BO17" s="213"/>
      <c r="BP17" s="293">
        <f>BJ17</f>
        <v>0</v>
      </c>
      <c r="BQ17" s="293">
        <f>BP17</f>
        <v>0</v>
      </c>
      <c r="BR17" s="214"/>
      <c r="BS17" s="214"/>
      <c r="BT17" s="214"/>
      <c r="BU17" s="169"/>
      <c r="BV17" s="350"/>
      <c r="BW17" s="350"/>
      <c r="BX17" s="350"/>
      <c r="BY17" s="350">
        <f t="shared" ref="BY17:CF17" si="71">SUM(BY24:BY26)</f>
        <v>0</v>
      </c>
      <c r="BZ17" s="293">
        <f t="shared" si="71"/>
        <v>0</v>
      </c>
      <c r="CA17" s="293">
        <f t="shared" si="71"/>
        <v>0</v>
      </c>
      <c r="CB17" s="293">
        <f t="shared" si="71"/>
        <v>0</v>
      </c>
      <c r="CC17" s="293">
        <f t="shared" si="71"/>
        <v>0</v>
      </c>
      <c r="CD17" s="293">
        <f t="shared" si="71"/>
        <v>0</v>
      </c>
      <c r="CE17" s="293">
        <f t="shared" si="71"/>
        <v>0</v>
      </c>
      <c r="CF17" s="293">
        <f t="shared" si="71"/>
        <v>0</v>
      </c>
      <c r="CG17" s="216"/>
      <c r="CH17" s="217"/>
      <c r="CI17" s="217"/>
      <c r="CJ17" s="217"/>
      <c r="CK17" s="217"/>
      <c r="CL17" s="217"/>
      <c r="CM17" s="219"/>
      <c r="CN17" s="210">
        <v>0.05</v>
      </c>
      <c r="CO17" s="210"/>
      <c r="CP17" s="292">
        <f>CN17*($CN$4*'BOQ COST'!$G$4)</f>
        <v>8.1791081978928412E-2</v>
      </c>
      <c r="CQ17" s="292">
        <f>CR17+CY17</f>
        <v>8.1791081978928412E-2</v>
      </c>
      <c r="CR17" s="293">
        <f>CP17</f>
        <v>8.1791081978928412E-2</v>
      </c>
      <c r="CS17" s="212"/>
      <c r="CT17" s="212"/>
      <c r="CU17" s="293">
        <f t="shared" ref="CU17:CW17" si="72">SUM(CU18:CU21)</f>
        <v>0</v>
      </c>
      <c r="CV17" s="293">
        <f t="shared" si="72"/>
        <v>0</v>
      </c>
      <c r="CW17" s="293">
        <f t="shared" si="72"/>
        <v>0</v>
      </c>
      <c r="CX17" s="213"/>
      <c r="CY17" s="293">
        <f>CS17</f>
        <v>0</v>
      </c>
      <c r="CZ17" s="293">
        <f>CY17</f>
        <v>0</v>
      </c>
      <c r="DA17" s="293">
        <f t="shared" ref="DA17:DC17" si="73">SUM(DA24:DA26)</f>
        <v>0</v>
      </c>
      <c r="DB17" s="293">
        <f t="shared" si="73"/>
        <v>0</v>
      </c>
      <c r="DC17" s="293">
        <f t="shared" si="73"/>
        <v>0</v>
      </c>
      <c r="DD17" s="183"/>
      <c r="DE17" s="215"/>
      <c r="DF17" s="215"/>
      <c r="DG17" s="215"/>
      <c r="DH17" s="293">
        <f t="shared" ref="DH17:DO17" si="74">SUM(DH24:DH26)</f>
        <v>0</v>
      </c>
      <c r="DI17" s="293">
        <f t="shared" si="74"/>
        <v>0</v>
      </c>
      <c r="DJ17" s="293">
        <f t="shared" si="74"/>
        <v>0</v>
      </c>
      <c r="DK17" s="293">
        <f t="shared" si="74"/>
        <v>0</v>
      </c>
      <c r="DL17" s="293">
        <f t="shared" si="74"/>
        <v>0</v>
      </c>
      <c r="DM17" s="293">
        <f t="shared" si="74"/>
        <v>0</v>
      </c>
      <c r="DN17" s="293">
        <f t="shared" si="74"/>
        <v>0</v>
      </c>
      <c r="DO17" s="293">
        <f t="shared" si="74"/>
        <v>0</v>
      </c>
      <c r="DP17" s="216"/>
      <c r="DQ17" s="217"/>
      <c r="DR17" s="217"/>
      <c r="DS17" s="217"/>
      <c r="DT17" s="217"/>
      <c r="DU17" s="217"/>
      <c r="DV17" s="217"/>
      <c r="DW17" s="219"/>
      <c r="DX17" s="210">
        <v>0.1</v>
      </c>
      <c r="DY17" s="210"/>
      <c r="DZ17" s="292">
        <f>DX17*($DX$4*'BOQ COST'!$H$4)</f>
        <v>2.8654990000000005E-2</v>
      </c>
      <c r="EA17" s="292">
        <f>EB17+EI17</f>
        <v>2.8654990000000005E-2</v>
      </c>
      <c r="EB17" s="293">
        <f>DZ17</f>
        <v>2.8654990000000005E-2</v>
      </c>
      <c r="EC17" s="212">
        <v>0</v>
      </c>
      <c r="ED17" s="212">
        <v>0</v>
      </c>
      <c r="EE17" s="293">
        <f t="shared" ref="EE17:EF17" si="75">SUM(EE18:EE21)</f>
        <v>0</v>
      </c>
      <c r="EF17" s="293">
        <f t="shared" si="75"/>
        <v>0</v>
      </c>
      <c r="EG17" s="293">
        <v>0</v>
      </c>
      <c r="EH17" s="213"/>
      <c r="EI17" s="293">
        <v>0</v>
      </c>
      <c r="EJ17" s="293">
        <v>0</v>
      </c>
      <c r="EK17" s="293">
        <f t="shared" ref="EK17" si="76">SUM(EK24:EK26)</f>
        <v>0</v>
      </c>
      <c r="EL17" s="293">
        <f t="shared" ref="EL17" si="77">SUM(EL24:EL26)</f>
        <v>0</v>
      </c>
      <c r="EM17" s="293">
        <v>0</v>
      </c>
      <c r="EN17" s="183"/>
      <c r="EO17" s="215"/>
      <c r="EP17" s="215"/>
      <c r="EQ17" s="215"/>
      <c r="ER17" s="293">
        <f t="shared" ref="ER17:EY17" si="78">SUM(ER24:ER26)</f>
        <v>0</v>
      </c>
      <c r="ES17" s="293">
        <f t="shared" si="78"/>
        <v>0</v>
      </c>
      <c r="ET17" s="293">
        <f t="shared" si="78"/>
        <v>0</v>
      </c>
      <c r="EU17" s="293">
        <f t="shared" si="78"/>
        <v>0</v>
      </c>
      <c r="EV17" s="293">
        <f t="shared" si="78"/>
        <v>0</v>
      </c>
      <c r="EW17" s="293">
        <f t="shared" si="78"/>
        <v>0</v>
      </c>
      <c r="EX17" s="293">
        <f t="shared" si="78"/>
        <v>0</v>
      </c>
      <c r="EY17" s="293">
        <f t="shared" si="78"/>
        <v>0</v>
      </c>
      <c r="EZ17" s="216"/>
      <c r="FA17" s="217"/>
      <c r="FB17" s="217"/>
      <c r="FC17" s="217"/>
      <c r="FD17" s="217"/>
      <c r="FE17" s="217"/>
      <c r="FF17" s="217"/>
    </row>
    <row r="18" spans="2:162" ht="12.6" hidden="1" customHeight="1" outlineLevel="2">
      <c r="B18" s="459">
        <v>1</v>
      </c>
      <c r="C18" s="238" t="s">
        <v>25</v>
      </c>
      <c r="D18" s="238"/>
      <c r="E18" s="238"/>
      <c r="F18" s="238"/>
      <c r="G18" s="238"/>
      <c r="H18" s="224"/>
      <c r="I18" s="224"/>
      <c r="J18" s="224"/>
      <c r="K18" s="224"/>
      <c r="L18" s="224"/>
      <c r="M18" s="224"/>
      <c r="N18" s="225"/>
      <c r="O18" s="224"/>
      <c r="P18" s="224"/>
      <c r="Q18" s="224"/>
      <c r="R18" s="224"/>
      <c r="S18" s="224"/>
      <c r="T18" s="169"/>
      <c r="U18" s="183"/>
      <c r="V18" s="239"/>
      <c r="W18" s="240"/>
      <c r="X18" s="223"/>
      <c r="Y18" s="223"/>
      <c r="Z18" s="224"/>
      <c r="AA18" s="224"/>
      <c r="AB18" s="224"/>
      <c r="AC18" s="224"/>
      <c r="AD18" s="224"/>
      <c r="AE18" s="224"/>
      <c r="AF18" s="225"/>
      <c r="AG18" s="224"/>
      <c r="AH18" s="224"/>
      <c r="AI18" s="224"/>
      <c r="AJ18" s="224"/>
      <c r="AK18" s="224"/>
      <c r="AL18" s="169"/>
      <c r="AP18" s="228"/>
      <c r="AQ18" s="198"/>
      <c r="AR18" s="198"/>
      <c r="AS18" s="198"/>
      <c r="AT18" s="198"/>
      <c r="AU18" s="198"/>
      <c r="AV18" s="198"/>
      <c r="AW18" s="198"/>
      <c r="AX18" s="198"/>
      <c r="AY18" s="207"/>
      <c r="AZ18" s="207"/>
      <c r="BA18" s="207"/>
      <c r="BB18" s="207"/>
      <c r="BC18" s="207"/>
      <c r="BD18" s="198"/>
      <c r="BE18" s="239"/>
      <c r="BF18" s="240"/>
      <c r="BG18" s="223"/>
      <c r="BH18" s="223"/>
      <c r="BI18" s="224"/>
      <c r="BJ18" s="224"/>
      <c r="BK18" s="224"/>
      <c r="BL18" s="224"/>
      <c r="BM18" s="224"/>
      <c r="BN18" s="224"/>
      <c r="BO18" s="225"/>
      <c r="BP18" s="226"/>
      <c r="BQ18" s="226"/>
      <c r="BR18" s="226"/>
      <c r="BS18" s="226"/>
      <c r="BT18" s="226"/>
      <c r="BU18" s="169"/>
      <c r="BZ18" s="198"/>
      <c r="CA18" s="198"/>
      <c r="CB18" s="198"/>
      <c r="CC18" s="198"/>
      <c r="CD18" s="198"/>
      <c r="CE18" s="198"/>
      <c r="CF18" s="198"/>
      <c r="CG18" s="198"/>
      <c r="CH18" s="207"/>
      <c r="CI18" s="207"/>
      <c r="CJ18" s="207"/>
      <c r="CK18" s="207"/>
      <c r="CL18" s="207"/>
      <c r="CM18" s="198"/>
      <c r="CN18" s="239"/>
      <c r="CO18" s="240"/>
      <c r="CP18" s="223"/>
      <c r="CQ18" s="223"/>
      <c r="CR18" s="224"/>
      <c r="CS18" s="224"/>
      <c r="CT18" s="224"/>
      <c r="CU18" s="224"/>
      <c r="CV18" s="224"/>
      <c r="CW18" s="224"/>
      <c r="CX18" s="225"/>
      <c r="CY18" s="224"/>
      <c r="CZ18" s="224"/>
      <c r="DA18" s="224"/>
      <c r="DB18" s="224"/>
      <c r="DC18" s="224"/>
      <c r="DD18" s="183"/>
      <c r="DE18" s="227"/>
      <c r="DF18" s="227"/>
      <c r="DG18" s="227"/>
      <c r="DH18" s="228"/>
      <c r="DI18" s="198"/>
      <c r="DJ18" s="198"/>
      <c r="DK18" s="198"/>
      <c r="DL18" s="198"/>
      <c r="DM18" s="198"/>
      <c r="DN18" s="198"/>
      <c r="DO18" s="198"/>
      <c r="DP18" s="198"/>
      <c r="DQ18" s="207"/>
      <c r="DR18" s="207"/>
      <c r="DS18" s="207"/>
      <c r="DT18" s="207"/>
      <c r="DU18" s="207"/>
      <c r="DV18" s="207"/>
      <c r="DW18" s="198"/>
      <c r="DX18" s="239"/>
      <c r="DY18" s="240"/>
      <c r="DZ18" s="223"/>
      <c r="EA18" s="223"/>
      <c r="EB18" s="224"/>
      <c r="EC18" s="224"/>
      <c r="ED18" s="224"/>
      <c r="EE18" s="224"/>
      <c r="EF18" s="224"/>
      <c r="EG18" s="224"/>
      <c r="EH18" s="225"/>
      <c r="EI18" s="224"/>
      <c r="EJ18" s="224"/>
      <c r="EK18" s="224"/>
      <c r="EL18" s="224"/>
      <c r="EM18" s="224"/>
      <c r="EN18" s="183"/>
      <c r="EO18" s="227"/>
      <c r="EP18" s="227"/>
      <c r="EQ18" s="227"/>
      <c r="ER18" s="228"/>
      <c r="ES18" s="198"/>
      <c r="ET18" s="198"/>
      <c r="EU18" s="198"/>
      <c r="EV18" s="198"/>
      <c r="EW18" s="198"/>
      <c r="EX18" s="198"/>
      <c r="EY18" s="198"/>
      <c r="EZ18" s="198"/>
      <c r="FA18" s="207"/>
      <c r="FB18" s="207"/>
      <c r="FC18" s="207"/>
      <c r="FD18" s="207"/>
      <c r="FE18" s="207"/>
      <c r="FF18" s="207"/>
    </row>
    <row r="19" spans="2:162" ht="12.6" hidden="1" customHeight="1" outlineLevel="2">
      <c r="B19" s="459">
        <v>2</v>
      </c>
      <c r="C19" s="238" t="s">
        <v>26</v>
      </c>
      <c r="D19" s="238"/>
      <c r="E19" s="238"/>
      <c r="F19" s="238"/>
      <c r="G19" s="238"/>
      <c r="H19" s="224"/>
      <c r="I19" s="224"/>
      <c r="J19" s="224"/>
      <c r="K19" s="224"/>
      <c r="L19" s="224"/>
      <c r="M19" s="224"/>
      <c r="N19" s="225"/>
      <c r="O19" s="224"/>
      <c r="P19" s="224"/>
      <c r="Q19" s="224"/>
      <c r="R19" s="224"/>
      <c r="S19" s="224"/>
      <c r="T19" s="169"/>
      <c r="U19" s="183"/>
      <c r="V19" s="239"/>
      <c r="W19" s="240"/>
      <c r="X19" s="223"/>
      <c r="Y19" s="223"/>
      <c r="Z19" s="224"/>
      <c r="AA19" s="224"/>
      <c r="AB19" s="224"/>
      <c r="AC19" s="224"/>
      <c r="AD19" s="224"/>
      <c r="AE19" s="224"/>
      <c r="AF19" s="225"/>
      <c r="AG19" s="224"/>
      <c r="AH19" s="224"/>
      <c r="AI19" s="224"/>
      <c r="AJ19" s="224"/>
      <c r="AK19" s="224"/>
      <c r="AL19" s="169"/>
      <c r="AP19" s="228"/>
      <c r="AQ19" s="198"/>
      <c r="AR19" s="198"/>
      <c r="AS19" s="198"/>
      <c r="AT19" s="198"/>
      <c r="AU19" s="198"/>
      <c r="AV19" s="198"/>
      <c r="AW19" s="198"/>
      <c r="AX19" s="198"/>
      <c r="AY19" s="207"/>
      <c r="AZ19" s="207"/>
      <c r="BA19" s="207"/>
      <c r="BB19" s="207"/>
      <c r="BC19" s="207"/>
      <c r="BD19" s="198"/>
      <c r="BE19" s="239"/>
      <c r="BF19" s="240"/>
      <c r="BG19" s="223"/>
      <c r="BH19" s="223"/>
      <c r="BI19" s="224"/>
      <c r="BJ19" s="224"/>
      <c r="BK19" s="224"/>
      <c r="BL19" s="224"/>
      <c r="BM19" s="224"/>
      <c r="BN19" s="224"/>
      <c r="BO19" s="225"/>
      <c r="BP19" s="226"/>
      <c r="BQ19" s="226"/>
      <c r="BR19" s="226"/>
      <c r="BS19" s="226"/>
      <c r="BT19" s="226"/>
      <c r="BU19" s="169"/>
      <c r="BZ19" s="198"/>
      <c r="CA19" s="198"/>
      <c r="CB19" s="198"/>
      <c r="CC19" s="198"/>
      <c r="CD19" s="198"/>
      <c r="CE19" s="198"/>
      <c r="CF19" s="198"/>
      <c r="CG19" s="198"/>
      <c r="CH19" s="207"/>
      <c r="CI19" s="207"/>
      <c r="CJ19" s="207"/>
      <c r="CK19" s="207"/>
      <c r="CL19" s="207"/>
      <c r="CM19" s="198"/>
      <c r="CN19" s="239"/>
      <c r="CO19" s="240"/>
      <c r="CP19" s="223"/>
      <c r="CQ19" s="223"/>
      <c r="CR19" s="224"/>
      <c r="CS19" s="224"/>
      <c r="CT19" s="224"/>
      <c r="CU19" s="224"/>
      <c r="CV19" s="224"/>
      <c r="CW19" s="224"/>
      <c r="CX19" s="225"/>
      <c r="CY19" s="224"/>
      <c r="CZ19" s="224"/>
      <c r="DA19" s="224"/>
      <c r="DB19" s="224"/>
      <c r="DC19" s="224"/>
      <c r="DD19" s="183"/>
      <c r="DE19" s="227"/>
      <c r="DF19" s="227"/>
      <c r="DG19" s="227"/>
      <c r="DH19" s="228"/>
      <c r="DI19" s="198"/>
      <c r="DJ19" s="198"/>
      <c r="DK19" s="198"/>
      <c r="DL19" s="198"/>
      <c r="DM19" s="198"/>
      <c r="DN19" s="198"/>
      <c r="DO19" s="198"/>
      <c r="DP19" s="198"/>
      <c r="DQ19" s="207"/>
      <c r="DR19" s="207"/>
      <c r="DS19" s="207"/>
      <c r="DT19" s="207"/>
      <c r="DU19" s="207"/>
      <c r="DV19" s="207"/>
      <c r="DW19" s="198"/>
      <c r="DX19" s="239"/>
      <c r="DY19" s="240"/>
      <c r="DZ19" s="223"/>
      <c r="EA19" s="223"/>
      <c r="EB19" s="224"/>
      <c r="EC19" s="224"/>
      <c r="ED19" s="224"/>
      <c r="EE19" s="224"/>
      <c r="EF19" s="224"/>
      <c r="EG19" s="224"/>
      <c r="EH19" s="225"/>
      <c r="EI19" s="224"/>
      <c r="EJ19" s="224"/>
      <c r="EK19" s="224"/>
      <c r="EL19" s="224"/>
      <c r="EM19" s="224"/>
      <c r="EN19" s="183"/>
      <c r="EO19" s="227"/>
      <c r="EP19" s="227"/>
      <c r="EQ19" s="227"/>
      <c r="ER19" s="228"/>
      <c r="ES19" s="198"/>
      <c r="ET19" s="198"/>
      <c r="EU19" s="198"/>
      <c r="EV19" s="198"/>
      <c r="EW19" s="198"/>
      <c r="EX19" s="198"/>
      <c r="EY19" s="198"/>
      <c r="EZ19" s="198"/>
      <c r="FA19" s="207"/>
      <c r="FB19" s="207"/>
      <c r="FC19" s="207"/>
      <c r="FD19" s="207"/>
      <c r="FE19" s="207"/>
      <c r="FF19" s="207"/>
    </row>
    <row r="20" spans="2:162" ht="12.6" hidden="1" customHeight="1" outlineLevel="2">
      <c r="B20" s="459">
        <v>3</v>
      </c>
      <c r="C20" s="238" t="s">
        <v>27</v>
      </c>
      <c r="D20" s="238"/>
      <c r="E20" s="238"/>
      <c r="F20" s="238"/>
      <c r="G20" s="238"/>
      <c r="H20" s="224"/>
      <c r="I20" s="224"/>
      <c r="J20" s="224"/>
      <c r="K20" s="224"/>
      <c r="L20" s="224"/>
      <c r="M20" s="224"/>
      <c r="N20" s="225"/>
      <c r="O20" s="224"/>
      <c r="P20" s="224"/>
      <c r="Q20" s="224"/>
      <c r="R20" s="224"/>
      <c r="S20" s="224"/>
      <c r="T20" s="169"/>
      <c r="U20" s="183"/>
      <c r="V20" s="239"/>
      <c r="W20" s="240"/>
      <c r="X20" s="223"/>
      <c r="Y20" s="223"/>
      <c r="Z20" s="224"/>
      <c r="AA20" s="224"/>
      <c r="AB20" s="224"/>
      <c r="AC20" s="224"/>
      <c r="AD20" s="224"/>
      <c r="AE20" s="224"/>
      <c r="AF20" s="225"/>
      <c r="AG20" s="224"/>
      <c r="AH20" s="224"/>
      <c r="AI20" s="224"/>
      <c r="AJ20" s="224"/>
      <c r="AK20" s="224"/>
      <c r="AL20" s="169"/>
      <c r="AP20" s="228"/>
      <c r="AQ20" s="198"/>
      <c r="AR20" s="198"/>
      <c r="AS20" s="198"/>
      <c r="AT20" s="198"/>
      <c r="AU20" s="198"/>
      <c r="AV20" s="198"/>
      <c r="AW20" s="198"/>
      <c r="AX20" s="198"/>
      <c r="AY20" s="207"/>
      <c r="AZ20" s="207"/>
      <c r="BA20" s="207"/>
      <c r="BB20" s="207"/>
      <c r="BC20" s="207"/>
      <c r="BD20" s="198"/>
      <c r="BE20" s="239"/>
      <c r="BF20" s="240"/>
      <c r="BG20" s="223"/>
      <c r="BH20" s="223"/>
      <c r="BI20" s="224"/>
      <c r="BJ20" s="224"/>
      <c r="BK20" s="224"/>
      <c r="BL20" s="224"/>
      <c r="BM20" s="224"/>
      <c r="BN20" s="224"/>
      <c r="BO20" s="225"/>
      <c r="BP20" s="226"/>
      <c r="BQ20" s="226"/>
      <c r="BR20" s="226"/>
      <c r="BS20" s="226"/>
      <c r="BT20" s="226"/>
      <c r="BU20" s="169"/>
      <c r="BZ20" s="198"/>
      <c r="CA20" s="198"/>
      <c r="CB20" s="198"/>
      <c r="CC20" s="198"/>
      <c r="CD20" s="198"/>
      <c r="CE20" s="198"/>
      <c r="CF20" s="198"/>
      <c r="CG20" s="198"/>
      <c r="CH20" s="207"/>
      <c r="CI20" s="207"/>
      <c r="CJ20" s="207"/>
      <c r="CK20" s="207"/>
      <c r="CL20" s="207"/>
      <c r="CM20" s="198"/>
      <c r="CN20" s="239"/>
      <c r="CO20" s="240"/>
      <c r="CP20" s="223"/>
      <c r="CQ20" s="223"/>
      <c r="CR20" s="224"/>
      <c r="CS20" s="224"/>
      <c r="CT20" s="224"/>
      <c r="CU20" s="224"/>
      <c r="CV20" s="224"/>
      <c r="CW20" s="224"/>
      <c r="CX20" s="225"/>
      <c r="CY20" s="224"/>
      <c r="CZ20" s="224"/>
      <c r="DA20" s="224"/>
      <c r="DB20" s="224"/>
      <c r="DC20" s="224"/>
      <c r="DD20" s="183"/>
      <c r="DE20" s="227"/>
      <c r="DF20" s="227"/>
      <c r="DG20" s="227"/>
      <c r="DH20" s="228"/>
      <c r="DI20" s="198"/>
      <c r="DJ20" s="198"/>
      <c r="DK20" s="198"/>
      <c r="DL20" s="198"/>
      <c r="DM20" s="198"/>
      <c r="DN20" s="198"/>
      <c r="DO20" s="198"/>
      <c r="DP20" s="198"/>
      <c r="DQ20" s="207"/>
      <c r="DR20" s="207"/>
      <c r="DS20" s="207"/>
      <c r="DT20" s="207"/>
      <c r="DU20" s="207"/>
      <c r="DV20" s="207"/>
      <c r="DW20" s="198"/>
      <c r="DX20" s="239"/>
      <c r="DY20" s="240"/>
      <c r="DZ20" s="223"/>
      <c r="EA20" s="223"/>
      <c r="EB20" s="224"/>
      <c r="EC20" s="224"/>
      <c r="ED20" s="224"/>
      <c r="EE20" s="224"/>
      <c r="EF20" s="224"/>
      <c r="EG20" s="224"/>
      <c r="EH20" s="225"/>
      <c r="EI20" s="224"/>
      <c r="EJ20" s="224"/>
      <c r="EK20" s="224"/>
      <c r="EL20" s="224"/>
      <c r="EM20" s="224"/>
      <c r="EN20" s="183"/>
      <c r="EO20" s="227"/>
      <c r="EP20" s="227"/>
      <c r="EQ20" s="227"/>
      <c r="ER20" s="228"/>
      <c r="ES20" s="198"/>
      <c r="ET20" s="198"/>
      <c r="EU20" s="198"/>
      <c r="EV20" s="198"/>
      <c r="EW20" s="198"/>
      <c r="EX20" s="198"/>
      <c r="EY20" s="198"/>
      <c r="EZ20" s="198"/>
      <c r="FA20" s="207"/>
      <c r="FB20" s="207"/>
      <c r="FC20" s="207"/>
      <c r="FD20" s="207"/>
      <c r="FE20" s="207"/>
      <c r="FF20" s="207"/>
    </row>
    <row r="21" spans="2:162" ht="12.6" hidden="1" customHeight="1" outlineLevel="2">
      <c r="B21" s="459">
        <v>4</v>
      </c>
      <c r="C21" s="238" t="s">
        <v>28</v>
      </c>
      <c r="D21" s="238"/>
      <c r="E21" s="238"/>
      <c r="F21" s="238"/>
      <c r="G21" s="238"/>
      <c r="H21" s="224"/>
      <c r="I21" s="224"/>
      <c r="J21" s="224"/>
      <c r="K21" s="224"/>
      <c r="L21" s="224"/>
      <c r="M21" s="224"/>
      <c r="N21" s="225"/>
      <c r="O21" s="224"/>
      <c r="P21" s="224"/>
      <c r="Q21" s="224"/>
      <c r="R21" s="224"/>
      <c r="S21" s="224"/>
      <c r="T21" s="169"/>
      <c r="U21" s="183"/>
      <c r="V21" s="239"/>
      <c r="W21" s="240"/>
      <c r="X21" s="223"/>
      <c r="Y21" s="223"/>
      <c r="Z21" s="224"/>
      <c r="AA21" s="224"/>
      <c r="AB21" s="224"/>
      <c r="AC21" s="224"/>
      <c r="AD21" s="224"/>
      <c r="AE21" s="224"/>
      <c r="AF21" s="225"/>
      <c r="AG21" s="224"/>
      <c r="AH21" s="224"/>
      <c r="AI21" s="224"/>
      <c r="AJ21" s="224"/>
      <c r="AK21" s="224"/>
      <c r="AL21" s="169"/>
      <c r="AP21" s="228"/>
      <c r="AQ21" s="198"/>
      <c r="AR21" s="198"/>
      <c r="AS21" s="198"/>
      <c r="AT21" s="198"/>
      <c r="AU21" s="198"/>
      <c r="AV21" s="198"/>
      <c r="AW21" s="198"/>
      <c r="AX21" s="198"/>
      <c r="AY21" s="207"/>
      <c r="AZ21" s="207"/>
      <c r="BA21" s="207"/>
      <c r="BB21" s="207"/>
      <c r="BC21" s="207"/>
      <c r="BD21" s="198"/>
      <c r="BE21" s="239"/>
      <c r="BF21" s="240"/>
      <c r="BG21" s="223"/>
      <c r="BH21" s="223"/>
      <c r="BI21" s="224"/>
      <c r="BJ21" s="224"/>
      <c r="BK21" s="224"/>
      <c r="BL21" s="224"/>
      <c r="BM21" s="224"/>
      <c r="BN21" s="224"/>
      <c r="BO21" s="225"/>
      <c r="BP21" s="226"/>
      <c r="BQ21" s="226"/>
      <c r="BR21" s="226"/>
      <c r="BS21" s="226"/>
      <c r="BT21" s="226"/>
      <c r="BU21" s="169"/>
      <c r="BZ21" s="198"/>
      <c r="CA21" s="198"/>
      <c r="CB21" s="198"/>
      <c r="CC21" s="198"/>
      <c r="CD21" s="198"/>
      <c r="CE21" s="198"/>
      <c r="CF21" s="198"/>
      <c r="CG21" s="198"/>
      <c r="CH21" s="207"/>
      <c r="CI21" s="207"/>
      <c r="CJ21" s="207"/>
      <c r="CK21" s="207"/>
      <c r="CL21" s="207"/>
      <c r="CM21" s="198"/>
      <c r="CN21" s="239"/>
      <c r="CO21" s="240"/>
      <c r="CP21" s="223"/>
      <c r="CQ21" s="223"/>
      <c r="CR21" s="224"/>
      <c r="CS21" s="224"/>
      <c r="CT21" s="224"/>
      <c r="CU21" s="224"/>
      <c r="CV21" s="224"/>
      <c r="CW21" s="224"/>
      <c r="CX21" s="225"/>
      <c r="CY21" s="224"/>
      <c r="CZ21" s="224"/>
      <c r="DA21" s="224"/>
      <c r="DB21" s="224"/>
      <c r="DC21" s="224"/>
      <c r="DD21" s="183"/>
      <c r="DE21" s="227"/>
      <c r="DF21" s="227"/>
      <c r="DG21" s="227"/>
      <c r="DH21" s="228"/>
      <c r="DI21" s="198"/>
      <c r="DJ21" s="198"/>
      <c r="DK21" s="198"/>
      <c r="DL21" s="198"/>
      <c r="DM21" s="198"/>
      <c r="DN21" s="198"/>
      <c r="DO21" s="198"/>
      <c r="DP21" s="198"/>
      <c r="DQ21" s="207"/>
      <c r="DR21" s="207"/>
      <c r="DS21" s="207"/>
      <c r="DT21" s="207"/>
      <c r="DU21" s="207"/>
      <c r="DV21" s="207"/>
      <c r="DW21" s="198"/>
      <c r="DX21" s="239"/>
      <c r="DY21" s="240"/>
      <c r="DZ21" s="223"/>
      <c r="EA21" s="223"/>
      <c r="EB21" s="224"/>
      <c r="EC21" s="224"/>
      <c r="ED21" s="224"/>
      <c r="EE21" s="224"/>
      <c r="EF21" s="224"/>
      <c r="EG21" s="224"/>
      <c r="EH21" s="225"/>
      <c r="EI21" s="224"/>
      <c r="EJ21" s="224"/>
      <c r="EK21" s="224"/>
      <c r="EL21" s="224"/>
      <c r="EM21" s="224"/>
      <c r="EN21" s="183"/>
      <c r="EO21" s="227"/>
      <c r="EP21" s="227"/>
      <c r="EQ21" s="227"/>
      <c r="ER21" s="228"/>
      <c r="ES21" s="198"/>
      <c r="ET21" s="198"/>
      <c r="EU21" s="198"/>
      <c r="EV21" s="198"/>
      <c r="EW21" s="198"/>
      <c r="EX21" s="198"/>
      <c r="EY21" s="198"/>
      <c r="EZ21" s="198"/>
      <c r="FA21" s="207"/>
      <c r="FB21" s="207"/>
      <c r="FC21" s="207"/>
      <c r="FD21" s="207"/>
      <c r="FE21" s="207"/>
      <c r="FF21" s="207"/>
    </row>
    <row r="22" spans="2:162" ht="3" customHeight="1" outlineLevel="1">
      <c r="B22" s="241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5"/>
      <c r="S22" s="225"/>
      <c r="T22" s="169"/>
      <c r="U22" s="183"/>
      <c r="V22" s="232"/>
      <c r="W22" s="222"/>
      <c r="X22" s="223"/>
      <c r="Y22" s="223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169"/>
      <c r="AM22" s="281"/>
      <c r="AN22" s="281"/>
      <c r="AO22" s="281"/>
      <c r="AP22" s="228"/>
      <c r="AQ22" s="198"/>
      <c r="AR22" s="198"/>
      <c r="AS22" s="198"/>
      <c r="AT22" s="198"/>
      <c r="AU22" s="198"/>
      <c r="AV22" s="198"/>
      <c r="AW22" s="198"/>
      <c r="AX22" s="198"/>
      <c r="AY22" s="207"/>
      <c r="AZ22" s="207"/>
      <c r="BA22" s="207"/>
      <c r="BB22" s="207"/>
      <c r="BC22" s="207"/>
      <c r="BD22" s="244"/>
      <c r="BE22" s="232"/>
      <c r="BF22" s="222"/>
      <c r="BG22" s="223"/>
      <c r="BH22" s="223"/>
      <c r="BI22" s="225"/>
      <c r="BJ22" s="225"/>
      <c r="BK22" s="225"/>
      <c r="BL22" s="225"/>
      <c r="BM22" s="225"/>
      <c r="BN22" s="225"/>
      <c r="BO22" s="225"/>
      <c r="BP22" s="242"/>
      <c r="BQ22" s="242"/>
      <c r="BR22" s="242"/>
      <c r="BS22" s="242"/>
      <c r="BT22" s="242"/>
      <c r="BU22" s="169"/>
      <c r="BV22" s="281"/>
      <c r="BW22" s="281"/>
      <c r="BX22" s="281"/>
      <c r="BZ22" s="198"/>
      <c r="CA22" s="198"/>
      <c r="CB22" s="198"/>
      <c r="CC22" s="198"/>
      <c r="CD22" s="198"/>
      <c r="CE22" s="198"/>
      <c r="CF22" s="198"/>
      <c r="CG22" s="198"/>
      <c r="CH22" s="207"/>
      <c r="CI22" s="207"/>
      <c r="CJ22" s="207"/>
      <c r="CK22" s="207"/>
      <c r="CL22" s="207"/>
      <c r="CM22" s="244"/>
      <c r="CN22" s="232"/>
      <c r="CO22" s="222"/>
      <c r="CP22" s="223"/>
      <c r="CQ22" s="223"/>
      <c r="CR22" s="225"/>
      <c r="CS22" s="225"/>
      <c r="CT22" s="225"/>
      <c r="CU22" s="225"/>
      <c r="CV22" s="225"/>
      <c r="CW22" s="225"/>
      <c r="CX22" s="225"/>
      <c r="CY22" s="225"/>
      <c r="CZ22" s="225"/>
      <c r="DA22" s="225"/>
      <c r="DB22" s="225"/>
      <c r="DC22" s="225"/>
      <c r="DD22" s="183"/>
      <c r="DE22" s="243"/>
      <c r="DF22" s="243"/>
      <c r="DG22" s="243"/>
      <c r="DH22" s="228"/>
      <c r="DI22" s="198"/>
      <c r="DJ22" s="198"/>
      <c r="DK22" s="198"/>
      <c r="DL22" s="198"/>
      <c r="DM22" s="198"/>
      <c r="DN22" s="198"/>
      <c r="DO22" s="198"/>
      <c r="DP22" s="198"/>
      <c r="DQ22" s="207"/>
      <c r="DR22" s="207"/>
      <c r="DS22" s="207"/>
      <c r="DT22" s="207"/>
      <c r="DU22" s="207"/>
      <c r="DV22" s="207"/>
      <c r="DW22" s="244"/>
      <c r="DX22" s="232"/>
      <c r="DY22" s="222"/>
      <c r="DZ22" s="223"/>
      <c r="EA22" s="223"/>
      <c r="EB22" s="225"/>
      <c r="EC22" s="225"/>
      <c r="ED22" s="225"/>
      <c r="EE22" s="225"/>
      <c r="EF22" s="225"/>
      <c r="EG22" s="225"/>
      <c r="EH22" s="225"/>
      <c r="EI22" s="225"/>
      <c r="EJ22" s="225"/>
      <c r="EK22" s="225"/>
      <c r="EL22" s="225"/>
      <c r="EM22" s="225"/>
      <c r="EN22" s="183"/>
      <c r="EO22" s="243"/>
      <c r="EP22" s="243"/>
      <c r="EQ22" s="243"/>
      <c r="ER22" s="228"/>
      <c r="ES22" s="198"/>
      <c r="ET22" s="198"/>
      <c r="EU22" s="198"/>
      <c r="EV22" s="198"/>
      <c r="EW22" s="198"/>
      <c r="EX22" s="198"/>
      <c r="EY22" s="198"/>
      <c r="EZ22" s="198"/>
      <c r="FA22" s="207"/>
      <c r="FB22" s="207"/>
      <c r="FC22" s="207"/>
      <c r="FD22" s="207"/>
      <c r="FE22" s="207"/>
      <c r="FF22" s="207"/>
    </row>
    <row r="23" spans="2:162" ht="15" outlineLevel="1" collapsed="1">
      <c r="B23" s="208">
        <v>3</v>
      </c>
      <c r="C23" s="209" t="s">
        <v>29</v>
      </c>
      <c r="D23" s="313"/>
      <c r="E23" s="332">
        <f>X23+BG23+CP23+DZ23</f>
        <v>3.704817658957857</v>
      </c>
      <c r="F23" s="332">
        <f>Y23+BH23+CQ23+EA23</f>
        <v>3.704817658957857</v>
      </c>
      <c r="G23" s="332">
        <f t="shared" ref="G23" si="79">E23-F23</f>
        <v>0</v>
      </c>
      <c r="H23" s="332">
        <f t="shared" ref="H23:M23" si="80">Z23+BI23+CR23+EB23</f>
        <v>3.704817658957857</v>
      </c>
      <c r="I23" s="332">
        <f t="shared" si="80"/>
        <v>0</v>
      </c>
      <c r="J23" s="332">
        <f t="shared" si="80"/>
        <v>0</v>
      </c>
      <c r="K23" s="332">
        <f t="shared" si="80"/>
        <v>0</v>
      </c>
      <c r="L23" s="332">
        <f t="shared" si="80"/>
        <v>0</v>
      </c>
      <c r="M23" s="332">
        <f t="shared" si="80"/>
        <v>0</v>
      </c>
      <c r="N23" s="333"/>
      <c r="O23" s="334">
        <f>AG23+BP23+CY23+EI23</f>
        <v>0</v>
      </c>
      <c r="P23" s="334">
        <f>AH23+BQ23+CZ23+EJ23</f>
        <v>0</v>
      </c>
      <c r="Q23" s="334">
        <f>AI23+BR23+DA23+EK23</f>
        <v>0</v>
      </c>
      <c r="R23" s="334">
        <f>AJ23+BS23+DB23+EL23</f>
        <v>0</v>
      </c>
      <c r="S23" s="334">
        <f>AK23+BT23+DC23+EM23</f>
        <v>0</v>
      </c>
      <c r="T23" s="331"/>
      <c r="U23" s="183"/>
      <c r="V23" s="210">
        <v>0.1</v>
      </c>
      <c r="W23" s="210"/>
      <c r="X23" s="292">
        <f>V23*($V$4*'BOQ COST'!$E$4)</f>
        <v>2.2890000000000001</v>
      </c>
      <c r="Y23" s="292">
        <f>Z23+AG23</f>
        <v>2.2890000000000001</v>
      </c>
      <c r="Z23" s="293">
        <f>X23</f>
        <v>2.2890000000000001</v>
      </c>
      <c r="AA23" s="212"/>
      <c r="AB23" s="212"/>
      <c r="AC23" s="293">
        <f t="shared" ref="AC23:AW23" si="81">SUM(AC29:AC31)</f>
        <v>0</v>
      </c>
      <c r="AD23" s="293">
        <f t="shared" si="81"/>
        <v>0</v>
      </c>
      <c r="AE23" s="293">
        <f t="shared" si="81"/>
        <v>0</v>
      </c>
      <c r="AF23" s="213"/>
      <c r="AG23" s="293">
        <f>AD23</f>
        <v>0</v>
      </c>
      <c r="AH23" s="293">
        <f>AG23</f>
        <v>0</v>
      </c>
      <c r="AI23" s="293">
        <f t="shared" ref="AI23:AK23" si="82">SUM(AI29:AI31)</f>
        <v>0</v>
      </c>
      <c r="AJ23" s="293">
        <f t="shared" si="82"/>
        <v>0</v>
      </c>
      <c r="AK23" s="293">
        <f t="shared" si="82"/>
        <v>0</v>
      </c>
      <c r="AL23" s="169"/>
      <c r="AM23" s="350"/>
      <c r="AN23" s="350"/>
      <c r="AO23" s="350"/>
      <c r="AP23" s="293">
        <f t="shared" si="81"/>
        <v>0</v>
      </c>
      <c r="AQ23" s="363">
        <f t="shared" si="81"/>
        <v>0</v>
      </c>
      <c r="AR23" s="363">
        <f t="shared" si="81"/>
        <v>0</v>
      </c>
      <c r="AS23" s="363">
        <f t="shared" si="81"/>
        <v>0</v>
      </c>
      <c r="AT23" s="363">
        <f t="shared" si="81"/>
        <v>0</v>
      </c>
      <c r="AU23" s="363">
        <f t="shared" si="81"/>
        <v>0</v>
      </c>
      <c r="AV23" s="363">
        <f t="shared" si="81"/>
        <v>0</v>
      </c>
      <c r="AW23" s="363">
        <f t="shared" si="81"/>
        <v>0</v>
      </c>
      <c r="AX23" s="216"/>
      <c r="AY23" s="246"/>
      <c r="AZ23" s="246"/>
      <c r="BA23" s="246"/>
      <c r="BB23" s="246"/>
      <c r="BC23" s="246"/>
      <c r="BD23" s="219"/>
      <c r="BE23" s="210">
        <v>0.2</v>
      </c>
      <c r="BF23" s="210"/>
      <c r="BG23" s="292">
        <f>BE23*($BE$4*'BOQ COST'!$F$4)</f>
        <v>1.237908</v>
      </c>
      <c r="BH23" s="292">
        <f>BI23+BP23</f>
        <v>1.237908</v>
      </c>
      <c r="BI23" s="293">
        <f>BG23</f>
        <v>1.237908</v>
      </c>
      <c r="BJ23" s="212"/>
      <c r="BK23" s="212"/>
      <c r="BL23" s="293">
        <f t="shared" ref="BL23:BN23" si="83">SUM(BL29:BL31)</f>
        <v>0</v>
      </c>
      <c r="BM23" s="293">
        <f t="shared" si="83"/>
        <v>0</v>
      </c>
      <c r="BN23" s="293">
        <f t="shared" si="83"/>
        <v>0</v>
      </c>
      <c r="BO23" s="213"/>
      <c r="BP23" s="214"/>
      <c r="BQ23" s="214"/>
      <c r="BR23" s="245"/>
      <c r="BS23" s="245"/>
      <c r="BT23" s="245"/>
      <c r="BU23" s="169"/>
      <c r="BV23" s="350"/>
      <c r="BW23" s="350"/>
      <c r="BX23" s="350"/>
      <c r="BY23" s="350">
        <f t="shared" ref="BY23:CF23" si="84">SUM(BY29:BY31)</f>
        <v>0</v>
      </c>
      <c r="BZ23" s="293">
        <f t="shared" si="84"/>
        <v>0</v>
      </c>
      <c r="CA23" s="293">
        <f t="shared" si="84"/>
        <v>0</v>
      </c>
      <c r="CB23" s="293">
        <f t="shared" si="84"/>
        <v>0</v>
      </c>
      <c r="CC23" s="293">
        <f t="shared" si="84"/>
        <v>0</v>
      </c>
      <c r="CD23" s="293">
        <f t="shared" si="84"/>
        <v>0</v>
      </c>
      <c r="CE23" s="293">
        <f t="shared" si="84"/>
        <v>0</v>
      </c>
      <c r="CF23" s="293">
        <f t="shared" si="84"/>
        <v>0</v>
      </c>
      <c r="CG23" s="216"/>
      <c r="CH23" s="246"/>
      <c r="CI23" s="246"/>
      <c r="CJ23" s="246"/>
      <c r="CK23" s="246"/>
      <c r="CL23" s="246"/>
      <c r="CM23" s="219"/>
      <c r="CN23" s="210">
        <v>0.1</v>
      </c>
      <c r="CO23" s="210"/>
      <c r="CP23" s="292">
        <f>CN23*($CN$4*'BOQ COST'!$G$4)</f>
        <v>0.16358216395785682</v>
      </c>
      <c r="CQ23" s="292">
        <f>CR23+CY23</f>
        <v>0.16358216395785682</v>
      </c>
      <c r="CR23" s="293">
        <f>CP23</f>
        <v>0.16358216395785682</v>
      </c>
      <c r="CS23" s="212"/>
      <c r="CT23" s="212"/>
      <c r="CU23" s="293">
        <f t="shared" ref="CU23:CW23" si="85">SUM(CU29:CU31)</f>
        <v>0</v>
      </c>
      <c r="CV23" s="293">
        <f t="shared" si="85"/>
        <v>0</v>
      </c>
      <c r="CW23" s="293">
        <f t="shared" si="85"/>
        <v>0</v>
      </c>
      <c r="CX23" s="213"/>
      <c r="CY23" s="293">
        <f>CV23</f>
        <v>0</v>
      </c>
      <c r="CZ23" s="293">
        <f>CY23</f>
        <v>0</v>
      </c>
      <c r="DA23" s="293">
        <f t="shared" ref="DA23:DC23" si="86">SUM(DA29:DA31)</f>
        <v>0</v>
      </c>
      <c r="DB23" s="293">
        <f t="shared" si="86"/>
        <v>0</v>
      </c>
      <c r="DC23" s="293">
        <f t="shared" si="86"/>
        <v>0</v>
      </c>
      <c r="DD23" s="183"/>
      <c r="DE23" s="215"/>
      <c r="DF23" s="215"/>
      <c r="DG23" s="215"/>
      <c r="DH23" s="293">
        <f t="shared" ref="DH23:DO23" si="87">SUM(DH29:DH31)</f>
        <v>0</v>
      </c>
      <c r="DI23" s="293">
        <f t="shared" si="87"/>
        <v>0</v>
      </c>
      <c r="DJ23" s="293">
        <f t="shared" si="87"/>
        <v>0</v>
      </c>
      <c r="DK23" s="293">
        <f t="shared" si="87"/>
        <v>0</v>
      </c>
      <c r="DL23" s="293">
        <f t="shared" si="87"/>
        <v>0</v>
      </c>
      <c r="DM23" s="293">
        <f t="shared" si="87"/>
        <v>0</v>
      </c>
      <c r="DN23" s="293">
        <f t="shared" si="87"/>
        <v>0</v>
      </c>
      <c r="DO23" s="293">
        <f t="shared" si="87"/>
        <v>0</v>
      </c>
      <c r="DP23" s="216"/>
      <c r="DQ23" s="246"/>
      <c r="DR23" s="246"/>
      <c r="DS23" s="246"/>
      <c r="DT23" s="246"/>
      <c r="DU23" s="246"/>
      <c r="DV23" s="246"/>
      <c r="DW23" s="219"/>
      <c r="DX23" s="210">
        <v>0.05</v>
      </c>
      <c r="DY23" s="210"/>
      <c r="DZ23" s="292">
        <f>DX23*($DX$4*'BOQ COST'!$H$4)</f>
        <v>1.4327495000000003E-2</v>
      </c>
      <c r="EA23" s="292">
        <f>EB23+EI23</f>
        <v>1.4327495000000003E-2</v>
      </c>
      <c r="EB23" s="293">
        <f>DZ23</f>
        <v>1.4327495000000003E-2</v>
      </c>
      <c r="EC23" s="212"/>
      <c r="ED23" s="212"/>
      <c r="EE23" s="293">
        <f t="shared" ref="EE23:EG23" si="88">SUM(EE29:EE31)</f>
        <v>0</v>
      </c>
      <c r="EF23" s="293">
        <f t="shared" si="88"/>
        <v>0</v>
      </c>
      <c r="EG23" s="293">
        <f t="shared" si="88"/>
        <v>0</v>
      </c>
      <c r="EH23" s="213"/>
      <c r="EI23" s="293">
        <f>EF23</f>
        <v>0</v>
      </c>
      <c r="EJ23" s="293">
        <f>EI23</f>
        <v>0</v>
      </c>
      <c r="EK23" s="293">
        <f t="shared" ref="EK23:EM23" si="89">SUM(EK29:EK31)</f>
        <v>0</v>
      </c>
      <c r="EL23" s="293">
        <f t="shared" si="89"/>
        <v>0</v>
      </c>
      <c r="EM23" s="293">
        <f t="shared" si="89"/>
        <v>0</v>
      </c>
      <c r="EN23" s="183"/>
      <c r="EO23" s="215"/>
      <c r="EP23" s="215"/>
      <c r="EQ23" s="215"/>
      <c r="ER23" s="293">
        <f t="shared" ref="ER23:EY23" si="90">SUM(ER29:ER31)</f>
        <v>0</v>
      </c>
      <c r="ES23" s="293">
        <f t="shared" si="90"/>
        <v>0</v>
      </c>
      <c r="ET23" s="293">
        <f t="shared" si="90"/>
        <v>0</v>
      </c>
      <c r="EU23" s="293">
        <f t="shared" si="90"/>
        <v>0</v>
      </c>
      <c r="EV23" s="293">
        <f t="shared" si="90"/>
        <v>0</v>
      </c>
      <c r="EW23" s="293">
        <f t="shared" si="90"/>
        <v>0</v>
      </c>
      <c r="EX23" s="293">
        <f t="shared" si="90"/>
        <v>0</v>
      </c>
      <c r="EY23" s="293">
        <f t="shared" si="90"/>
        <v>0</v>
      </c>
      <c r="EZ23" s="216"/>
      <c r="FA23" s="246"/>
      <c r="FB23" s="246"/>
      <c r="FC23" s="246"/>
      <c r="FD23" s="246"/>
      <c r="FE23" s="246"/>
      <c r="FF23" s="246"/>
    </row>
    <row r="24" spans="2:162" ht="12.6" hidden="1" customHeight="1" outlineLevel="2">
      <c r="B24" s="459">
        <v>1</v>
      </c>
      <c r="C24" s="238" t="s">
        <v>25</v>
      </c>
      <c r="D24" s="238"/>
      <c r="E24" s="238"/>
      <c r="F24" s="238"/>
      <c r="G24" s="238"/>
      <c r="H24" s="224"/>
      <c r="I24" s="224"/>
      <c r="J24" s="224"/>
      <c r="K24" s="224"/>
      <c r="L24" s="224"/>
      <c r="M24" s="224"/>
      <c r="N24" s="225"/>
      <c r="O24" s="224"/>
      <c r="P24" s="224"/>
      <c r="Q24" s="224"/>
      <c r="R24" s="224"/>
      <c r="S24" s="224"/>
      <c r="T24" s="169"/>
      <c r="U24" s="183"/>
      <c r="V24" s="232"/>
      <c r="W24" s="222"/>
      <c r="X24" s="223"/>
      <c r="Y24" s="223"/>
      <c r="Z24" s="224"/>
      <c r="AA24" s="224"/>
      <c r="AB24" s="224"/>
      <c r="AC24" s="224"/>
      <c r="AD24" s="224"/>
      <c r="AE24" s="224"/>
      <c r="AF24" s="225"/>
      <c r="AG24" s="224"/>
      <c r="AH24" s="224"/>
      <c r="AI24" s="224"/>
      <c r="AJ24" s="224"/>
      <c r="AK24" s="224"/>
      <c r="AL24" s="169"/>
      <c r="AQ24" s="198"/>
      <c r="AR24" s="198"/>
      <c r="AS24" s="198"/>
      <c r="AT24" s="198"/>
      <c r="AU24" s="198"/>
      <c r="AV24" s="198"/>
      <c r="AW24" s="198"/>
      <c r="AX24" s="198"/>
      <c r="AY24" s="207"/>
      <c r="AZ24" s="207"/>
      <c r="BA24" s="207"/>
      <c r="BB24" s="207"/>
      <c r="BC24" s="207"/>
      <c r="BD24" s="198"/>
      <c r="BE24" s="232"/>
      <c r="BF24" s="222"/>
      <c r="BG24" s="223"/>
      <c r="BH24" s="223"/>
      <c r="BI24" s="224"/>
      <c r="BJ24" s="224"/>
      <c r="BK24" s="224"/>
      <c r="BL24" s="224"/>
      <c r="BM24" s="224"/>
      <c r="BN24" s="224"/>
      <c r="BO24" s="225"/>
      <c r="BP24" s="226"/>
      <c r="BQ24" s="226"/>
      <c r="BR24" s="226"/>
      <c r="BS24" s="226"/>
      <c r="BT24" s="226"/>
      <c r="BU24" s="169"/>
      <c r="BZ24" s="198"/>
      <c r="CA24" s="198"/>
      <c r="CB24" s="198"/>
      <c r="CC24" s="198"/>
      <c r="CD24" s="198"/>
      <c r="CE24" s="198"/>
      <c r="CF24" s="198"/>
      <c r="CG24" s="198"/>
      <c r="CH24" s="207"/>
      <c r="CI24" s="207"/>
      <c r="CJ24" s="207"/>
      <c r="CK24" s="207"/>
      <c r="CL24" s="207"/>
      <c r="CM24" s="198"/>
      <c r="CN24" s="232"/>
      <c r="CO24" s="222"/>
      <c r="CP24" s="223"/>
      <c r="CQ24" s="223"/>
      <c r="CR24" s="224"/>
      <c r="CS24" s="224"/>
      <c r="CT24" s="224"/>
      <c r="CU24" s="224"/>
      <c r="CV24" s="224"/>
      <c r="CW24" s="224"/>
      <c r="CX24" s="225"/>
      <c r="CY24" s="224"/>
      <c r="CZ24" s="224"/>
      <c r="DA24" s="224"/>
      <c r="DB24" s="224"/>
      <c r="DC24" s="224"/>
      <c r="DD24" s="183"/>
      <c r="DE24" s="227"/>
      <c r="DF24" s="227"/>
      <c r="DG24" s="227"/>
      <c r="DI24" s="198"/>
      <c r="DJ24" s="198"/>
      <c r="DK24" s="198"/>
      <c r="DL24" s="198"/>
      <c r="DM24" s="198"/>
      <c r="DN24" s="198"/>
      <c r="DO24" s="198"/>
      <c r="DP24" s="198"/>
      <c r="DQ24" s="207"/>
      <c r="DR24" s="207"/>
      <c r="DS24" s="207"/>
      <c r="DT24" s="207"/>
      <c r="DU24" s="207"/>
      <c r="DV24" s="207"/>
      <c r="DW24" s="198"/>
      <c r="DX24" s="232"/>
      <c r="DY24" s="222"/>
      <c r="DZ24" s="223"/>
      <c r="EA24" s="223"/>
      <c r="EB24" s="224"/>
      <c r="EC24" s="224"/>
      <c r="ED24" s="224"/>
      <c r="EE24" s="224"/>
      <c r="EF24" s="224"/>
      <c r="EG24" s="224"/>
      <c r="EH24" s="225"/>
      <c r="EI24" s="224"/>
      <c r="EJ24" s="224"/>
      <c r="EK24" s="224"/>
      <c r="EL24" s="224"/>
      <c r="EM24" s="224"/>
      <c r="EN24" s="183"/>
      <c r="EO24" s="227"/>
      <c r="EP24" s="227"/>
      <c r="EQ24" s="227"/>
      <c r="ES24" s="198"/>
      <c r="ET24" s="198"/>
      <c r="EU24" s="198"/>
      <c r="EV24" s="198"/>
      <c r="EW24" s="198"/>
      <c r="EX24" s="198"/>
      <c r="EY24" s="198"/>
      <c r="EZ24" s="198"/>
      <c r="FA24" s="207"/>
      <c r="FB24" s="207"/>
      <c r="FC24" s="207"/>
      <c r="FD24" s="207"/>
      <c r="FE24" s="207"/>
      <c r="FF24" s="207"/>
    </row>
    <row r="25" spans="2:162" ht="12.6" hidden="1" customHeight="1" outlineLevel="2">
      <c r="B25" s="459">
        <v>2</v>
      </c>
      <c r="C25" s="238" t="s">
        <v>30</v>
      </c>
      <c r="D25" s="238"/>
      <c r="E25" s="238"/>
      <c r="F25" s="238"/>
      <c r="G25" s="238"/>
      <c r="H25" s="224"/>
      <c r="I25" s="224"/>
      <c r="J25" s="224"/>
      <c r="K25" s="224"/>
      <c r="L25" s="224"/>
      <c r="M25" s="224"/>
      <c r="N25" s="225"/>
      <c r="O25" s="224"/>
      <c r="P25" s="224"/>
      <c r="Q25" s="224"/>
      <c r="R25" s="224"/>
      <c r="S25" s="224"/>
      <c r="T25" s="169"/>
      <c r="U25" s="183"/>
      <c r="V25" s="232"/>
      <c r="W25" s="222"/>
      <c r="X25" s="223"/>
      <c r="Y25" s="223"/>
      <c r="Z25" s="224"/>
      <c r="AA25" s="224"/>
      <c r="AB25" s="224"/>
      <c r="AC25" s="224"/>
      <c r="AD25" s="224"/>
      <c r="AE25" s="224"/>
      <c r="AF25" s="225"/>
      <c r="AG25" s="224"/>
      <c r="AH25" s="224"/>
      <c r="AI25" s="224"/>
      <c r="AJ25" s="224"/>
      <c r="AK25" s="224"/>
      <c r="AL25" s="169"/>
      <c r="AQ25" s="198"/>
      <c r="AR25" s="198"/>
      <c r="AS25" s="198"/>
      <c r="AT25" s="198"/>
      <c r="AU25" s="198"/>
      <c r="AV25" s="198"/>
      <c r="AW25" s="198"/>
      <c r="AX25" s="198"/>
      <c r="AY25" s="207"/>
      <c r="AZ25" s="207"/>
      <c r="BA25" s="207"/>
      <c r="BB25" s="207"/>
      <c r="BC25" s="207"/>
      <c r="BD25" s="198"/>
      <c r="BE25" s="232"/>
      <c r="BF25" s="222"/>
      <c r="BG25" s="223"/>
      <c r="BH25" s="223"/>
      <c r="BI25" s="224"/>
      <c r="BJ25" s="224"/>
      <c r="BK25" s="224"/>
      <c r="BL25" s="224"/>
      <c r="BM25" s="224"/>
      <c r="BN25" s="224"/>
      <c r="BO25" s="225"/>
      <c r="BP25" s="226"/>
      <c r="BQ25" s="226"/>
      <c r="BR25" s="226"/>
      <c r="BS25" s="226"/>
      <c r="BT25" s="226"/>
      <c r="BU25" s="169"/>
      <c r="BZ25" s="198"/>
      <c r="CA25" s="198"/>
      <c r="CB25" s="198"/>
      <c r="CC25" s="198"/>
      <c r="CD25" s="198"/>
      <c r="CE25" s="198"/>
      <c r="CF25" s="198"/>
      <c r="CG25" s="198"/>
      <c r="CH25" s="207"/>
      <c r="CI25" s="207"/>
      <c r="CJ25" s="207"/>
      <c r="CK25" s="207"/>
      <c r="CL25" s="207"/>
      <c r="CM25" s="198"/>
      <c r="CN25" s="232"/>
      <c r="CO25" s="222"/>
      <c r="CP25" s="223"/>
      <c r="CQ25" s="223"/>
      <c r="CR25" s="224"/>
      <c r="CS25" s="224"/>
      <c r="CT25" s="224"/>
      <c r="CU25" s="224"/>
      <c r="CV25" s="224"/>
      <c r="CW25" s="224"/>
      <c r="CX25" s="225"/>
      <c r="CY25" s="224"/>
      <c r="CZ25" s="224"/>
      <c r="DA25" s="224"/>
      <c r="DB25" s="224"/>
      <c r="DC25" s="224"/>
      <c r="DD25" s="183"/>
      <c r="DE25" s="227"/>
      <c r="DF25" s="227"/>
      <c r="DG25" s="227"/>
      <c r="DI25" s="198"/>
      <c r="DJ25" s="198"/>
      <c r="DK25" s="198"/>
      <c r="DL25" s="198"/>
      <c r="DM25" s="198"/>
      <c r="DN25" s="198"/>
      <c r="DO25" s="198"/>
      <c r="DP25" s="198"/>
      <c r="DQ25" s="207"/>
      <c r="DR25" s="207"/>
      <c r="DS25" s="207"/>
      <c r="DT25" s="207"/>
      <c r="DU25" s="207"/>
      <c r="DV25" s="207"/>
      <c r="DW25" s="198"/>
      <c r="DX25" s="232"/>
      <c r="DY25" s="222"/>
      <c r="DZ25" s="223"/>
      <c r="EA25" s="223"/>
      <c r="EB25" s="224"/>
      <c r="EC25" s="224"/>
      <c r="ED25" s="224"/>
      <c r="EE25" s="224"/>
      <c r="EF25" s="224"/>
      <c r="EG25" s="224"/>
      <c r="EH25" s="225"/>
      <c r="EI25" s="224"/>
      <c r="EJ25" s="224"/>
      <c r="EK25" s="224"/>
      <c r="EL25" s="224"/>
      <c r="EM25" s="224"/>
      <c r="EN25" s="183"/>
      <c r="EO25" s="227"/>
      <c r="EP25" s="227"/>
      <c r="EQ25" s="227"/>
      <c r="ES25" s="198"/>
      <c r="ET25" s="198"/>
      <c r="EU25" s="198"/>
      <c r="EV25" s="198"/>
      <c r="EW25" s="198"/>
      <c r="EX25" s="198"/>
      <c r="EY25" s="198"/>
      <c r="EZ25" s="198"/>
      <c r="FA25" s="207"/>
      <c r="FB25" s="207"/>
      <c r="FC25" s="207"/>
      <c r="FD25" s="207"/>
      <c r="FE25" s="207"/>
      <c r="FF25" s="207"/>
    </row>
    <row r="26" spans="2:162" ht="12.6" hidden="1" customHeight="1" outlineLevel="2">
      <c r="B26" s="459">
        <v>3</v>
      </c>
      <c r="C26" s="238" t="s">
        <v>31</v>
      </c>
      <c r="D26" s="238"/>
      <c r="E26" s="238"/>
      <c r="F26" s="238"/>
      <c r="G26" s="238"/>
      <c r="H26" s="224"/>
      <c r="I26" s="224"/>
      <c r="J26" s="224"/>
      <c r="K26" s="224"/>
      <c r="L26" s="224"/>
      <c r="M26" s="224"/>
      <c r="N26" s="225"/>
      <c r="O26" s="224"/>
      <c r="P26" s="224"/>
      <c r="Q26" s="224"/>
      <c r="R26" s="224"/>
      <c r="S26" s="224"/>
      <c r="T26" s="169"/>
      <c r="U26" s="183"/>
      <c r="V26" s="232"/>
      <c r="W26" s="222"/>
      <c r="X26" s="223"/>
      <c r="Y26" s="223"/>
      <c r="Z26" s="224"/>
      <c r="AA26" s="224"/>
      <c r="AB26" s="224"/>
      <c r="AC26" s="224"/>
      <c r="AD26" s="224"/>
      <c r="AE26" s="224"/>
      <c r="AF26" s="225"/>
      <c r="AG26" s="224"/>
      <c r="AH26" s="224"/>
      <c r="AI26" s="224"/>
      <c r="AJ26" s="224"/>
      <c r="AK26" s="224"/>
      <c r="AL26" s="169"/>
      <c r="AQ26" s="198"/>
      <c r="AR26" s="198"/>
      <c r="AS26" s="198"/>
      <c r="AT26" s="198"/>
      <c r="AU26" s="198"/>
      <c r="AV26" s="198"/>
      <c r="AW26" s="198"/>
      <c r="AX26" s="198"/>
      <c r="AY26" s="207"/>
      <c r="AZ26" s="207"/>
      <c r="BA26" s="207"/>
      <c r="BB26" s="207"/>
      <c r="BC26" s="207"/>
      <c r="BD26" s="198"/>
      <c r="BE26" s="232"/>
      <c r="BF26" s="222"/>
      <c r="BG26" s="223"/>
      <c r="BH26" s="223"/>
      <c r="BI26" s="224"/>
      <c r="BJ26" s="224"/>
      <c r="BK26" s="224"/>
      <c r="BL26" s="224"/>
      <c r="BM26" s="224"/>
      <c r="BN26" s="224"/>
      <c r="BO26" s="225"/>
      <c r="BP26" s="226"/>
      <c r="BQ26" s="226"/>
      <c r="BR26" s="226"/>
      <c r="BS26" s="226"/>
      <c r="BT26" s="226"/>
      <c r="BU26" s="169"/>
      <c r="BZ26" s="198"/>
      <c r="CA26" s="198"/>
      <c r="CB26" s="198"/>
      <c r="CC26" s="198"/>
      <c r="CD26" s="198"/>
      <c r="CE26" s="198"/>
      <c r="CF26" s="198"/>
      <c r="CG26" s="198"/>
      <c r="CH26" s="207"/>
      <c r="CI26" s="207"/>
      <c r="CJ26" s="207"/>
      <c r="CK26" s="207"/>
      <c r="CL26" s="207"/>
      <c r="CM26" s="198"/>
      <c r="CN26" s="232"/>
      <c r="CO26" s="222"/>
      <c r="CP26" s="223"/>
      <c r="CQ26" s="223"/>
      <c r="CR26" s="224"/>
      <c r="CS26" s="224"/>
      <c r="CT26" s="224"/>
      <c r="CU26" s="224"/>
      <c r="CV26" s="224"/>
      <c r="CW26" s="224"/>
      <c r="CX26" s="225"/>
      <c r="CY26" s="224"/>
      <c r="CZ26" s="224"/>
      <c r="DA26" s="224"/>
      <c r="DB26" s="224"/>
      <c r="DC26" s="224"/>
      <c r="DD26" s="183"/>
      <c r="DE26" s="227"/>
      <c r="DF26" s="227"/>
      <c r="DG26" s="227"/>
      <c r="DI26" s="198"/>
      <c r="DJ26" s="198"/>
      <c r="DK26" s="198"/>
      <c r="DL26" s="198"/>
      <c r="DM26" s="198"/>
      <c r="DN26" s="198"/>
      <c r="DO26" s="198"/>
      <c r="DP26" s="198"/>
      <c r="DQ26" s="207"/>
      <c r="DR26" s="207"/>
      <c r="DS26" s="207"/>
      <c r="DT26" s="207"/>
      <c r="DU26" s="207"/>
      <c r="DV26" s="207"/>
      <c r="DW26" s="198"/>
      <c r="DX26" s="232"/>
      <c r="DY26" s="222"/>
      <c r="DZ26" s="223"/>
      <c r="EA26" s="223"/>
      <c r="EB26" s="224"/>
      <c r="EC26" s="224"/>
      <c r="ED26" s="224"/>
      <c r="EE26" s="224"/>
      <c r="EF26" s="224"/>
      <c r="EG26" s="224"/>
      <c r="EH26" s="225"/>
      <c r="EI26" s="224"/>
      <c r="EJ26" s="224"/>
      <c r="EK26" s="224"/>
      <c r="EL26" s="224"/>
      <c r="EM26" s="224"/>
      <c r="EN26" s="183"/>
      <c r="EO26" s="227"/>
      <c r="EP26" s="227"/>
      <c r="EQ26" s="227"/>
      <c r="ES26" s="198"/>
      <c r="ET26" s="198"/>
      <c r="EU26" s="198"/>
      <c r="EV26" s="198"/>
      <c r="EW26" s="198"/>
      <c r="EX26" s="198"/>
      <c r="EY26" s="198"/>
      <c r="EZ26" s="198"/>
      <c r="FA26" s="207"/>
      <c r="FB26" s="207"/>
      <c r="FC26" s="207"/>
      <c r="FD26" s="207"/>
      <c r="FE26" s="207"/>
      <c r="FF26" s="207"/>
    </row>
    <row r="27" spans="2:162" ht="12.6" hidden="1" customHeight="1" outlineLevel="2">
      <c r="B27" s="459">
        <v>4</v>
      </c>
      <c r="C27" s="238" t="s">
        <v>27</v>
      </c>
      <c r="D27" s="238"/>
      <c r="E27" s="238"/>
      <c r="F27" s="238"/>
      <c r="G27" s="238"/>
      <c r="H27" s="224"/>
      <c r="I27" s="224"/>
      <c r="J27" s="224"/>
      <c r="K27" s="224"/>
      <c r="L27" s="224"/>
      <c r="M27" s="224"/>
      <c r="N27" s="225"/>
      <c r="O27" s="224"/>
      <c r="P27" s="224"/>
      <c r="Q27" s="224"/>
      <c r="R27" s="224"/>
      <c r="S27" s="224"/>
      <c r="T27" s="169"/>
      <c r="U27" s="183"/>
      <c r="V27" s="232"/>
      <c r="W27" s="222"/>
      <c r="X27" s="223"/>
      <c r="Y27" s="223"/>
      <c r="Z27" s="224"/>
      <c r="AA27" s="224"/>
      <c r="AB27" s="224"/>
      <c r="AC27" s="224"/>
      <c r="AD27" s="224"/>
      <c r="AE27" s="224"/>
      <c r="AF27" s="225"/>
      <c r="AG27" s="224"/>
      <c r="AH27" s="224"/>
      <c r="AI27" s="224"/>
      <c r="AJ27" s="224"/>
      <c r="AK27" s="224"/>
      <c r="AL27" s="169"/>
      <c r="AQ27" s="198"/>
      <c r="AR27" s="198"/>
      <c r="AS27" s="198"/>
      <c r="AT27" s="198"/>
      <c r="AU27" s="198"/>
      <c r="AV27" s="198"/>
      <c r="AW27" s="198"/>
      <c r="AX27" s="198"/>
      <c r="AY27" s="207"/>
      <c r="AZ27" s="207"/>
      <c r="BA27" s="207"/>
      <c r="BB27" s="207"/>
      <c r="BC27" s="207"/>
      <c r="BD27" s="198"/>
      <c r="BE27" s="232"/>
      <c r="BF27" s="222"/>
      <c r="BG27" s="223"/>
      <c r="BH27" s="223"/>
      <c r="BI27" s="224"/>
      <c r="BJ27" s="224"/>
      <c r="BK27" s="224"/>
      <c r="BL27" s="224"/>
      <c r="BM27" s="224"/>
      <c r="BN27" s="224"/>
      <c r="BO27" s="225"/>
      <c r="BP27" s="226"/>
      <c r="BQ27" s="226"/>
      <c r="BR27" s="226"/>
      <c r="BS27" s="226"/>
      <c r="BT27" s="226"/>
      <c r="BU27" s="169"/>
      <c r="BZ27" s="198"/>
      <c r="CA27" s="198"/>
      <c r="CB27" s="198"/>
      <c r="CC27" s="198"/>
      <c r="CD27" s="198"/>
      <c r="CE27" s="198"/>
      <c r="CF27" s="198"/>
      <c r="CG27" s="198"/>
      <c r="CH27" s="207"/>
      <c r="CI27" s="207"/>
      <c r="CJ27" s="207"/>
      <c r="CK27" s="207"/>
      <c r="CL27" s="207"/>
      <c r="CM27" s="198"/>
      <c r="CN27" s="232"/>
      <c r="CO27" s="222"/>
      <c r="CP27" s="223"/>
      <c r="CQ27" s="223"/>
      <c r="CR27" s="224"/>
      <c r="CS27" s="224"/>
      <c r="CT27" s="224"/>
      <c r="CU27" s="224"/>
      <c r="CV27" s="224"/>
      <c r="CW27" s="224"/>
      <c r="CX27" s="225"/>
      <c r="CY27" s="224"/>
      <c r="CZ27" s="224"/>
      <c r="DA27" s="224"/>
      <c r="DB27" s="224"/>
      <c r="DC27" s="224"/>
      <c r="DD27" s="183"/>
      <c r="DE27" s="227"/>
      <c r="DF27" s="227"/>
      <c r="DG27" s="227"/>
      <c r="DI27" s="198"/>
      <c r="DJ27" s="198"/>
      <c r="DK27" s="198"/>
      <c r="DL27" s="198"/>
      <c r="DM27" s="198"/>
      <c r="DN27" s="198"/>
      <c r="DO27" s="198"/>
      <c r="DP27" s="198"/>
      <c r="DQ27" s="207"/>
      <c r="DR27" s="207"/>
      <c r="DS27" s="207"/>
      <c r="DT27" s="207"/>
      <c r="DU27" s="207"/>
      <c r="DV27" s="207"/>
      <c r="DW27" s="198"/>
      <c r="DX27" s="232"/>
      <c r="DY27" s="222"/>
      <c r="DZ27" s="223"/>
      <c r="EA27" s="223"/>
      <c r="EB27" s="224"/>
      <c r="EC27" s="224"/>
      <c r="ED27" s="224"/>
      <c r="EE27" s="224"/>
      <c r="EF27" s="224"/>
      <c r="EG27" s="224"/>
      <c r="EH27" s="225"/>
      <c r="EI27" s="224"/>
      <c r="EJ27" s="224"/>
      <c r="EK27" s="224"/>
      <c r="EL27" s="224"/>
      <c r="EM27" s="224"/>
      <c r="EN27" s="183"/>
      <c r="EO27" s="227"/>
      <c r="EP27" s="227"/>
      <c r="EQ27" s="227"/>
      <c r="ES27" s="198"/>
      <c r="ET27" s="198"/>
      <c r="EU27" s="198"/>
      <c r="EV27" s="198"/>
      <c r="EW27" s="198"/>
      <c r="EX27" s="198"/>
      <c r="EY27" s="198"/>
      <c r="EZ27" s="198"/>
      <c r="FA27" s="207"/>
      <c r="FB27" s="207"/>
      <c r="FC27" s="207"/>
      <c r="FD27" s="207"/>
      <c r="FE27" s="207"/>
      <c r="FF27" s="207"/>
    </row>
    <row r="28" spans="2:162" ht="12.6" hidden="1" customHeight="1" outlineLevel="2">
      <c r="B28" s="459">
        <v>5</v>
      </c>
      <c r="C28" s="238" t="s">
        <v>28</v>
      </c>
      <c r="D28" s="238"/>
      <c r="E28" s="238"/>
      <c r="F28" s="238"/>
      <c r="G28" s="238"/>
      <c r="H28" s="224"/>
      <c r="I28" s="224"/>
      <c r="J28" s="224"/>
      <c r="K28" s="224"/>
      <c r="L28" s="224"/>
      <c r="M28" s="224"/>
      <c r="N28" s="225"/>
      <c r="O28" s="224"/>
      <c r="P28" s="224"/>
      <c r="Q28" s="224"/>
      <c r="R28" s="224"/>
      <c r="S28" s="224"/>
      <c r="T28" s="169"/>
      <c r="U28" s="183"/>
      <c r="V28" s="239"/>
      <c r="W28" s="240"/>
      <c r="X28" s="223"/>
      <c r="Y28" s="223"/>
      <c r="Z28" s="224"/>
      <c r="AA28" s="224"/>
      <c r="AB28" s="224"/>
      <c r="AC28" s="224"/>
      <c r="AD28" s="224"/>
      <c r="AE28" s="224"/>
      <c r="AF28" s="225"/>
      <c r="AG28" s="224"/>
      <c r="AH28" s="224"/>
      <c r="AI28" s="224"/>
      <c r="AJ28" s="224"/>
      <c r="AK28" s="224"/>
      <c r="AL28" s="169"/>
      <c r="AP28" s="237"/>
      <c r="AQ28" s="198"/>
      <c r="AR28" s="198"/>
      <c r="AS28" s="198"/>
      <c r="AT28" s="198"/>
      <c r="AU28" s="198"/>
      <c r="AV28" s="198"/>
      <c r="AW28" s="198"/>
      <c r="AX28" s="198"/>
      <c r="AY28" s="207"/>
      <c r="AZ28" s="207"/>
      <c r="BA28" s="207"/>
      <c r="BB28" s="207"/>
      <c r="BC28" s="207"/>
      <c r="BD28" s="198"/>
      <c r="BE28" s="239"/>
      <c r="BF28" s="240"/>
      <c r="BG28" s="223"/>
      <c r="BH28" s="223"/>
      <c r="BI28" s="224"/>
      <c r="BJ28" s="224"/>
      <c r="BK28" s="224"/>
      <c r="BL28" s="224"/>
      <c r="BM28" s="224"/>
      <c r="BN28" s="224"/>
      <c r="BO28" s="225"/>
      <c r="BP28" s="226"/>
      <c r="BQ28" s="226"/>
      <c r="BR28" s="226"/>
      <c r="BS28" s="226"/>
      <c r="BT28" s="226"/>
      <c r="BU28" s="169"/>
      <c r="BY28" s="358"/>
      <c r="BZ28" s="198"/>
      <c r="CA28" s="198"/>
      <c r="CB28" s="198"/>
      <c r="CC28" s="198"/>
      <c r="CD28" s="198"/>
      <c r="CE28" s="198"/>
      <c r="CF28" s="198"/>
      <c r="CG28" s="198"/>
      <c r="CH28" s="207"/>
      <c r="CI28" s="207"/>
      <c r="CJ28" s="207"/>
      <c r="CK28" s="207"/>
      <c r="CL28" s="207"/>
      <c r="CM28" s="198"/>
      <c r="CN28" s="239"/>
      <c r="CO28" s="240"/>
      <c r="CP28" s="223"/>
      <c r="CQ28" s="223"/>
      <c r="CR28" s="224"/>
      <c r="CS28" s="224"/>
      <c r="CT28" s="224"/>
      <c r="CU28" s="224"/>
      <c r="CV28" s="224"/>
      <c r="CW28" s="224"/>
      <c r="CX28" s="225"/>
      <c r="CY28" s="224"/>
      <c r="CZ28" s="224"/>
      <c r="DA28" s="224"/>
      <c r="DB28" s="224"/>
      <c r="DC28" s="224"/>
      <c r="DD28" s="183"/>
      <c r="DE28" s="227"/>
      <c r="DF28" s="227"/>
      <c r="DG28" s="227"/>
      <c r="DH28" s="237"/>
      <c r="DI28" s="198"/>
      <c r="DJ28" s="198"/>
      <c r="DK28" s="198"/>
      <c r="DL28" s="198"/>
      <c r="DM28" s="198"/>
      <c r="DN28" s="198"/>
      <c r="DO28" s="198"/>
      <c r="DP28" s="198"/>
      <c r="DQ28" s="207"/>
      <c r="DR28" s="207"/>
      <c r="DS28" s="207"/>
      <c r="DT28" s="207"/>
      <c r="DU28" s="207"/>
      <c r="DV28" s="207"/>
      <c r="DW28" s="198"/>
      <c r="DX28" s="239"/>
      <c r="DY28" s="240"/>
      <c r="DZ28" s="223"/>
      <c r="EA28" s="223"/>
      <c r="EB28" s="224"/>
      <c r="EC28" s="224"/>
      <c r="ED28" s="224"/>
      <c r="EE28" s="224"/>
      <c r="EF28" s="224"/>
      <c r="EG28" s="224"/>
      <c r="EH28" s="225"/>
      <c r="EI28" s="224"/>
      <c r="EJ28" s="224"/>
      <c r="EK28" s="224"/>
      <c r="EL28" s="224"/>
      <c r="EM28" s="224"/>
      <c r="EN28" s="183"/>
      <c r="EO28" s="227"/>
      <c r="EP28" s="227"/>
      <c r="EQ28" s="227"/>
      <c r="ER28" s="237"/>
      <c r="ES28" s="198"/>
      <c r="ET28" s="198"/>
      <c r="EU28" s="198"/>
      <c r="EV28" s="198"/>
      <c r="EW28" s="198"/>
      <c r="EX28" s="198"/>
      <c r="EY28" s="198"/>
      <c r="EZ28" s="198"/>
      <c r="FA28" s="207"/>
      <c r="FB28" s="207"/>
      <c r="FC28" s="207"/>
      <c r="FD28" s="207"/>
      <c r="FE28" s="207"/>
      <c r="FF28" s="207"/>
    </row>
    <row r="29" spans="2:162" ht="3" customHeight="1" outlineLevel="1">
      <c r="B29" s="241"/>
      <c r="H29" s="225"/>
      <c r="I29" s="225"/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169"/>
      <c r="U29" s="183"/>
      <c r="V29" s="232"/>
      <c r="W29" s="222"/>
      <c r="X29" s="223"/>
      <c r="Y29" s="223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169"/>
      <c r="AM29" s="281"/>
      <c r="AN29" s="281"/>
      <c r="AO29" s="281"/>
      <c r="AP29" s="228"/>
      <c r="AQ29" s="198"/>
      <c r="AR29" s="198"/>
      <c r="AS29" s="198"/>
      <c r="AT29" s="198"/>
      <c r="AU29" s="198"/>
      <c r="AV29" s="198"/>
      <c r="AW29" s="198"/>
      <c r="AX29" s="198"/>
      <c r="AY29" s="207"/>
      <c r="AZ29" s="207"/>
      <c r="BA29" s="207"/>
      <c r="BB29" s="207"/>
      <c r="BC29" s="207"/>
      <c r="BD29" s="244"/>
      <c r="BE29" s="232"/>
      <c r="BF29" s="222"/>
      <c r="BG29" s="223"/>
      <c r="BH29" s="223"/>
      <c r="BI29" s="225"/>
      <c r="BJ29" s="225"/>
      <c r="BK29" s="225"/>
      <c r="BL29" s="225"/>
      <c r="BM29" s="225"/>
      <c r="BN29" s="225"/>
      <c r="BO29" s="225"/>
      <c r="BP29" s="242"/>
      <c r="BQ29" s="242"/>
      <c r="BR29" s="242"/>
      <c r="BS29" s="242"/>
      <c r="BT29" s="242"/>
      <c r="BU29" s="169"/>
      <c r="BV29" s="281"/>
      <c r="BW29" s="281"/>
      <c r="BX29" s="281"/>
      <c r="BZ29" s="198"/>
      <c r="CA29" s="198"/>
      <c r="CB29" s="198"/>
      <c r="CC29" s="198"/>
      <c r="CD29" s="198"/>
      <c r="CE29" s="198"/>
      <c r="CF29" s="198"/>
      <c r="CG29" s="198"/>
      <c r="CH29" s="207"/>
      <c r="CI29" s="207"/>
      <c r="CJ29" s="207"/>
      <c r="CK29" s="207"/>
      <c r="CL29" s="207"/>
      <c r="CM29" s="244"/>
      <c r="CN29" s="232"/>
      <c r="CO29" s="222"/>
      <c r="CP29" s="223"/>
      <c r="CQ29" s="223"/>
      <c r="CR29" s="225"/>
      <c r="CS29" s="225"/>
      <c r="CT29" s="225"/>
      <c r="CU29" s="225"/>
      <c r="CV29" s="225"/>
      <c r="CW29" s="225"/>
      <c r="CX29" s="225"/>
      <c r="CY29" s="225"/>
      <c r="CZ29" s="225"/>
      <c r="DA29" s="225"/>
      <c r="DB29" s="225"/>
      <c r="DC29" s="225"/>
      <c r="DD29" s="183"/>
      <c r="DE29" s="243"/>
      <c r="DF29" s="243"/>
      <c r="DG29" s="243"/>
      <c r="DH29" s="228"/>
      <c r="DI29" s="198"/>
      <c r="DJ29" s="198"/>
      <c r="DK29" s="198"/>
      <c r="DL29" s="198"/>
      <c r="DM29" s="198"/>
      <c r="DN29" s="198"/>
      <c r="DO29" s="198"/>
      <c r="DP29" s="198"/>
      <c r="DQ29" s="207"/>
      <c r="DR29" s="207"/>
      <c r="DS29" s="207"/>
      <c r="DT29" s="207"/>
      <c r="DU29" s="207"/>
      <c r="DV29" s="207"/>
      <c r="DW29" s="244"/>
      <c r="DX29" s="232"/>
      <c r="DY29" s="222"/>
      <c r="DZ29" s="223"/>
      <c r="EA29" s="223"/>
      <c r="EB29" s="225"/>
      <c r="EC29" s="225"/>
      <c r="ED29" s="225"/>
      <c r="EE29" s="225"/>
      <c r="EF29" s="225"/>
      <c r="EG29" s="225"/>
      <c r="EH29" s="225"/>
      <c r="EI29" s="225"/>
      <c r="EJ29" s="225"/>
      <c r="EK29" s="225"/>
      <c r="EL29" s="225"/>
      <c r="EM29" s="225"/>
      <c r="EN29" s="183"/>
      <c r="EO29" s="243"/>
      <c r="EP29" s="243"/>
      <c r="EQ29" s="243"/>
      <c r="ER29" s="228"/>
      <c r="ES29" s="198"/>
      <c r="ET29" s="198"/>
      <c r="EU29" s="198"/>
      <c r="EV29" s="198"/>
      <c r="EW29" s="198"/>
      <c r="EX29" s="198"/>
      <c r="EY29" s="198"/>
      <c r="EZ29" s="198"/>
      <c r="FA29" s="207"/>
      <c r="FB29" s="207"/>
      <c r="FC29" s="207"/>
      <c r="FD29" s="207"/>
      <c r="FE29" s="207"/>
      <c r="FF29" s="207"/>
    </row>
    <row r="30" spans="2:162" ht="15" outlineLevel="1" collapsed="1">
      <c r="B30" s="208">
        <v>4</v>
      </c>
      <c r="C30" s="209" t="s">
        <v>32</v>
      </c>
      <c r="D30" s="313"/>
      <c r="E30" s="332">
        <f>X30+BG30+CP30+DZ30</f>
        <v>2.4955646489578571</v>
      </c>
      <c r="F30" s="332">
        <f>Y30+BH30+CQ30+EA30</f>
        <v>2.4955646489578571</v>
      </c>
      <c r="G30" s="332">
        <f t="shared" ref="G30" si="91">E30-F30</f>
        <v>0</v>
      </c>
      <c r="H30" s="332">
        <f t="shared" ref="H30:M30" si="92">Z30+BI30+CR30+EB30</f>
        <v>2.4955646489578571</v>
      </c>
      <c r="I30" s="332">
        <f t="shared" si="92"/>
        <v>0</v>
      </c>
      <c r="J30" s="332">
        <f t="shared" si="92"/>
        <v>0</v>
      </c>
      <c r="K30" s="332">
        <f t="shared" si="92"/>
        <v>0</v>
      </c>
      <c r="L30" s="332">
        <f t="shared" si="92"/>
        <v>0</v>
      </c>
      <c r="M30" s="332">
        <f t="shared" si="92"/>
        <v>0</v>
      </c>
      <c r="N30" s="333"/>
      <c r="O30" s="334">
        <f>AG30+BP30+CY30+EI30</f>
        <v>0</v>
      </c>
      <c r="P30" s="334">
        <f>AH30+BQ30+CZ30+EJ30</f>
        <v>0</v>
      </c>
      <c r="Q30" s="334">
        <f>AI30+BR30+DA30+EK30</f>
        <v>0</v>
      </c>
      <c r="R30" s="334">
        <f>AJ30+BS30+DB30+EL30</f>
        <v>0</v>
      </c>
      <c r="S30" s="334">
        <f>AK30+BT30+DC30+EM30</f>
        <v>0</v>
      </c>
      <c r="T30" s="331"/>
      <c r="U30" s="183"/>
      <c r="V30" s="210">
        <v>0.1</v>
      </c>
      <c r="W30" s="210"/>
      <c r="X30" s="292">
        <f>V30*($V$4*'BOQ COST'!$E$4)</f>
        <v>2.2890000000000001</v>
      </c>
      <c r="Y30" s="292">
        <f>Z30+AG30</f>
        <v>2.2890000000000001</v>
      </c>
      <c r="Z30" s="293">
        <f>X30</f>
        <v>2.2890000000000001</v>
      </c>
      <c r="AA30" s="212"/>
      <c r="AB30" s="212"/>
      <c r="AC30" s="293">
        <f t="shared" ref="AC30:AE30" si="93">SUM(AC31:AC34)</f>
        <v>0</v>
      </c>
      <c r="AD30" s="293">
        <f t="shared" si="93"/>
        <v>0</v>
      </c>
      <c r="AE30" s="293">
        <f t="shared" si="93"/>
        <v>0</v>
      </c>
      <c r="AF30" s="213"/>
      <c r="AG30" s="293">
        <f>AA30</f>
        <v>0</v>
      </c>
      <c r="AH30" s="293">
        <f>AG30</f>
        <v>0</v>
      </c>
      <c r="AI30" s="293">
        <f t="shared" ref="AI30:AK30" si="94">SUM(AI31:AI36)</f>
        <v>0</v>
      </c>
      <c r="AJ30" s="293">
        <f t="shared" si="94"/>
        <v>0</v>
      </c>
      <c r="AK30" s="293">
        <f t="shared" si="94"/>
        <v>0</v>
      </c>
      <c r="AL30" s="169"/>
      <c r="AM30" s="350"/>
      <c r="AN30" s="350"/>
      <c r="AO30" s="350"/>
      <c r="AP30" s="293">
        <f t="shared" ref="AP30:AW30" si="95">SUM(AP31:AP36)</f>
        <v>0</v>
      </c>
      <c r="AQ30" s="363">
        <f t="shared" si="95"/>
        <v>0</v>
      </c>
      <c r="AR30" s="363">
        <f t="shared" si="95"/>
        <v>0</v>
      </c>
      <c r="AS30" s="363">
        <f t="shared" si="95"/>
        <v>0</v>
      </c>
      <c r="AT30" s="363">
        <f t="shared" si="95"/>
        <v>0</v>
      </c>
      <c r="AU30" s="363">
        <f t="shared" si="95"/>
        <v>0</v>
      </c>
      <c r="AV30" s="363">
        <f t="shared" si="95"/>
        <v>0</v>
      </c>
      <c r="AW30" s="363">
        <f t="shared" si="95"/>
        <v>0</v>
      </c>
      <c r="AX30" s="216"/>
      <c r="AY30" s="246"/>
      <c r="AZ30" s="246"/>
      <c r="BA30" s="246"/>
      <c r="BB30" s="246"/>
      <c r="BC30" s="246"/>
      <c r="BD30" s="219"/>
      <c r="BE30" s="210"/>
      <c r="BF30" s="210"/>
      <c r="BG30" s="211"/>
      <c r="BH30" s="292">
        <f>BI30+BP30</f>
        <v>0</v>
      </c>
      <c r="BI30" s="212"/>
      <c r="BJ30" s="293">
        <f>BG30</f>
        <v>0</v>
      </c>
      <c r="BK30" s="293">
        <f>BJ30</f>
        <v>0</v>
      </c>
      <c r="BL30" s="293">
        <f t="shared" ref="BL30:BN30" si="96">SUM(BL31:BL36)</f>
        <v>0</v>
      </c>
      <c r="BM30" s="293">
        <f t="shared" si="96"/>
        <v>0</v>
      </c>
      <c r="BN30" s="293">
        <f t="shared" si="96"/>
        <v>0</v>
      </c>
      <c r="BO30" s="213"/>
      <c r="BP30" s="214"/>
      <c r="BQ30" s="214"/>
      <c r="BR30" s="245"/>
      <c r="BS30" s="245"/>
      <c r="BT30" s="245"/>
      <c r="BU30" s="169"/>
      <c r="BV30" s="350"/>
      <c r="BW30" s="350"/>
      <c r="BX30" s="350"/>
      <c r="BY30" s="350">
        <f t="shared" ref="BY30:CF30" si="97">SUM(BY31:BY36)</f>
        <v>0</v>
      </c>
      <c r="BZ30" s="293">
        <f t="shared" si="97"/>
        <v>0</v>
      </c>
      <c r="CA30" s="293">
        <f t="shared" si="97"/>
        <v>0</v>
      </c>
      <c r="CB30" s="293">
        <f t="shared" si="97"/>
        <v>0</v>
      </c>
      <c r="CC30" s="293">
        <f t="shared" si="97"/>
        <v>0</v>
      </c>
      <c r="CD30" s="293">
        <f t="shared" si="97"/>
        <v>0</v>
      </c>
      <c r="CE30" s="293">
        <f t="shared" si="97"/>
        <v>0</v>
      </c>
      <c r="CF30" s="293">
        <f t="shared" si="97"/>
        <v>0</v>
      </c>
      <c r="CG30" s="216"/>
      <c r="CH30" s="246"/>
      <c r="CI30" s="246"/>
      <c r="CJ30" s="246"/>
      <c r="CK30" s="246"/>
      <c r="CL30" s="246"/>
      <c r="CM30" s="219"/>
      <c r="CN30" s="210">
        <v>0.1</v>
      </c>
      <c r="CO30" s="210"/>
      <c r="CP30" s="292">
        <f>CN30*($CN$4*'BOQ COST'!$G$4)</f>
        <v>0.16358216395785682</v>
      </c>
      <c r="CQ30" s="292">
        <f>CR30+CY30</f>
        <v>0.16358216395785682</v>
      </c>
      <c r="CR30" s="293">
        <f>CP30</f>
        <v>0.16358216395785682</v>
      </c>
      <c r="CS30" s="212"/>
      <c r="CT30" s="212"/>
      <c r="CU30" s="293">
        <f t="shared" ref="CU30:CW30" si="98">SUM(CU31:CU34)</f>
        <v>0</v>
      </c>
      <c r="CV30" s="293">
        <f t="shared" si="98"/>
        <v>0</v>
      </c>
      <c r="CW30" s="293">
        <f t="shared" si="98"/>
        <v>0</v>
      </c>
      <c r="CX30" s="213"/>
      <c r="CY30" s="293">
        <f>CS30</f>
        <v>0</v>
      </c>
      <c r="CZ30" s="293">
        <f>CY30</f>
        <v>0</v>
      </c>
      <c r="DA30" s="293">
        <f t="shared" ref="DA30:DC30" si="99">SUM(DA31:DA36)</f>
        <v>0</v>
      </c>
      <c r="DB30" s="293">
        <f t="shared" si="99"/>
        <v>0</v>
      </c>
      <c r="DC30" s="293">
        <f t="shared" si="99"/>
        <v>0</v>
      </c>
      <c r="DD30" s="183"/>
      <c r="DE30" s="215"/>
      <c r="DF30" s="215"/>
      <c r="DG30" s="215"/>
      <c r="DH30" s="293">
        <f t="shared" ref="DH30:DO30" si="100">SUM(DH31:DH36)</f>
        <v>0</v>
      </c>
      <c r="DI30" s="293">
        <f t="shared" si="100"/>
        <v>0</v>
      </c>
      <c r="DJ30" s="293">
        <f t="shared" si="100"/>
        <v>0</v>
      </c>
      <c r="DK30" s="293">
        <f t="shared" si="100"/>
        <v>0</v>
      </c>
      <c r="DL30" s="293">
        <f t="shared" si="100"/>
        <v>0</v>
      </c>
      <c r="DM30" s="293">
        <f t="shared" si="100"/>
        <v>0</v>
      </c>
      <c r="DN30" s="293">
        <f t="shared" si="100"/>
        <v>0</v>
      </c>
      <c r="DO30" s="293">
        <f t="shared" si="100"/>
        <v>0</v>
      </c>
      <c r="DP30" s="216"/>
      <c r="DQ30" s="246"/>
      <c r="DR30" s="246"/>
      <c r="DS30" s="246"/>
      <c r="DT30" s="246"/>
      <c r="DU30" s="246"/>
      <c r="DV30" s="246"/>
      <c r="DW30" s="219"/>
      <c r="DX30" s="210">
        <v>0.15</v>
      </c>
      <c r="DY30" s="210"/>
      <c r="DZ30" s="292">
        <f>DX30*($DX$4*'BOQ COST'!$H$4)</f>
        <v>4.2982485000000001E-2</v>
      </c>
      <c r="EA30" s="292">
        <f>EB30+EI30</f>
        <v>4.2982485000000001E-2</v>
      </c>
      <c r="EB30" s="293">
        <f>DZ30</f>
        <v>4.2982485000000001E-2</v>
      </c>
      <c r="EC30" s="212"/>
      <c r="ED30" s="212"/>
      <c r="EE30" s="293">
        <f t="shared" ref="EE30:EG30" si="101">SUM(EE31:EE34)</f>
        <v>0</v>
      </c>
      <c r="EF30" s="293">
        <f t="shared" si="101"/>
        <v>0</v>
      </c>
      <c r="EG30" s="293">
        <f t="shared" si="101"/>
        <v>0</v>
      </c>
      <c r="EH30" s="213"/>
      <c r="EI30" s="293">
        <f>EC30</f>
        <v>0</v>
      </c>
      <c r="EJ30" s="293">
        <f>EI30</f>
        <v>0</v>
      </c>
      <c r="EK30" s="293">
        <f t="shared" ref="EK30" si="102">SUM(EK37:EK39)</f>
        <v>0</v>
      </c>
      <c r="EL30" s="293">
        <f t="shared" ref="EL30:EM30" si="103">SUM(EL31:EL36)</f>
        <v>0</v>
      </c>
      <c r="EM30" s="293">
        <f t="shared" si="103"/>
        <v>0</v>
      </c>
      <c r="EN30" s="183"/>
      <c r="EO30" s="215"/>
      <c r="EP30" s="215"/>
      <c r="EQ30" s="215"/>
      <c r="ER30" s="293">
        <f t="shared" ref="ER30:EY30" si="104">SUM(ER31:ER36)</f>
        <v>0</v>
      </c>
      <c r="ES30" s="293">
        <f t="shared" si="104"/>
        <v>0</v>
      </c>
      <c r="ET30" s="293">
        <f t="shared" si="104"/>
        <v>0</v>
      </c>
      <c r="EU30" s="293">
        <f t="shared" si="104"/>
        <v>0</v>
      </c>
      <c r="EV30" s="293">
        <f t="shared" si="104"/>
        <v>0</v>
      </c>
      <c r="EW30" s="293">
        <f t="shared" si="104"/>
        <v>0</v>
      </c>
      <c r="EX30" s="293">
        <f t="shared" si="104"/>
        <v>0</v>
      </c>
      <c r="EY30" s="293">
        <f t="shared" si="104"/>
        <v>0</v>
      </c>
      <c r="EZ30" s="216"/>
      <c r="FA30" s="246"/>
      <c r="FB30" s="246"/>
      <c r="FC30" s="246"/>
      <c r="FD30" s="246"/>
      <c r="FE30" s="246"/>
      <c r="FF30" s="246"/>
    </row>
    <row r="31" spans="2:162" ht="12.6" hidden="1" customHeight="1" outlineLevel="2">
      <c r="B31" s="459">
        <v>1</v>
      </c>
      <c r="C31" s="155" t="s">
        <v>33</v>
      </c>
      <c r="H31" s="224"/>
      <c r="I31" s="224"/>
      <c r="J31" s="224"/>
      <c r="K31" s="224"/>
      <c r="L31" s="224"/>
      <c r="M31" s="224"/>
      <c r="N31" s="225"/>
      <c r="O31" s="224"/>
      <c r="P31" s="224"/>
      <c r="Q31" s="224"/>
      <c r="R31" s="224"/>
      <c r="S31" s="224"/>
      <c r="T31" s="169"/>
      <c r="U31" s="183"/>
      <c r="V31" s="232"/>
      <c r="W31" s="222"/>
      <c r="X31" s="223"/>
      <c r="Y31" s="223"/>
      <c r="Z31" s="224"/>
      <c r="AA31" s="224"/>
      <c r="AB31" s="224"/>
      <c r="AC31" s="224"/>
      <c r="AD31" s="224"/>
      <c r="AE31" s="224"/>
      <c r="AF31" s="225"/>
      <c r="AG31" s="224"/>
      <c r="AH31" s="224"/>
      <c r="AI31" s="224"/>
      <c r="AJ31" s="224"/>
      <c r="AK31" s="224"/>
      <c r="AL31" s="169"/>
      <c r="AP31" s="228"/>
      <c r="AQ31" s="198"/>
      <c r="AR31" s="198"/>
      <c r="AS31" s="198"/>
      <c r="AT31" s="198"/>
      <c r="AU31" s="198"/>
      <c r="AV31" s="198"/>
      <c r="AW31" s="198"/>
      <c r="AX31" s="198"/>
      <c r="AY31" s="207"/>
      <c r="AZ31" s="207"/>
      <c r="BA31" s="207"/>
      <c r="BB31" s="207"/>
      <c r="BC31" s="207"/>
      <c r="BD31" s="198"/>
      <c r="BE31" s="232"/>
      <c r="BF31" s="222"/>
      <c r="BG31" s="223"/>
      <c r="BH31" s="223"/>
      <c r="BI31" s="224"/>
      <c r="BJ31" s="224"/>
      <c r="BK31" s="224"/>
      <c r="BL31" s="224"/>
      <c r="BM31" s="224"/>
      <c r="BN31" s="224"/>
      <c r="BO31" s="225"/>
      <c r="BP31" s="226"/>
      <c r="BQ31" s="226"/>
      <c r="BR31" s="226"/>
      <c r="BS31" s="226"/>
      <c r="BT31" s="226"/>
      <c r="BU31" s="169"/>
      <c r="BZ31" s="198"/>
      <c r="CA31" s="198"/>
      <c r="CB31" s="198"/>
      <c r="CC31" s="198"/>
      <c r="CD31" s="198"/>
      <c r="CE31" s="198"/>
      <c r="CF31" s="198"/>
      <c r="CG31" s="198"/>
      <c r="CH31" s="207"/>
      <c r="CI31" s="207"/>
      <c r="CJ31" s="207"/>
      <c r="CK31" s="207"/>
      <c r="CL31" s="207"/>
      <c r="CM31" s="198"/>
      <c r="CN31" s="232"/>
      <c r="CO31" s="222"/>
      <c r="CP31" s="223"/>
      <c r="CQ31" s="223"/>
      <c r="CR31" s="224"/>
      <c r="CS31" s="224"/>
      <c r="CT31" s="224"/>
      <c r="CU31" s="224"/>
      <c r="CV31" s="224"/>
      <c r="CW31" s="224"/>
      <c r="CX31" s="225"/>
      <c r="CY31" s="224"/>
      <c r="CZ31" s="224"/>
      <c r="DA31" s="224"/>
      <c r="DB31" s="224"/>
      <c r="DC31" s="224"/>
      <c r="DD31" s="183"/>
      <c r="DE31" s="227"/>
      <c r="DF31" s="227"/>
      <c r="DG31" s="227"/>
      <c r="DH31" s="228"/>
      <c r="DI31" s="198"/>
      <c r="DJ31" s="198"/>
      <c r="DK31" s="198"/>
      <c r="DL31" s="198"/>
      <c r="DM31" s="198"/>
      <c r="DN31" s="198"/>
      <c r="DO31" s="198"/>
      <c r="DP31" s="198"/>
      <c r="DQ31" s="207"/>
      <c r="DR31" s="207"/>
      <c r="DS31" s="207"/>
      <c r="DT31" s="207"/>
      <c r="DU31" s="207"/>
      <c r="DV31" s="207"/>
      <c r="DW31" s="198"/>
      <c r="DX31" s="232"/>
      <c r="DY31" s="222"/>
      <c r="DZ31" s="223"/>
      <c r="EA31" s="223"/>
      <c r="EB31" s="224"/>
      <c r="EC31" s="224"/>
      <c r="ED31" s="224"/>
      <c r="EE31" s="224"/>
      <c r="EF31" s="224"/>
      <c r="EG31" s="224"/>
      <c r="EH31" s="225"/>
      <c r="EI31" s="224"/>
      <c r="EJ31" s="224"/>
      <c r="EK31" s="224"/>
      <c r="EL31" s="224"/>
      <c r="EM31" s="224"/>
      <c r="EN31" s="183"/>
      <c r="EO31" s="227"/>
      <c r="EP31" s="227"/>
      <c r="EQ31" s="227"/>
      <c r="ER31" s="228"/>
      <c r="ES31" s="198"/>
      <c r="ET31" s="198"/>
      <c r="EU31" s="198"/>
      <c r="EV31" s="198"/>
      <c r="EW31" s="198"/>
      <c r="EX31" s="198"/>
      <c r="EY31" s="198"/>
      <c r="EZ31" s="198"/>
      <c r="FA31" s="207"/>
      <c r="FB31" s="207"/>
      <c r="FC31" s="207"/>
      <c r="FD31" s="207"/>
      <c r="FE31" s="207"/>
      <c r="FF31" s="207"/>
    </row>
    <row r="32" spans="2:162" ht="12.6" hidden="1" customHeight="1" outlineLevel="2">
      <c r="B32" s="459">
        <v>2</v>
      </c>
      <c r="C32" s="155" t="s">
        <v>34</v>
      </c>
      <c r="H32" s="224"/>
      <c r="I32" s="224"/>
      <c r="J32" s="224"/>
      <c r="K32" s="224"/>
      <c r="L32" s="224"/>
      <c r="M32" s="224"/>
      <c r="N32" s="225"/>
      <c r="O32" s="224"/>
      <c r="P32" s="224"/>
      <c r="Q32" s="224"/>
      <c r="R32" s="224"/>
      <c r="S32" s="224"/>
      <c r="T32" s="169"/>
      <c r="U32" s="183"/>
      <c r="V32" s="232"/>
      <c r="W32" s="222"/>
      <c r="X32" s="223"/>
      <c r="Y32" s="223"/>
      <c r="Z32" s="224"/>
      <c r="AA32" s="224"/>
      <c r="AB32" s="224"/>
      <c r="AC32" s="224"/>
      <c r="AD32" s="224"/>
      <c r="AE32" s="224"/>
      <c r="AF32" s="225"/>
      <c r="AG32" s="224"/>
      <c r="AH32" s="224"/>
      <c r="AI32" s="224"/>
      <c r="AJ32" s="224"/>
      <c r="AK32" s="224"/>
      <c r="AL32" s="169"/>
      <c r="AP32" s="228"/>
      <c r="AQ32" s="198"/>
      <c r="AR32" s="198"/>
      <c r="AS32" s="198"/>
      <c r="AT32" s="198"/>
      <c r="AU32" s="198"/>
      <c r="AV32" s="198"/>
      <c r="AW32" s="198"/>
      <c r="AX32" s="198"/>
      <c r="AY32" s="207"/>
      <c r="AZ32" s="207"/>
      <c r="BA32" s="207"/>
      <c r="BB32" s="207"/>
      <c r="BC32" s="207"/>
      <c r="BD32" s="198"/>
      <c r="BE32" s="232"/>
      <c r="BF32" s="222"/>
      <c r="BG32" s="223"/>
      <c r="BH32" s="223"/>
      <c r="BI32" s="224"/>
      <c r="BJ32" s="224"/>
      <c r="BK32" s="224"/>
      <c r="BL32" s="224"/>
      <c r="BM32" s="224"/>
      <c r="BN32" s="224"/>
      <c r="BO32" s="225"/>
      <c r="BP32" s="226"/>
      <c r="BQ32" s="226"/>
      <c r="BR32" s="226"/>
      <c r="BS32" s="226"/>
      <c r="BT32" s="226"/>
      <c r="BU32" s="169"/>
      <c r="BZ32" s="198"/>
      <c r="CA32" s="198"/>
      <c r="CB32" s="198"/>
      <c r="CC32" s="198"/>
      <c r="CD32" s="198"/>
      <c r="CE32" s="198"/>
      <c r="CF32" s="198"/>
      <c r="CG32" s="198"/>
      <c r="CH32" s="207"/>
      <c r="CI32" s="207"/>
      <c r="CJ32" s="207"/>
      <c r="CK32" s="207"/>
      <c r="CL32" s="207"/>
      <c r="CM32" s="198"/>
      <c r="CN32" s="232"/>
      <c r="CO32" s="222"/>
      <c r="CP32" s="223"/>
      <c r="CQ32" s="223"/>
      <c r="CR32" s="224"/>
      <c r="CS32" s="224"/>
      <c r="CT32" s="224"/>
      <c r="CU32" s="224"/>
      <c r="CV32" s="224"/>
      <c r="CW32" s="224"/>
      <c r="CX32" s="225"/>
      <c r="CY32" s="224"/>
      <c r="CZ32" s="224"/>
      <c r="DA32" s="224"/>
      <c r="DB32" s="224"/>
      <c r="DC32" s="224"/>
      <c r="DD32" s="183"/>
      <c r="DE32" s="227"/>
      <c r="DF32" s="227"/>
      <c r="DG32" s="227"/>
      <c r="DH32" s="228"/>
      <c r="DI32" s="198"/>
      <c r="DJ32" s="198"/>
      <c r="DK32" s="198"/>
      <c r="DL32" s="198"/>
      <c r="DM32" s="198"/>
      <c r="DN32" s="198"/>
      <c r="DO32" s="198"/>
      <c r="DP32" s="198"/>
      <c r="DQ32" s="207"/>
      <c r="DR32" s="207"/>
      <c r="DS32" s="207"/>
      <c r="DT32" s="207"/>
      <c r="DU32" s="207"/>
      <c r="DV32" s="207"/>
      <c r="DW32" s="198"/>
      <c r="DX32" s="232"/>
      <c r="DY32" s="222"/>
      <c r="DZ32" s="223"/>
      <c r="EA32" s="223"/>
      <c r="EB32" s="224"/>
      <c r="EC32" s="224"/>
      <c r="ED32" s="224"/>
      <c r="EE32" s="224"/>
      <c r="EF32" s="224"/>
      <c r="EG32" s="224"/>
      <c r="EH32" s="225"/>
      <c r="EI32" s="224"/>
      <c r="EJ32" s="224"/>
      <c r="EK32" s="224"/>
      <c r="EL32" s="224"/>
      <c r="EM32" s="224"/>
      <c r="EN32" s="183"/>
      <c r="EO32" s="227"/>
      <c r="EP32" s="227"/>
      <c r="EQ32" s="227"/>
      <c r="ER32" s="228"/>
      <c r="ES32" s="198"/>
      <c r="ET32" s="198"/>
      <c r="EU32" s="198"/>
      <c r="EV32" s="198"/>
      <c r="EW32" s="198"/>
      <c r="EX32" s="198"/>
      <c r="EY32" s="198"/>
      <c r="EZ32" s="198"/>
      <c r="FA32" s="207"/>
      <c r="FB32" s="207"/>
      <c r="FC32" s="207"/>
      <c r="FD32" s="207"/>
      <c r="FE32" s="207"/>
      <c r="FF32" s="207"/>
    </row>
    <row r="33" spans="2:162" ht="12.6" hidden="1" customHeight="1" outlineLevel="2">
      <c r="B33" s="459">
        <v>3</v>
      </c>
      <c r="C33" s="155" t="s">
        <v>35</v>
      </c>
      <c r="H33" s="224"/>
      <c r="I33" s="224"/>
      <c r="J33" s="224"/>
      <c r="K33" s="224"/>
      <c r="L33" s="224"/>
      <c r="M33" s="224"/>
      <c r="N33" s="225"/>
      <c r="O33" s="224"/>
      <c r="P33" s="224"/>
      <c r="Q33" s="224"/>
      <c r="R33" s="224"/>
      <c r="S33" s="224"/>
      <c r="T33" s="169"/>
      <c r="U33" s="183"/>
      <c r="V33" s="232"/>
      <c r="W33" s="222"/>
      <c r="X33" s="223"/>
      <c r="Y33" s="223"/>
      <c r="Z33" s="224"/>
      <c r="AA33" s="224"/>
      <c r="AB33" s="224"/>
      <c r="AC33" s="224"/>
      <c r="AD33" s="224"/>
      <c r="AE33" s="224"/>
      <c r="AF33" s="225"/>
      <c r="AG33" s="224"/>
      <c r="AH33" s="224"/>
      <c r="AI33" s="224"/>
      <c r="AJ33" s="224"/>
      <c r="AK33" s="224"/>
      <c r="AL33" s="169"/>
      <c r="AQ33" s="198"/>
      <c r="AR33" s="198"/>
      <c r="AS33" s="198"/>
      <c r="AT33" s="198"/>
      <c r="AU33" s="198"/>
      <c r="AV33" s="198"/>
      <c r="AW33" s="198"/>
      <c r="AX33" s="198"/>
      <c r="AY33" s="207"/>
      <c r="AZ33" s="207"/>
      <c r="BA33" s="207"/>
      <c r="BB33" s="207"/>
      <c r="BC33" s="207"/>
      <c r="BD33" s="244"/>
      <c r="BE33" s="232"/>
      <c r="BF33" s="222"/>
      <c r="BG33" s="223"/>
      <c r="BH33" s="223"/>
      <c r="BI33" s="224"/>
      <c r="BJ33" s="224"/>
      <c r="BK33" s="224"/>
      <c r="BL33" s="224"/>
      <c r="BM33" s="224"/>
      <c r="BN33" s="224"/>
      <c r="BO33" s="225"/>
      <c r="BP33" s="226"/>
      <c r="BQ33" s="226"/>
      <c r="BR33" s="226"/>
      <c r="BS33" s="226"/>
      <c r="BT33" s="226"/>
      <c r="BU33" s="169"/>
      <c r="BZ33" s="198"/>
      <c r="CA33" s="198"/>
      <c r="CB33" s="198"/>
      <c r="CC33" s="198"/>
      <c r="CD33" s="198"/>
      <c r="CE33" s="198"/>
      <c r="CF33" s="198"/>
      <c r="CG33" s="198"/>
      <c r="CH33" s="207"/>
      <c r="CI33" s="207"/>
      <c r="CJ33" s="207"/>
      <c r="CK33" s="207"/>
      <c r="CL33" s="207"/>
      <c r="CM33" s="244"/>
      <c r="CN33" s="232"/>
      <c r="CO33" s="222"/>
      <c r="CP33" s="223"/>
      <c r="CQ33" s="223"/>
      <c r="CR33" s="224"/>
      <c r="CS33" s="224"/>
      <c r="CT33" s="224"/>
      <c r="CU33" s="224"/>
      <c r="CV33" s="224"/>
      <c r="CW33" s="224"/>
      <c r="CX33" s="225"/>
      <c r="CY33" s="224"/>
      <c r="CZ33" s="224"/>
      <c r="DA33" s="224"/>
      <c r="DB33" s="224"/>
      <c r="DC33" s="224"/>
      <c r="DD33" s="183"/>
      <c r="DE33" s="227"/>
      <c r="DF33" s="227"/>
      <c r="DG33" s="227"/>
      <c r="DI33" s="198"/>
      <c r="DJ33" s="198"/>
      <c r="DK33" s="198"/>
      <c r="DL33" s="198"/>
      <c r="DM33" s="198"/>
      <c r="DN33" s="198"/>
      <c r="DO33" s="198"/>
      <c r="DP33" s="198"/>
      <c r="DQ33" s="207"/>
      <c r="DR33" s="207"/>
      <c r="DS33" s="207"/>
      <c r="DT33" s="207"/>
      <c r="DU33" s="207"/>
      <c r="DV33" s="207"/>
      <c r="DW33" s="244"/>
      <c r="DX33" s="232"/>
      <c r="DY33" s="222"/>
      <c r="DZ33" s="223"/>
      <c r="EA33" s="223"/>
      <c r="EB33" s="224"/>
      <c r="EC33" s="224"/>
      <c r="ED33" s="224"/>
      <c r="EE33" s="224"/>
      <c r="EF33" s="224"/>
      <c r="EG33" s="224"/>
      <c r="EH33" s="225"/>
      <c r="EI33" s="224"/>
      <c r="EJ33" s="224"/>
      <c r="EK33" s="224"/>
      <c r="EL33" s="224"/>
      <c r="EM33" s="224"/>
      <c r="EN33" s="183"/>
      <c r="EO33" s="227"/>
      <c r="EP33" s="227"/>
      <c r="EQ33" s="227"/>
      <c r="ES33" s="198"/>
      <c r="ET33" s="198"/>
      <c r="EU33" s="198"/>
      <c r="EV33" s="198"/>
      <c r="EW33" s="198"/>
      <c r="EX33" s="198"/>
      <c r="EY33" s="198"/>
      <c r="EZ33" s="198"/>
      <c r="FA33" s="207"/>
      <c r="FB33" s="207"/>
      <c r="FC33" s="207"/>
      <c r="FD33" s="207"/>
      <c r="FE33" s="207"/>
      <c r="FF33" s="207"/>
    </row>
    <row r="34" spans="2:162" ht="12.6" hidden="1" customHeight="1" outlineLevel="2">
      <c r="B34" s="459">
        <v>4</v>
      </c>
      <c r="C34" s="155" t="s">
        <v>36</v>
      </c>
      <c r="H34" s="224"/>
      <c r="I34" s="224"/>
      <c r="J34" s="224"/>
      <c r="K34" s="224"/>
      <c r="L34" s="224"/>
      <c r="M34" s="224"/>
      <c r="N34" s="225"/>
      <c r="O34" s="224"/>
      <c r="P34" s="224"/>
      <c r="Q34" s="224"/>
      <c r="R34" s="224"/>
      <c r="S34" s="224"/>
      <c r="T34" s="169"/>
      <c r="U34" s="183"/>
      <c r="V34" s="232"/>
      <c r="W34" s="222"/>
      <c r="X34" s="223"/>
      <c r="Y34" s="223"/>
      <c r="Z34" s="224"/>
      <c r="AA34" s="224"/>
      <c r="AB34" s="224"/>
      <c r="AC34" s="224"/>
      <c r="AD34" s="224"/>
      <c r="AE34" s="224"/>
      <c r="AF34" s="225"/>
      <c r="AG34" s="224"/>
      <c r="AH34" s="224"/>
      <c r="AI34" s="224"/>
      <c r="AJ34" s="224"/>
      <c r="AK34" s="224"/>
      <c r="AL34" s="169"/>
      <c r="AP34" s="237"/>
      <c r="AQ34" s="198"/>
      <c r="AR34" s="198"/>
      <c r="AS34" s="198"/>
      <c r="AT34" s="198"/>
      <c r="AU34" s="198"/>
      <c r="AV34" s="198"/>
      <c r="AW34" s="198"/>
      <c r="AX34" s="198"/>
      <c r="AY34" s="207"/>
      <c r="AZ34" s="207"/>
      <c r="BA34" s="207"/>
      <c r="BB34" s="207"/>
      <c r="BC34" s="207"/>
      <c r="BD34" s="244"/>
      <c r="BE34" s="232"/>
      <c r="BF34" s="222"/>
      <c r="BG34" s="223"/>
      <c r="BH34" s="223"/>
      <c r="BI34" s="224"/>
      <c r="BJ34" s="224"/>
      <c r="BK34" s="224"/>
      <c r="BL34" s="224"/>
      <c r="BM34" s="224"/>
      <c r="BN34" s="224"/>
      <c r="BO34" s="225"/>
      <c r="BP34" s="226"/>
      <c r="BQ34" s="226"/>
      <c r="BR34" s="226"/>
      <c r="BS34" s="226"/>
      <c r="BT34" s="226"/>
      <c r="BU34" s="169"/>
      <c r="BY34" s="358"/>
      <c r="BZ34" s="198"/>
      <c r="CA34" s="198"/>
      <c r="CB34" s="198"/>
      <c r="CC34" s="198"/>
      <c r="CD34" s="198"/>
      <c r="CE34" s="198"/>
      <c r="CF34" s="198"/>
      <c r="CG34" s="198"/>
      <c r="CH34" s="207"/>
      <c r="CI34" s="207"/>
      <c r="CJ34" s="207"/>
      <c r="CK34" s="207"/>
      <c r="CL34" s="207"/>
      <c r="CM34" s="244"/>
      <c r="CN34" s="232"/>
      <c r="CO34" s="222"/>
      <c r="CP34" s="223"/>
      <c r="CQ34" s="223"/>
      <c r="CR34" s="224"/>
      <c r="CS34" s="224"/>
      <c r="CT34" s="224"/>
      <c r="CU34" s="224"/>
      <c r="CV34" s="224"/>
      <c r="CW34" s="224"/>
      <c r="CX34" s="225"/>
      <c r="CY34" s="224"/>
      <c r="CZ34" s="224"/>
      <c r="DA34" s="224"/>
      <c r="DB34" s="224"/>
      <c r="DC34" s="224"/>
      <c r="DD34" s="183"/>
      <c r="DE34" s="227"/>
      <c r="DF34" s="227"/>
      <c r="DG34" s="227"/>
      <c r="DH34" s="237"/>
      <c r="DI34" s="198"/>
      <c r="DJ34" s="198"/>
      <c r="DK34" s="198"/>
      <c r="DL34" s="198"/>
      <c r="DM34" s="198"/>
      <c r="DN34" s="198"/>
      <c r="DO34" s="198"/>
      <c r="DP34" s="198"/>
      <c r="DQ34" s="207"/>
      <c r="DR34" s="207"/>
      <c r="DS34" s="207"/>
      <c r="DT34" s="207"/>
      <c r="DU34" s="207"/>
      <c r="DV34" s="207"/>
      <c r="DW34" s="244"/>
      <c r="DX34" s="232"/>
      <c r="DY34" s="222"/>
      <c r="DZ34" s="223"/>
      <c r="EA34" s="223"/>
      <c r="EB34" s="224"/>
      <c r="EC34" s="224"/>
      <c r="ED34" s="224"/>
      <c r="EE34" s="224"/>
      <c r="EF34" s="224"/>
      <c r="EG34" s="224"/>
      <c r="EH34" s="225"/>
      <c r="EI34" s="224"/>
      <c r="EJ34" s="224"/>
      <c r="EK34" s="224"/>
      <c r="EL34" s="224"/>
      <c r="EM34" s="224"/>
      <c r="EN34" s="183"/>
      <c r="EO34" s="227"/>
      <c r="EP34" s="227"/>
      <c r="EQ34" s="227"/>
      <c r="ER34" s="237"/>
      <c r="ES34" s="198"/>
      <c r="ET34" s="198"/>
      <c r="EU34" s="198"/>
      <c r="EV34" s="198"/>
      <c r="EW34" s="198"/>
      <c r="EX34" s="198"/>
      <c r="EY34" s="198"/>
      <c r="EZ34" s="198"/>
      <c r="FA34" s="207"/>
      <c r="FB34" s="207"/>
      <c r="FC34" s="207"/>
      <c r="FD34" s="207"/>
      <c r="FE34" s="207"/>
      <c r="FF34" s="207"/>
    </row>
    <row r="35" spans="2:162" ht="12.6" hidden="1" customHeight="1" outlineLevel="2">
      <c r="B35" s="459">
        <v>5</v>
      </c>
      <c r="C35" s="155" t="s">
        <v>37</v>
      </c>
      <c r="H35" s="224"/>
      <c r="I35" s="224"/>
      <c r="J35" s="224"/>
      <c r="K35" s="224"/>
      <c r="L35" s="224"/>
      <c r="M35" s="224"/>
      <c r="N35" s="225"/>
      <c r="O35" s="224"/>
      <c r="P35" s="224"/>
      <c r="Q35" s="224"/>
      <c r="R35" s="224"/>
      <c r="S35" s="224"/>
      <c r="T35" s="169"/>
      <c r="U35" s="183"/>
      <c r="V35" s="232"/>
      <c r="W35" s="222"/>
      <c r="X35" s="223"/>
      <c r="Y35" s="223"/>
      <c r="Z35" s="224"/>
      <c r="AA35" s="224"/>
      <c r="AB35" s="224"/>
      <c r="AC35" s="224"/>
      <c r="AD35" s="224"/>
      <c r="AE35" s="224"/>
      <c r="AF35" s="225"/>
      <c r="AG35" s="224"/>
      <c r="AH35" s="224"/>
      <c r="AI35" s="224"/>
      <c r="AJ35" s="224"/>
      <c r="AK35" s="224"/>
      <c r="AL35" s="169"/>
      <c r="AQ35" s="198"/>
      <c r="AR35" s="198"/>
      <c r="AS35" s="198"/>
      <c r="AT35" s="198"/>
      <c r="AU35" s="198"/>
      <c r="AV35" s="198"/>
      <c r="AW35" s="198"/>
      <c r="AX35" s="198"/>
      <c r="AY35" s="207"/>
      <c r="AZ35" s="207"/>
      <c r="BA35" s="207"/>
      <c r="BB35" s="207"/>
      <c r="BC35" s="207"/>
      <c r="BD35" s="244"/>
      <c r="BE35" s="232"/>
      <c r="BF35" s="222"/>
      <c r="BG35" s="223"/>
      <c r="BH35" s="223"/>
      <c r="BI35" s="224"/>
      <c r="BJ35" s="224"/>
      <c r="BK35" s="224"/>
      <c r="BL35" s="224"/>
      <c r="BM35" s="224"/>
      <c r="BN35" s="224"/>
      <c r="BO35" s="225"/>
      <c r="BP35" s="226"/>
      <c r="BQ35" s="226"/>
      <c r="BR35" s="226"/>
      <c r="BS35" s="226"/>
      <c r="BT35" s="226"/>
      <c r="BU35" s="169"/>
      <c r="BZ35" s="198"/>
      <c r="CA35" s="198"/>
      <c r="CB35" s="198"/>
      <c r="CC35" s="198"/>
      <c r="CD35" s="198"/>
      <c r="CE35" s="198"/>
      <c r="CF35" s="198"/>
      <c r="CG35" s="198"/>
      <c r="CH35" s="207"/>
      <c r="CI35" s="207"/>
      <c r="CJ35" s="207"/>
      <c r="CK35" s="207"/>
      <c r="CL35" s="207"/>
      <c r="CM35" s="244"/>
      <c r="CN35" s="232"/>
      <c r="CO35" s="222"/>
      <c r="CP35" s="223"/>
      <c r="CQ35" s="223"/>
      <c r="CR35" s="224"/>
      <c r="CS35" s="224"/>
      <c r="CT35" s="224"/>
      <c r="CU35" s="224"/>
      <c r="CV35" s="224"/>
      <c r="CW35" s="224"/>
      <c r="CX35" s="225"/>
      <c r="CY35" s="224"/>
      <c r="CZ35" s="224"/>
      <c r="DA35" s="224"/>
      <c r="DB35" s="224"/>
      <c r="DC35" s="224"/>
      <c r="DD35" s="183"/>
      <c r="DE35" s="227"/>
      <c r="DF35" s="227"/>
      <c r="DG35" s="227"/>
      <c r="DI35" s="198"/>
      <c r="DJ35" s="198"/>
      <c r="DK35" s="198"/>
      <c r="DL35" s="198"/>
      <c r="DM35" s="198"/>
      <c r="DN35" s="198"/>
      <c r="DO35" s="198"/>
      <c r="DP35" s="198"/>
      <c r="DQ35" s="207"/>
      <c r="DR35" s="207"/>
      <c r="DS35" s="207"/>
      <c r="DT35" s="207"/>
      <c r="DU35" s="207"/>
      <c r="DV35" s="207"/>
      <c r="DW35" s="244"/>
      <c r="DX35" s="232"/>
      <c r="DY35" s="222"/>
      <c r="DZ35" s="223"/>
      <c r="EA35" s="223"/>
      <c r="EB35" s="224"/>
      <c r="EC35" s="224"/>
      <c r="ED35" s="224"/>
      <c r="EE35" s="224"/>
      <c r="EF35" s="224"/>
      <c r="EG35" s="224"/>
      <c r="EH35" s="225"/>
      <c r="EI35" s="224"/>
      <c r="EJ35" s="224"/>
      <c r="EK35" s="224"/>
      <c r="EL35" s="224"/>
      <c r="EM35" s="224"/>
      <c r="EN35" s="183"/>
      <c r="EO35" s="227"/>
      <c r="EP35" s="227"/>
      <c r="EQ35" s="227"/>
      <c r="ES35" s="198"/>
      <c r="ET35" s="198"/>
      <c r="EU35" s="198"/>
      <c r="EV35" s="198"/>
      <c r="EW35" s="198"/>
      <c r="EX35" s="198"/>
      <c r="EY35" s="198"/>
      <c r="EZ35" s="198"/>
      <c r="FA35" s="207"/>
      <c r="FB35" s="207"/>
      <c r="FC35" s="207"/>
      <c r="FD35" s="207"/>
      <c r="FE35" s="207"/>
      <c r="FF35" s="207"/>
    </row>
    <row r="36" spans="2:162" ht="12.6" hidden="1" customHeight="1" outlineLevel="2">
      <c r="B36" s="459">
        <v>6</v>
      </c>
      <c r="C36" s="155" t="s">
        <v>38</v>
      </c>
      <c r="H36" s="224"/>
      <c r="I36" s="224"/>
      <c r="J36" s="224"/>
      <c r="K36" s="224"/>
      <c r="L36" s="224"/>
      <c r="M36" s="224"/>
      <c r="N36" s="225"/>
      <c r="O36" s="224"/>
      <c r="P36" s="224"/>
      <c r="Q36" s="224"/>
      <c r="R36" s="224"/>
      <c r="S36" s="224"/>
      <c r="T36" s="169"/>
      <c r="U36" s="183"/>
      <c r="V36" s="232"/>
      <c r="W36" s="222"/>
      <c r="X36" s="223"/>
      <c r="Y36" s="223"/>
      <c r="Z36" s="224"/>
      <c r="AA36" s="224"/>
      <c r="AB36" s="224"/>
      <c r="AC36" s="224"/>
      <c r="AD36" s="224"/>
      <c r="AE36" s="224"/>
      <c r="AF36" s="225"/>
      <c r="AG36" s="224"/>
      <c r="AH36" s="224"/>
      <c r="AI36" s="224"/>
      <c r="AJ36" s="224"/>
      <c r="AK36" s="224"/>
      <c r="AL36" s="169"/>
      <c r="AR36" s="198"/>
      <c r="AS36" s="198"/>
      <c r="AT36" s="198"/>
      <c r="AU36" s="198"/>
      <c r="AV36" s="198"/>
      <c r="AW36" s="198"/>
      <c r="AX36" s="198"/>
      <c r="AY36" s="207"/>
      <c r="AZ36" s="207"/>
      <c r="BA36" s="207"/>
      <c r="BB36" s="207"/>
      <c r="BC36" s="207"/>
      <c r="BD36" s="198"/>
      <c r="BE36" s="232"/>
      <c r="BF36" s="222"/>
      <c r="BG36" s="223"/>
      <c r="BH36" s="223"/>
      <c r="BI36" s="224"/>
      <c r="BJ36" s="224"/>
      <c r="BK36" s="224"/>
      <c r="BL36" s="224"/>
      <c r="BM36" s="224"/>
      <c r="BN36" s="224"/>
      <c r="BO36" s="225"/>
      <c r="BP36" s="226"/>
      <c r="BQ36" s="226"/>
      <c r="BR36" s="226"/>
      <c r="BS36" s="226"/>
      <c r="BT36" s="226"/>
      <c r="BU36" s="169"/>
      <c r="CA36" s="198"/>
      <c r="CB36" s="198"/>
      <c r="CC36" s="198"/>
      <c r="CD36" s="198"/>
      <c r="CE36" s="198"/>
      <c r="CF36" s="198"/>
      <c r="CG36" s="198"/>
      <c r="CH36" s="207"/>
      <c r="CI36" s="207"/>
      <c r="CJ36" s="207"/>
      <c r="CK36" s="207"/>
      <c r="CL36" s="207"/>
      <c r="CM36" s="198"/>
      <c r="CN36" s="232"/>
      <c r="CO36" s="222"/>
      <c r="CP36" s="223"/>
      <c r="CQ36" s="223"/>
      <c r="CR36" s="224"/>
      <c r="CS36" s="224"/>
      <c r="CT36" s="224"/>
      <c r="CU36" s="224"/>
      <c r="CV36" s="224"/>
      <c r="CW36" s="224"/>
      <c r="CX36" s="225"/>
      <c r="CY36" s="224"/>
      <c r="CZ36" s="224"/>
      <c r="DA36" s="224"/>
      <c r="DB36" s="224"/>
      <c r="DC36" s="224"/>
      <c r="DD36" s="183"/>
      <c r="DE36" s="227"/>
      <c r="DF36" s="227"/>
      <c r="DG36" s="227"/>
      <c r="DJ36" s="198"/>
      <c r="DK36" s="198"/>
      <c r="DL36" s="198"/>
      <c r="DM36" s="198"/>
      <c r="DN36" s="198"/>
      <c r="DO36" s="198"/>
      <c r="DP36" s="198"/>
      <c r="DQ36" s="207"/>
      <c r="DR36" s="207"/>
      <c r="DS36" s="207"/>
      <c r="DT36" s="207"/>
      <c r="DU36" s="207"/>
      <c r="DV36" s="207"/>
      <c r="DW36" s="198"/>
      <c r="DX36" s="232"/>
      <c r="DY36" s="222"/>
      <c r="DZ36" s="223"/>
      <c r="EA36" s="223"/>
      <c r="EB36" s="224"/>
      <c r="EC36" s="224"/>
      <c r="ED36" s="224"/>
      <c r="EE36" s="224"/>
      <c r="EF36" s="224"/>
      <c r="EG36" s="224"/>
      <c r="EH36" s="225"/>
      <c r="EI36" s="224"/>
      <c r="EJ36" s="224"/>
      <c r="EK36" s="224"/>
      <c r="EL36" s="224"/>
      <c r="EM36" s="224"/>
      <c r="EN36" s="183"/>
      <c r="EO36" s="227"/>
      <c r="EP36" s="227"/>
      <c r="EQ36" s="227"/>
      <c r="ET36" s="198"/>
      <c r="EU36" s="198"/>
      <c r="EV36" s="198"/>
      <c r="EW36" s="198"/>
      <c r="EX36" s="198"/>
      <c r="EY36" s="198"/>
      <c r="EZ36" s="198"/>
      <c r="FA36" s="207"/>
      <c r="FB36" s="207"/>
      <c r="FC36" s="207"/>
      <c r="FD36" s="207"/>
      <c r="FE36" s="207"/>
      <c r="FF36" s="207"/>
    </row>
    <row r="37" spans="2:162" ht="12.6" hidden="1" customHeight="1" outlineLevel="2">
      <c r="B37" s="459">
        <v>7</v>
      </c>
      <c r="C37" s="155" t="s">
        <v>39</v>
      </c>
      <c r="H37" s="224"/>
      <c r="I37" s="224"/>
      <c r="J37" s="224"/>
      <c r="K37" s="224"/>
      <c r="L37" s="224"/>
      <c r="M37" s="224"/>
      <c r="N37" s="225"/>
      <c r="O37" s="224"/>
      <c r="P37" s="224"/>
      <c r="Q37" s="224"/>
      <c r="R37" s="224"/>
      <c r="S37" s="224"/>
      <c r="T37" s="169"/>
      <c r="U37" s="183"/>
      <c r="V37" s="232"/>
      <c r="W37" s="222"/>
      <c r="X37" s="223"/>
      <c r="Y37" s="223"/>
      <c r="Z37" s="224"/>
      <c r="AA37" s="224"/>
      <c r="AB37" s="224"/>
      <c r="AC37" s="224"/>
      <c r="AD37" s="224"/>
      <c r="AE37" s="224"/>
      <c r="AF37" s="225"/>
      <c r="AG37" s="224"/>
      <c r="AH37" s="224"/>
      <c r="AI37" s="224"/>
      <c r="AJ37" s="224"/>
      <c r="AK37" s="224"/>
      <c r="AL37" s="169"/>
      <c r="AR37" s="198"/>
      <c r="AS37" s="198"/>
      <c r="AT37" s="198"/>
      <c r="AU37" s="198"/>
      <c r="AV37" s="198"/>
      <c r="AW37" s="198"/>
      <c r="AX37" s="198"/>
      <c r="AY37" s="207"/>
      <c r="AZ37" s="207"/>
      <c r="BA37" s="207"/>
      <c r="BB37" s="207"/>
      <c r="BC37" s="207"/>
      <c r="BD37" s="198"/>
      <c r="BE37" s="232"/>
      <c r="BF37" s="222"/>
      <c r="BG37" s="223"/>
      <c r="BH37" s="223"/>
      <c r="BI37" s="224"/>
      <c r="BJ37" s="224"/>
      <c r="BK37" s="224"/>
      <c r="BL37" s="224"/>
      <c r="BM37" s="224"/>
      <c r="BN37" s="224"/>
      <c r="BO37" s="225"/>
      <c r="BP37" s="226"/>
      <c r="BQ37" s="226"/>
      <c r="BR37" s="226"/>
      <c r="BS37" s="226"/>
      <c r="BT37" s="226"/>
      <c r="BU37" s="169"/>
      <c r="CA37" s="198"/>
      <c r="CB37" s="198"/>
      <c r="CC37" s="198"/>
      <c r="CD37" s="198"/>
      <c r="CE37" s="198"/>
      <c r="CF37" s="198"/>
      <c r="CG37" s="198"/>
      <c r="CH37" s="207"/>
      <c r="CI37" s="207"/>
      <c r="CJ37" s="207"/>
      <c r="CK37" s="207"/>
      <c r="CL37" s="207"/>
      <c r="CM37" s="198"/>
      <c r="CN37" s="232"/>
      <c r="CO37" s="222"/>
      <c r="CP37" s="223"/>
      <c r="CQ37" s="223"/>
      <c r="CR37" s="224"/>
      <c r="CS37" s="224"/>
      <c r="CT37" s="224"/>
      <c r="CU37" s="224"/>
      <c r="CV37" s="224"/>
      <c r="CW37" s="224"/>
      <c r="CX37" s="225"/>
      <c r="CY37" s="224"/>
      <c r="CZ37" s="224"/>
      <c r="DA37" s="224"/>
      <c r="DB37" s="224"/>
      <c r="DC37" s="224"/>
      <c r="DD37" s="183"/>
      <c r="DE37" s="227"/>
      <c r="DF37" s="227"/>
      <c r="DG37" s="227"/>
      <c r="DJ37" s="198"/>
      <c r="DK37" s="198"/>
      <c r="DL37" s="198"/>
      <c r="DM37" s="198"/>
      <c r="DN37" s="198"/>
      <c r="DO37" s="198"/>
      <c r="DP37" s="198"/>
      <c r="DQ37" s="207"/>
      <c r="DR37" s="207"/>
      <c r="DS37" s="207"/>
      <c r="DT37" s="207"/>
      <c r="DU37" s="207"/>
      <c r="DV37" s="207"/>
      <c r="DW37" s="198"/>
      <c r="DX37" s="232"/>
      <c r="DY37" s="222"/>
      <c r="DZ37" s="223"/>
      <c r="EA37" s="223"/>
      <c r="EB37" s="224"/>
      <c r="EC37" s="224"/>
      <c r="ED37" s="224"/>
      <c r="EE37" s="224"/>
      <c r="EF37" s="224"/>
      <c r="EG37" s="224"/>
      <c r="EH37" s="225"/>
      <c r="EI37" s="224"/>
      <c r="EJ37" s="224"/>
      <c r="EK37" s="224"/>
      <c r="EL37" s="224"/>
      <c r="EM37" s="224"/>
      <c r="EN37" s="183"/>
      <c r="EO37" s="227"/>
      <c r="EP37" s="227"/>
      <c r="EQ37" s="227"/>
      <c r="ET37" s="198"/>
      <c r="EU37" s="198"/>
      <c r="EV37" s="198"/>
      <c r="EW37" s="198"/>
      <c r="EX37" s="198"/>
      <c r="EY37" s="198"/>
      <c r="EZ37" s="198"/>
      <c r="FA37" s="207"/>
      <c r="FB37" s="207"/>
      <c r="FC37" s="207"/>
      <c r="FD37" s="207"/>
      <c r="FE37" s="207"/>
      <c r="FF37" s="207"/>
    </row>
    <row r="38" spans="2:162" ht="3" customHeight="1" outlineLevel="1">
      <c r="H38" s="224"/>
      <c r="I38" s="224"/>
      <c r="J38" s="224"/>
      <c r="K38" s="224"/>
      <c r="L38" s="224"/>
      <c r="M38" s="224"/>
      <c r="N38" s="225"/>
      <c r="O38" s="224"/>
      <c r="P38" s="224"/>
      <c r="Q38" s="224"/>
      <c r="R38" s="224"/>
      <c r="S38" s="224"/>
      <c r="T38" s="169"/>
      <c r="U38" s="183"/>
      <c r="V38" s="232"/>
      <c r="W38" s="222"/>
      <c r="X38" s="223"/>
      <c r="Y38" s="223"/>
      <c r="Z38" s="224"/>
      <c r="AA38" s="224"/>
      <c r="AB38" s="224"/>
      <c r="AC38" s="224"/>
      <c r="AD38" s="224"/>
      <c r="AE38" s="224"/>
      <c r="AF38" s="225"/>
      <c r="AG38" s="224"/>
      <c r="AH38" s="224"/>
      <c r="AI38" s="224"/>
      <c r="AJ38" s="224"/>
      <c r="AK38" s="224"/>
      <c r="AL38" s="169"/>
      <c r="AR38" s="198"/>
      <c r="AS38" s="198"/>
      <c r="AT38" s="198"/>
      <c r="AU38" s="198"/>
      <c r="AV38" s="198"/>
      <c r="AW38" s="198"/>
      <c r="AX38" s="198"/>
      <c r="AY38" s="207"/>
      <c r="AZ38" s="207"/>
      <c r="BA38" s="207"/>
      <c r="BB38" s="207"/>
      <c r="BC38" s="207"/>
      <c r="BD38" s="198"/>
      <c r="BE38" s="232"/>
      <c r="BF38" s="222"/>
      <c r="BG38" s="223"/>
      <c r="BH38" s="223"/>
      <c r="BI38" s="224"/>
      <c r="BJ38" s="224"/>
      <c r="BK38" s="224"/>
      <c r="BL38" s="224"/>
      <c r="BM38" s="224"/>
      <c r="BN38" s="224"/>
      <c r="BO38" s="225"/>
      <c r="BP38" s="226"/>
      <c r="BQ38" s="226"/>
      <c r="BR38" s="226"/>
      <c r="BS38" s="226"/>
      <c r="BT38" s="226"/>
      <c r="BU38" s="169"/>
      <c r="CA38" s="198"/>
      <c r="CB38" s="198"/>
      <c r="CC38" s="198"/>
      <c r="CD38" s="198"/>
      <c r="CE38" s="198"/>
      <c r="CF38" s="198"/>
      <c r="CG38" s="198"/>
      <c r="CH38" s="207"/>
      <c r="CI38" s="207"/>
      <c r="CJ38" s="207"/>
      <c r="CK38" s="207"/>
      <c r="CL38" s="207"/>
      <c r="CM38" s="198"/>
      <c r="CN38" s="232"/>
      <c r="CO38" s="222"/>
      <c r="CP38" s="223"/>
      <c r="CQ38" s="223"/>
      <c r="CR38" s="224"/>
      <c r="CS38" s="224"/>
      <c r="CT38" s="224"/>
      <c r="CU38" s="224"/>
      <c r="CV38" s="224"/>
      <c r="CW38" s="224"/>
      <c r="CX38" s="225"/>
      <c r="CY38" s="224"/>
      <c r="CZ38" s="224"/>
      <c r="DA38" s="224"/>
      <c r="DB38" s="224"/>
      <c r="DC38" s="224"/>
      <c r="DD38" s="183"/>
      <c r="DE38" s="227"/>
      <c r="DF38" s="227"/>
      <c r="DG38" s="227"/>
      <c r="DJ38" s="198"/>
      <c r="DK38" s="198"/>
      <c r="DL38" s="198"/>
      <c r="DM38" s="198"/>
      <c r="DN38" s="198"/>
      <c r="DO38" s="198"/>
      <c r="DP38" s="198"/>
      <c r="DQ38" s="207"/>
      <c r="DR38" s="207"/>
      <c r="DS38" s="207"/>
      <c r="DT38" s="207"/>
      <c r="DU38" s="207"/>
      <c r="DV38" s="207"/>
      <c r="DW38" s="198"/>
      <c r="DX38" s="232"/>
      <c r="DY38" s="222"/>
      <c r="DZ38" s="223"/>
      <c r="EA38" s="223"/>
      <c r="EB38" s="224"/>
      <c r="EC38" s="224"/>
      <c r="ED38" s="224"/>
      <c r="EE38" s="224"/>
      <c r="EF38" s="224"/>
      <c r="EG38" s="224"/>
      <c r="EH38" s="225"/>
      <c r="EI38" s="224"/>
      <c r="EJ38" s="224"/>
      <c r="EK38" s="224"/>
      <c r="EL38" s="224"/>
      <c r="EM38" s="224"/>
      <c r="EN38" s="183"/>
      <c r="EO38" s="227"/>
      <c r="EP38" s="227"/>
      <c r="EQ38" s="227"/>
      <c r="ET38" s="198"/>
      <c r="EU38" s="198"/>
      <c r="EV38" s="198"/>
      <c r="EW38" s="198"/>
      <c r="EX38" s="198"/>
      <c r="EY38" s="198"/>
      <c r="EZ38" s="198"/>
      <c r="FA38" s="207"/>
      <c r="FB38" s="207"/>
      <c r="FC38" s="207"/>
      <c r="FD38" s="207"/>
      <c r="FE38" s="207"/>
      <c r="FF38" s="207"/>
    </row>
    <row r="39" spans="2:162" ht="15" outlineLevel="1" collapsed="1">
      <c r="B39" s="208">
        <v>5</v>
      </c>
      <c r="C39" s="209" t="s">
        <v>148</v>
      </c>
      <c r="D39" s="313"/>
      <c r="E39" s="332">
        <f>X39+BG39+CP39+DZ39</f>
        <v>1.8595725769789286</v>
      </c>
      <c r="F39" s="332">
        <f>Y39+BH39+CQ39+EA39</f>
        <v>1.8595725769789286</v>
      </c>
      <c r="G39" s="332">
        <f t="shared" ref="G39" si="105">E39-F39</f>
        <v>0</v>
      </c>
      <c r="H39" s="332">
        <f t="shared" ref="H39:M39" si="106">Z39+BI39+CR39+EB39</f>
        <v>1.8595725769789286</v>
      </c>
      <c r="I39" s="332">
        <f t="shared" si="106"/>
        <v>0</v>
      </c>
      <c r="J39" s="332">
        <f t="shared" si="106"/>
        <v>0</v>
      </c>
      <c r="K39" s="332">
        <f t="shared" si="106"/>
        <v>0</v>
      </c>
      <c r="L39" s="332">
        <f t="shared" si="106"/>
        <v>0</v>
      </c>
      <c r="M39" s="332">
        <f t="shared" si="106"/>
        <v>0</v>
      </c>
      <c r="N39" s="333"/>
      <c r="O39" s="334">
        <f>AG39+BP39+CY39+EI39</f>
        <v>0</v>
      </c>
      <c r="P39" s="334">
        <f>AH39+BQ39+CZ39+EJ39</f>
        <v>0</v>
      </c>
      <c r="Q39" s="334">
        <f>AI39+BR39+DA39+EK39</f>
        <v>0</v>
      </c>
      <c r="R39" s="334">
        <f>AJ39+BS39+DB39+EL39</f>
        <v>0</v>
      </c>
      <c r="S39" s="334">
        <f>AK39+BT39+DC39+EM39</f>
        <v>0</v>
      </c>
      <c r="T39" s="331"/>
      <c r="U39" s="183"/>
      <c r="V39" s="210">
        <v>0.05</v>
      </c>
      <c r="W39" s="210"/>
      <c r="X39" s="292">
        <f>V39*($V$4*'BOQ COST'!$E$4)</f>
        <v>1.1445000000000001</v>
      </c>
      <c r="Y39" s="292">
        <f>Z39+AG39</f>
        <v>1.1445000000000001</v>
      </c>
      <c r="Z39" s="293">
        <f>X39</f>
        <v>1.1445000000000001</v>
      </c>
      <c r="AA39" s="212"/>
      <c r="AB39" s="212"/>
      <c r="AC39" s="293">
        <f t="shared" ref="AC39:AE39" si="107">SUM(AC40:AC43)</f>
        <v>0</v>
      </c>
      <c r="AD39" s="293">
        <f t="shared" si="107"/>
        <v>0</v>
      </c>
      <c r="AE39" s="293">
        <f t="shared" si="107"/>
        <v>0</v>
      </c>
      <c r="AF39" s="213"/>
      <c r="AG39" s="293">
        <f>AA39</f>
        <v>0</v>
      </c>
      <c r="AH39" s="293">
        <f>AG39</f>
        <v>0</v>
      </c>
      <c r="AI39" s="293">
        <f t="shared" ref="AI39:AK39" si="108">SUM(AI40:AI46)</f>
        <v>0</v>
      </c>
      <c r="AJ39" s="293">
        <f t="shared" si="108"/>
        <v>0</v>
      </c>
      <c r="AK39" s="293">
        <f t="shared" si="108"/>
        <v>0</v>
      </c>
      <c r="AL39" s="169"/>
      <c r="AM39" s="350"/>
      <c r="AN39" s="350"/>
      <c r="AO39" s="350"/>
      <c r="AP39" s="293">
        <f t="shared" ref="AP39:AW39" si="109">SUM(AP40:AP46)</f>
        <v>0</v>
      </c>
      <c r="AQ39" s="363">
        <f t="shared" si="109"/>
        <v>0</v>
      </c>
      <c r="AR39" s="363">
        <f t="shared" si="109"/>
        <v>0</v>
      </c>
      <c r="AS39" s="363">
        <f t="shared" si="109"/>
        <v>0</v>
      </c>
      <c r="AT39" s="363">
        <f t="shared" si="109"/>
        <v>0</v>
      </c>
      <c r="AU39" s="363">
        <f t="shared" si="109"/>
        <v>0</v>
      </c>
      <c r="AV39" s="363">
        <f t="shared" si="109"/>
        <v>0</v>
      </c>
      <c r="AW39" s="363">
        <f t="shared" si="109"/>
        <v>0</v>
      </c>
      <c r="AX39" s="216"/>
      <c r="AY39" s="246"/>
      <c r="AZ39" s="246"/>
      <c r="BA39" s="246"/>
      <c r="BB39" s="246"/>
      <c r="BC39" s="246"/>
      <c r="BD39" s="219"/>
      <c r="BE39" s="210">
        <v>0.1</v>
      </c>
      <c r="BF39" s="210"/>
      <c r="BG39" s="292">
        <f>BE39*($BE$4*'BOQ COST'!$F$4)</f>
        <v>0.618954</v>
      </c>
      <c r="BH39" s="292">
        <f>BI39+BP39</f>
        <v>0.618954</v>
      </c>
      <c r="BI39" s="293">
        <f>BG39</f>
        <v>0.618954</v>
      </c>
      <c r="BJ39" s="212"/>
      <c r="BK39" s="212"/>
      <c r="BL39" s="293">
        <f t="shared" ref="BL39:BN39" si="110">SUM(BL40:BL43)</f>
        <v>0</v>
      </c>
      <c r="BM39" s="293">
        <f t="shared" si="110"/>
        <v>0</v>
      </c>
      <c r="BN39" s="293">
        <f t="shared" si="110"/>
        <v>0</v>
      </c>
      <c r="BO39" s="213"/>
      <c r="BP39" s="293">
        <f>BJ39</f>
        <v>0</v>
      </c>
      <c r="BQ39" s="293">
        <f>BP39</f>
        <v>0</v>
      </c>
      <c r="BR39" s="245"/>
      <c r="BS39" s="245"/>
      <c r="BT39" s="245"/>
      <c r="BU39" s="169"/>
      <c r="BV39" s="350"/>
      <c r="BW39" s="350"/>
      <c r="BX39" s="350"/>
      <c r="BY39" s="350">
        <f t="shared" ref="BY39:CF39" si="111">SUM(BY40:BY46)</f>
        <v>0</v>
      </c>
      <c r="BZ39" s="293">
        <f t="shared" si="111"/>
        <v>0</v>
      </c>
      <c r="CA39" s="293">
        <f t="shared" si="111"/>
        <v>0</v>
      </c>
      <c r="CB39" s="293">
        <f t="shared" si="111"/>
        <v>0</v>
      </c>
      <c r="CC39" s="293">
        <f t="shared" si="111"/>
        <v>0</v>
      </c>
      <c r="CD39" s="293">
        <f t="shared" si="111"/>
        <v>0</v>
      </c>
      <c r="CE39" s="293">
        <f t="shared" si="111"/>
        <v>0</v>
      </c>
      <c r="CF39" s="293">
        <f t="shared" si="111"/>
        <v>0</v>
      </c>
      <c r="CG39" s="216"/>
      <c r="CH39" s="246"/>
      <c r="CI39" s="246"/>
      <c r="CJ39" s="246"/>
      <c r="CK39" s="246"/>
      <c r="CL39" s="246"/>
      <c r="CM39" s="219"/>
      <c r="CN39" s="210">
        <v>0.05</v>
      </c>
      <c r="CO39" s="210"/>
      <c r="CP39" s="292">
        <f>CN39*($CN$4*'BOQ COST'!$G$4)</f>
        <v>8.1791081978928412E-2</v>
      </c>
      <c r="CQ39" s="292">
        <f>CR39+CY39</f>
        <v>8.1791081978928412E-2</v>
      </c>
      <c r="CR39" s="293">
        <f>CP39</f>
        <v>8.1791081978928412E-2</v>
      </c>
      <c r="CS39" s="212"/>
      <c r="CT39" s="212"/>
      <c r="CU39" s="293">
        <f t="shared" ref="CU39:CW39" si="112">SUM(CU40:CU43)</f>
        <v>0</v>
      </c>
      <c r="CV39" s="293">
        <f t="shared" si="112"/>
        <v>0</v>
      </c>
      <c r="CW39" s="293">
        <f t="shared" si="112"/>
        <v>0</v>
      </c>
      <c r="CX39" s="213"/>
      <c r="CY39" s="293">
        <f>CS39</f>
        <v>0</v>
      </c>
      <c r="CZ39" s="293">
        <f>CY39</f>
        <v>0</v>
      </c>
      <c r="DA39" s="293">
        <f t="shared" ref="DA39:DC39" si="113">SUM(DA40:DA46)</f>
        <v>0</v>
      </c>
      <c r="DB39" s="293">
        <f t="shared" si="113"/>
        <v>0</v>
      </c>
      <c r="DC39" s="293">
        <f t="shared" si="113"/>
        <v>0</v>
      </c>
      <c r="DD39" s="183"/>
      <c r="DE39" s="215"/>
      <c r="DF39" s="215"/>
      <c r="DG39" s="215"/>
      <c r="DH39" s="293">
        <f t="shared" ref="DH39:DO39" si="114">SUM(DH40:DH46)</f>
        <v>0</v>
      </c>
      <c r="DI39" s="293">
        <f t="shared" si="114"/>
        <v>0</v>
      </c>
      <c r="DJ39" s="293">
        <f t="shared" si="114"/>
        <v>0</v>
      </c>
      <c r="DK39" s="293">
        <f t="shared" si="114"/>
        <v>0</v>
      </c>
      <c r="DL39" s="293">
        <f t="shared" si="114"/>
        <v>0</v>
      </c>
      <c r="DM39" s="293">
        <f t="shared" si="114"/>
        <v>0</v>
      </c>
      <c r="DN39" s="293">
        <f t="shared" si="114"/>
        <v>0</v>
      </c>
      <c r="DO39" s="293">
        <f t="shared" si="114"/>
        <v>0</v>
      </c>
      <c r="DP39" s="216"/>
      <c r="DQ39" s="246"/>
      <c r="DR39" s="246"/>
      <c r="DS39" s="246"/>
      <c r="DT39" s="246"/>
      <c r="DU39" s="246"/>
      <c r="DV39" s="246"/>
      <c r="DW39" s="219"/>
      <c r="DX39" s="210">
        <v>0.05</v>
      </c>
      <c r="DY39" s="210"/>
      <c r="DZ39" s="292">
        <f>DX39*($DX$4*'BOQ COST'!$H$4)</f>
        <v>1.4327495000000003E-2</v>
      </c>
      <c r="EA39" s="292">
        <f>EB39+EI39</f>
        <v>1.4327495000000003E-2</v>
      </c>
      <c r="EB39" s="212">
        <f>DZ39</f>
        <v>1.4327495000000003E-2</v>
      </c>
      <c r="EC39" s="293"/>
      <c r="ED39" s="293"/>
      <c r="EE39" s="293">
        <f t="shared" ref="EE39:EG39" si="115">SUM(EE40:EE46)</f>
        <v>0</v>
      </c>
      <c r="EF39" s="293">
        <f t="shared" si="115"/>
        <v>0</v>
      </c>
      <c r="EG39" s="293">
        <f t="shared" si="115"/>
        <v>0</v>
      </c>
      <c r="EH39" s="213"/>
      <c r="EI39" s="212"/>
      <c r="EJ39" s="212"/>
      <c r="EK39" s="293">
        <f t="shared" ref="EK39:EM39" si="116">SUM(EK40:EK46)</f>
        <v>0</v>
      </c>
      <c r="EL39" s="293">
        <f t="shared" si="116"/>
        <v>0</v>
      </c>
      <c r="EM39" s="293">
        <f t="shared" si="116"/>
        <v>0</v>
      </c>
      <c r="EN39" s="183"/>
      <c r="EO39" s="215"/>
      <c r="EP39" s="215"/>
      <c r="EQ39" s="215"/>
      <c r="ER39" s="293">
        <f t="shared" ref="ER39:EY39" si="117">SUM(ER40:ER46)</f>
        <v>0</v>
      </c>
      <c r="ES39" s="293">
        <f t="shared" si="117"/>
        <v>0</v>
      </c>
      <c r="ET39" s="293">
        <f t="shared" si="117"/>
        <v>0</v>
      </c>
      <c r="EU39" s="293">
        <f t="shared" si="117"/>
        <v>0</v>
      </c>
      <c r="EV39" s="293">
        <f t="shared" si="117"/>
        <v>0</v>
      </c>
      <c r="EW39" s="293">
        <f t="shared" si="117"/>
        <v>0</v>
      </c>
      <c r="EX39" s="293">
        <f t="shared" si="117"/>
        <v>0</v>
      </c>
      <c r="EY39" s="293">
        <f t="shared" si="117"/>
        <v>0</v>
      </c>
      <c r="EZ39" s="216"/>
      <c r="FA39" s="246"/>
      <c r="FB39" s="246"/>
      <c r="FC39" s="246"/>
      <c r="FD39" s="246"/>
      <c r="FE39" s="246"/>
      <c r="FF39" s="246"/>
    </row>
    <row r="40" spans="2:162" ht="12.6" hidden="1" customHeight="1" outlineLevel="2">
      <c r="B40" s="459">
        <v>1</v>
      </c>
      <c r="C40" s="155" t="s">
        <v>45</v>
      </c>
      <c r="H40" s="224"/>
      <c r="I40" s="224"/>
      <c r="J40" s="224"/>
      <c r="K40" s="224"/>
      <c r="L40" s="224"/>
      <c r="M40" s="224"/>
      <c r="N40" s="225"/>
      <c r="O40" s="224"/>
      <c r="P40" s="224"/>
      <c r="Q40" s="224"/>
      <c r="R40" s="224"/>
      <c r="S40" s="224"/>
      <c r="T40" s="169"/>
      <c r="U40" s="183"/>
      <c r="V40" s="232"/>
      <c r="W40" s="222"/>
      <c r="X40" s="223"/>
      <c r="Y40" s="223"/>
      <c r="Z40" s="224"/>
      <c r="AA40" s="224"/>
      <c r="AB40" s="224"/>
      <c r="AC40" s="224"/>
      <c r="AD40" s="224"/>
      <c r="AE40" s="224"/>
      <c r="AF40" s="225"/>
      <c r="AG40" s="224"/>
      <c r="AH40" s="224"/>
      <c r="AI40" s="224"/>
      <c r="AJ40" s="224"/>
      <c r="AK40" s="224"/>
      <c r="AL40" s="169"/>
      <c r="AP40" s="228"/>
      <c r="AQ40" s="198"/>
      <c r="AR40" s="198"/>
      <c r="AS40" s="198"/>
      <c r="AT40" s="198"/>
      <c r="AU40" s="198"/>
      <c r="AV40" s="198"/>
      <c r="AW40" s="198"/>
      <c r="AX40" s="198"/>
      <c r="AY40" s="207"/>
      <c r="AZ40" s="207"/>
      <c r="BA40" s="207"/>
      <c r="BB40" s="207"/>
      <c r="BC40" s="207"/>
      <c r="BD40" s="198"/>
      <c r="BE40" s="232"/>
      <c r="BF40" s="222"/>
      <c r="BG40" s="223"/>
      <c r="BH40" s="223"/>
      <c r="BI40" s="224"/>
      <c r="BJ40" s="224"/>
      <c r="BK40" s="224"/>
      <c r="BL40" s="224"/>
      <c r="BM40" s="224"/>
      <c r="BN40" s="224"/>
      <c r="BO40" s="225"/>
      <c r="BP40" s="226"/>
      <c r="BQ40" s="226"/>
      <c r="BR40" s="226"/>
      <c r="BS40" s="226"/>
      <c r="BT40" s="226"/>
      <c r="BU40" s="169"/>
      <c r="BZ40" s="198"/>
      <c r="CA40" s="198"/>
      <c r="CB40" s="198"/>
      <c r="CC40" s="198"/>
      <c r="CD40" s="198"/>
      <c r="CE40" s="198"/>
      <c r="CF40" s="198"/>
      <c r="CG40" s="198"/>
      <c r="CH40" s="207"/>
      <c r="CI40" s="207"/>
      <c r="CJ40" s="207"/>
      <c r="CK40" s="207"/>
      <c r="CL40" s="207"/>
      <c r="CM40" s="198"/>
      <c r="CN40" s="232"/>
      <c r="CO40" s="222"/>
      <c r="CP40" s="223"/>
      <c r="CQ40" s="223"/>
      <c r="CR40" s="224"/>
      <c r="CS40" s="224"/>
      <c r="CT40" s="224"/>
      <c r="CU40" s="224"/>
      <c r="CV40" s="224"/>
      <c r="CW40" s="224"/>
      <c r="CX40" s="225"/>
      <c r="CY40" s="224"/>
      <c r="CZ40" s="224"/>
      <c r="DA40" s="224"/>
      <c r="DB40" s="224"/>
      <c r="DC40" s="224"/>
      <c r="DD40" s="183"/>
      <c r="DE40" s="227"/>
      <c r="DF40" s="227"/>
      <c r="DG40" s="227"/>
      <c r="DH40" s="228"/>
      <c r="DI40" s="198"/>
      <c r="DJ40" s="198"/>
      <c r="DK40" s="198"/>
      <c r="DL40" s="198"/>
      <c r="DM40" s="198"/>
      <c r="DN40" s="198"/>
      <c r="DO40" s="198"/>
      <c r="DP40" s="198"/>
      <c r="DQ40" s="207"/>
      <c r="DR40" s="207"/>
      <c r="DS40" s="207"/>
      <c r="DT40" s="207"/>
      <c r="DU40" s="207"/>
      <c r="DV40" s="207"/>
      <c r="DW40" s="198"/>
      <c r="DX40" s="232"/>
      <c r="DY40" s="222"/>
      <c r="DZ40" s="223"/>
      <c r="EA40" s="223"/>
      <c r="EB40" s="224"/>
      <c r="EC40" s="224"/>
      <c r="ED40" s="224"/>
      <c r="EE40" s="224"/>
      <c r="EF40" s="224"/>
      <c r="EG40" s="224"/>
      <c r="EH40" s="225"/>
      <c r="EI40" s="224"/>
      <c r="EJ40" s="224"/>
      <c r="EK40" s="224"/>
      <c r="EL40" s="224"/>
      <c r="EM40" s="224"/>
      <c r="EN40" s="183"/>
      <c r="EO40" s="227"/>
      <c r="EP40" s="227"/>
      <c r="EQ40" s="227"/>
      <c r="ER40" s="228"/>
      <c r="ES40" s="198"/>
      <c r="ET40" s="198"/>
      <c r="EU40" s="198"/>
      <c r="EV40" s="198"/>
      <c r="EW40" s="198"/>
      <c r="EX40" s="198"/>
      <c r="EY40" s="198"/>
      <c r="EZ40" s="198"/>
      <c r="FA40" s="207"/>
      <c r="FB40" s="207"/>
      <c r="FC40" s="207"/>
      <c r="FD40" s="207"/>
      <c r="FE40" s="207"/>
      <c r="FF40" s="207"/>
    </row>
    <row r="41" spans="2:162" ht="12.6" hidden="1" customHeight="1" outlineLevel="2">
      <c r="B41" s="459">
        <v>2</v>
      </c>
      <c r="C41" s="155" t="s">
        <v>46</v>
      </c>
      <c r="H41" s="224"/>
      <c r="I41" s="224"/>
      <c r="J41" s="224"/>
      <c r="K41" s="224"/>
      <c r="L41" s="224"/>
      <c r="M41" s="224"/>
      <c r="N41" s="225"/>
      <c r="O41" s="224"/>
      <c r="P41" s="224"/>
      <c r="Q41" s="224"/>
      <c r="R41" s="224"/>
      <c r="S41" s="224"/>
      <c r="T41" s="169"/>
      <c r="U41" s="183"/>
      <c r="V41" s="232"/>
      <c r="W41" s="222"/>
      <c r="X41" s="223"/>
      <c r="Y41" s="223"/>
      <c r="Z41" s="224"/>
      <c r="AA41" s="224"/>
      <c r="AB41" s="224"/>
      <c r="AC41" s="224"/>
      <c r="AD41" s="224"/>
      <c r="AE41" s="224"/>
      <c r="AF41" s="225"/>
      <c r="AG41" s="224"/>
      <c r="AH41" s="224"/>
      <c r="AI41" s="224"/>
      <c r="AJ41" s="224"/>
      <c r="AK41" s="224"/>
      <c r="AL41" s="169"/>
      <c r="AP41" s="228"/>
      <c r="AQ41" s="198"/>
      <c r="AR41" s="198"/>
      <c r="AS41" s="198"/>
      <c r="AT41" s="198"/>
      <c r="AU41" s="198"/>
      <c r="AV41" s="198"/>
      <c r="AW41" s="198"/>
      <c r="AX41" s="198"/>
      <c r="AY41" s="207"/>
      <c r="AZ41" s="207"/>
      <c r="BA41" s="207"/>
      <c r="BB41" s="207"/>
      <c r="BC41" s="207"/>
      <c r="BD41" s="198"/>
      <c r="BE41" s="232"/>
      <c r="BF41" s="222"/>
      <c r="BG41" s="223"/>
      <c r="BH41" s="223"/>
      <c r="BI41" s="224"/>
      <c r="BJ41" s="224"/>
      <c r="BK41" s="224"/>
      <c r="BL41" s="224"/>
      <c r="BM41" s="224"/>
      <c r="BN41" s="224"/>
      <c r="BO41" s="225"/>
      <c r="BP41" s="226"/>
      <c r="BQ41" s="226"/>
      <c r="BR41" s="226"/>
      <c r="BS41" s="226"/>
      <c r="BT41" s="226"/>
      <c r="BU41" s="169"/>
      <c r="BZ41" s="198"/>
      <c r="CA41" s="198"/>
      <c r="CB41" s="198"/>
      <c r="CC41" s="198"/>
      <c r="CD41" s="198"/>
      <c r="CE41" s="198"/>
      <c r="CF41" s="198"/>
      <c r="CG41" s="198"/>
      <c r="CH41" s="207"/>
      <c r="CI41" s="207"/>
      <c r="CJ41" s="207"/>
      <c r="CK41" s="207"/>
      <c r="CL41" s="207"/>
      <c r="CM41" s="198"/>
      <c r="CN41" s="232"/>
      <c r="CO41" s="222"/>
      <c r="CP41" s="223"/>
      <c r="CQ41" s="223"/>
      <c r="CR41" s="224"/>
      <c r="CS41" s="224"/>
      <c r="CT41" s="224"/>
      <c r="CU41" s="224"/>
      <c r="CV41" s="224"/>
      <c r="CW41" s="224"/>
      <c r="CX41" s="225"/>
      <c r="CY41" s="224"/>
      <c r="CZ41" s="224"/>
      <c r="DA41" s="224"/>
      <c r="DB41" s="224"/>
      <c r="DC41" s="224"/>
      <c r="DD41" s="183"/>
      <c r="DE41" s="227"/>
      <c r="DF41" s="227"/>
      <c r="DG41" s="227"/>
      <c r="DH41" s="228"/>
      <c r="DI41" s="198"/>
      <c r="DJ41" s="198"/>
      <c r="DK41" s="198"/>
      <c r="DL41" s="198"/>
      <c r="DM41" s="198"/>
      <c r="DN41" s="198"/>
      <c r="DO41" s="198"/>
      <c r="DP41" s="198"/>
      <c r="DQ41" s="207"/>
      <c r="DR41" s="207"/>
      <c r="DS41" s="207"/>
      <c r="DT41" s="207"/>
      <c r="DU41" s="207"/>
      <c r="DV41" s="207"/>
      <c r="DW41" s="198"/>
      <c r="DX41" s="232"/>
      <c r="DY41" s="222"/>
      <c r="DZ41" s="223"/>
      <c r="EA41" s="223"/>
      <c r="EB41" s="224"/>
      <c r="EC41" s="224"/>
      <c r="ED41" s="224"/>
      <c r="EE41" s="224"/>
      <c r="EF41" s="224"/>
      <c r="EG41" s="224"/>
      <c r="EH41" s="225"/>
      <c r="EI41" s="224"/>
      <c r="EJ41" s="224"/>
      <c r="EK41" s="224"/>
      <c r="EL41" s="224"/>
      <c r="EM41" s="224"/>
      <c r="EN41" s="183"/>
      <c r="EO41" s="227"/>
      <c r="EP41" s="227"/>
      <c r="EQ41" s="227"/>
      <c r="ER41" s="228"/>
      <c r="ES41" s="198"/>
      <c r="ET41" s="198"/>
      <c r="EU41" s="198"/>
      <c r="EV41" s="198"/>
      <c r="EW41" s="198"/>
      <c r="EX41" s="198"/>
      <c r="EY41" s="198"/>
      <c r="EZ41" s="198"/>
      <c r="FA41" s="207"/>
      <c r="FB41" s="207"/>
      <c r="FC41" s="207"/>
      <c r="FD41" s="207"/>
      <c r="FE41" s="207"/>
      <c r="FF41" s="207"/>
    </row>
    <row r="42" spans="2:162" ht="15" hidden="1" customHeight="1" outlineLevel="2">
      <c r="B42" s="459">
        <v>3</v>
      </c>
      <c r="C42" s="155" t="s">
        <v>149</v>
      </c>
      <c r="H42" s="224"/>
      <c r="I42" s="224"/>
      <c r="J42" s="224"/>
      <c r="K42" s="224"/>
      <c r="L42" s="224"/>
      <c r="M42" s="224"/>
      <c r="N42" s="225"/>
      <c r="O42" s="224"/>
      <c r="P42" s="224"/>
      <c r="Q42" s="224"/>
      <c r="R42" s="224"/>
      <c r="S42" s="224"/>
      <c r="T42" s="169"/>
      <c r="U42" s="183"/>
      <c r="V42" s="232"/>
      <c r="W42" s="222"/>
      <c r="X42" s="223"/>
      <c r="Y42" s="223"/>
      <c r="Z42" s="224"/>
      <c r="AA42" s="224"/>
      <c r="AB42" s="224"/>
      <c r="AC42" s="224"/>
      <c r="AD42" s="224"/>
      <c r="AE42" s="224"/>
      <c r="AF42" s="225"/>
      <c r="AG42" s="224"/>
      <c r="AH42" s="224"/>
      <c r="AI42" s="224"/>
      <c r="AJ42" s="224"/>
      <c r="AK42" s="224"/>
      <c r="AL42" s="169"/>
      <c r="AQ42" s="198"/>
      <c r="AR42" s="198"/>
      <c r="AS42" s="198"/>
      <c r="AT42" s="198"/>
      <c r="AU42" s="198"/>
      <c r="AV42" s="198"/>
      <c r="AW42" s="198"/>
      <c r="AX42" s="198"/>
      <c r="AY42" s="207"/>
      <c r="AZ42" s="207"/>
      <c r="BA42" s="207"/>
      <c r="BB42" s="207"/>
      <c r="BC42" s="207"/>
      <c r="BD42" s="244"/>
      <c r="BE42" s="232"/>
      <c r="BF42" s="222"/>
      <c r="BG42" s="223"/>
      <c r="BH42" s="223"/>
      <c r="BI42" s="224"/>
      <c r="BJ42" s="224"/>
      <c r="BK42" s="224"/>
      <c r="BL42" s="224"/>
      <c r="BM42" s="224"/>
      <c r="BN42" s="224"/>
      <c r="BO42" s="225"/>
      <c r="BP42" s="226"/>
      <c r="BQ42" s="226"/>
      <c r="BR42" s="226"/>
      <c r="BS42" s="226"/>
      <c r="BT42" s="226"/>
      <c r="BU42" s="169"/>
      <c r="BZ42" s="198"/>
      <c r="CA42" s="198"/>
      <c r="CB42" s="198"/>
      <c r="CC42" s="198"/>
      <c r="CD42" s="198"/>
      <c r="CE42" s="198"/>
      <c r="CF42" s="198"/>
      <c r="CG42" s="198"/>
      <c r="CH42" s="207"/>
      <c r="CI42" s="207"/>
      <c r="CJ42" s="207"/>
      <c r="CK42" s="207"/>
      <c r="CL42" s="207"/>
      <c r="CM42" s="244"/>
      <c r="CN42" s="232"/>
      <c r="CO42" s="222"/>
      <c r="CP42" s="223"/>
      <c r="CQ42" s="223"/>
      <c r="CR42" s="224"/>
      <c r="CS42" s="224"/>
      <c r="CT42" s="224"/>
      <c r="CU42" s="224"/>
      <c r="CV42" s="224"/>
      <c r="CW42" s="224"/>
      <c r="CX42" s="225"/>
      <c r="CY42" s="224"/>
      <c r="CZ42" s="224"/>
      <c r="DA42" s="224"/>
      <c r="DB42" s="224"/>
      <c r="DC42" s="224"/>
      <c r="DD42" s="183"/>
      <c r="DE42" s="227"/>
      <c r="DF42" s="227"/>
      <c r="DG42" s="227"/>
      <c r="DI42" s="198"/>
      <c r="DJ42" s="198"/>
      <c r="DK42" s="198"/>
      <c r="DL42" s="198"/>
      <c r="DM42" s="198"/>
      <c r="DN42" s="198"/>
      <c r="DO42" s="198"/>
      <c r="DP42" s="198"/>
      <c r="DQ42" s="207"/>
      <c r="DR42" s="207"/>
      <c r="DS42" s="207"/>
      <c r="DT42" s="207"/>
      <c r="DU42" s="207"/>
      <c r="DV42" s="207"/>
      <c r="DW42" s="244"/>
      <c r="DX42" s="232"/>
      <c r="DY42" s="222"/>
      <c r="DZ42" s="223"/>
      <c r="EA42" s="223"/>
      <c r="EB42" s="224"/>
      <c r="EC42" s="224"/>
      <c r="ED42" s="224"/>
      <c r="EE42" s="224"/>
      <c r="EF42" s="224"/>
      <c r="EG42" s="224"/>
      <c r="EH42" s="225"/>
      <c r="EI42" s="224"/>
      <c r="EJ42" s="224"/>
      <c r="EK42" s="224"/>
      <c r="EL42" s="224"/>
      <c r="EM42" s="224"/>
      <c r="EN42" s="183"/>
      <c r="EO42" s="227"/>
      <c r="EP42" s="227"/>
      <c r="EQ42" s="227"/>
      <c r="ES42" s="198"/>
      <c r="ET42" s="198"/>
      <c r="EU42" s="198"/>
      <c r="EV42" s="198"/>
      <c r="EW42" s="198"/>
      <c r="EX42" s="198"/>
      <c r="EY42" s="198"/>
      <c r="EZ42" s="198"/>
      <c r="FA42" s="207"/>
      <c r="FB42" s="207"/>
      <c r="FC42" s="207"/>
      <c r="FD42" s="207"/>
      <c r="FE42" s="207"/>
      <c r="FF42" s="207"/>
    </row>
    <row r="43" spans="2:162" ht="3" customHeight="1" outlineLevel="1">
      <c r="B43" s="220"/>
      <c r="H43" s="224"/>
      <c r="I43" s="224"/>
      <c r="J43" s="224"/>
      <c r="K43" s="224"/>
      <c r="L43" s="224"/>
      <c r="M43" s="224"/>
      <c r="N43" s="225"/>
      <c r="O43" s="224"/>
      <c r="P43" s="224"/>
      <c r="Q43" s="224"/>
      <c r="R43" s="224"/>
      <c r="S43" s="224"/>
      <c r="T43" s="169"/>
      <c r="U43" s="183"/>
      <c r="V43" s="232"/>
      <c r="W43" s="222"/>
      <c r="X43" s="223"/>
      <c r="Y43" s="223"/>
      <c r="Z43" s="224"/>
      <c r="AA43" s="224"/>
      <c r="AB43" s="224"/>
      <c r="AC43" s="224"/>
      <c r="AD43" s="224"/>
      <c r="AE43" s="224"/>
      <c r="AF43" s="225"/>
      <c r="AG43" s="224"/>
      <c r="AH43" s="224"/>
      <c r="AI43" s="224"/>
      <c r="AJ43" s="224"/>
      <c r="AK43" s="224"/>
      <c r="AL43" s="169"/>
      <c r="AQ43" s="198"/>
      <c r="AR43" s="198"/>
      <c r="AS43" s="198"/>
      <c r="AT43" s="198"/>
      <c r="AU43" s="198"/>
      <c r="AV43" s="198"/>
      <c r="AW43" s="198"/>
      <c r="AX43" s="198"/>
      <c r="AY43" s="207"/>
      <c r="AZ43" s="207"/>
      <c r="BA43" s="207"/>
      <c r="BB43" s="207"/>
      <c r="BC43" s="207"/>
      <c r="BD43" s="244"/>
      <c r="BE43" s="232"/>
      <c r="BF43" s="222"/>
      <c r="BG43" s="223"/>
      <c r="BH43" s="223"/>
      <c r="BI43" s="224"/>
      <c r="BJ43" s="224"/>
      <c r="BK43" s="224"/>
      <c r="BL43" s="224"/>
      <c r="BM43" s="224"/>
      <c r="BN43" s="224"/>
      <c r="BO43" s="225"/>
      <c r="BP43" s="226"/>
      <c r="BQ43" s="226"/>
      <c r="BR43" s="226"/>
      <c r="BS43" s="226"/>
      <c r="BT43" s="226"/>
      <c r="BU43" s="169"/>
      <c r="BZ43" s="198"/>
      <c r="CA43" s="198"/>
      <c r="CB43" s="198"/>
      <c r="CC43" s="198"/>
      <c r="CD43" s="198"/>
      <c r="CE43" s="198"/>
      <c r="CF43" s="198"/>
      <c r="CG43" s="198"/>
      <c r="CH43" s="207"/>
      <c r="CI43" s="207"/>
      <c r="CJ43" s="207"/>
      <c r="CK43" s="207"/>
      <c r="CL43" s="207"/>
      <c r="CM43" s="244"/>
      <c r="CN43" s="232"/>
      <c r="CO43" s="222"/>
      <c r="CP43" s="223"/>
      <c r="CQ43" s="223"/>
      <c r="CR43" s="224"/>
      <c r="CS43" s="224"/>
      <c r="CT43" s="224"/>
      <c r="CU43" s="224"/>
      <c r="CV43" s="224"/>
      <c r="CW43" s="224"/>
      <c r="CX43" s="225"/>
      <c r="CY43" s="224"/>
      <c r="CZ43" s="224"/>
      <c r="DA43" s="224"/>
      <c r="DB43" s="224"/>
      <c r="DC43" s="224"/>
      <c r="DD43" s="183"/>
      <c r="DE43" s="227"/>
      <c r="DF43" s="227"/>
      <c r="DG43" s="227"/>
      <c r="DI43" s="198"/>
      <c r="DJ43" s="198"/>
      <c r="DK43" s="198"/>
      <c r="DL43" s="198"/>
      <c r="DM43" s="198"/>
      <c r="DN43" s="198"/>
      <c r="DO43" s="198"/>
      <c r="DP43" s="198"/>
      <c r="DQ43" s="207"/>
      <c r="DR43" s="207"/>
      <c r="DS43" s="207"/>
      <c r="DT43" s="207"/>
      <c r="DU43" s="207"/>
      <c r="DV43" s="207"/>
      <c r="DW43" s="244"/>
      <c r="DX43" s="232"/>
      <c r="DY43" s="222"/>
      <c r="DZ43" s="223"/>
      <c r="EA43" s="223"/>
      <c r="EB43" s="224"/>
      <c r="EC43" s="224"/>
      <c r="ED43" s="224"/>
      <c r="EE43" s="224"/>
      <c r="EF43" s="224"/>
      <c r="EG43" s="224"/>
      <c r="EH43" s="225"/>
      <c r="EI43" s="224"/>
      <c r="EJ43" s="224"/>
      <c r="EK43" s="224"/>
      <c r="EL43" s="224"/>
      <c r="EM43" s="224"/>
      <c r="EN43" s="183"/>
      <c r="EO43" s="227"/>
      <c r="EP43" s="227"/>
      <c r="EQ43" s="227"/>
      <c r="ES43" s="198"/>
      <c r="ET43" s="198"/>
      <c r="EU43" s="198"/>
      <c r="EV43" s="198"/>
      <c r="EW43" s="198"/>
      <c r="EX43" s="198"/>
      <c r="EY43" s="198"/>
      <c r="EZ43" s="198"/>
      <c r="FA43" s="207"/>
      <c r="FB43" s="207"/>
      <c r="FC43" s="207"/>
      <c r="FD43" s="207"/>
      <c r="FE43" s="207"/>
      <c r="FF43" s="207"/>
    </row>
    <row r="44" spans="2:162" ht="15" outlineLevel="1" collapsed="1">
      <c r="B44" s="208">
        <v>6</v>
      </c>
      <c r="C44" s="209" t="s">
        <v>40</v>
      </c>
      <c r="D44" s="313"/>
      <c r="E44" s="332">
        <f>X44+BG44+CP44+DZ44</f>
        <v>1.1588274950000002</v>
      </c>
      <c r="F44" s="332">
        <f>Y44+BH44+CQ44+EA44</f>
        <v>1.1588274950000002</v>
      </c>
      <c r="G44" s="332">
        <f t="shared" ref="G44" si="118">E44-F44</f>
        <v>0</v>
      </c>
      <c r="H44" s="332">
        <f t="shared" ref="H44:M44" si="119">Z44+BI44+CR44+EB44</f>
        <v>1.1588274950000002</v>
      </c>
      <c r="I44" s="332">
        <f t="shared" si="119"/>
        <v>0</v>
      </c>
      <c r="J44" s="332">
        <f t="shared" si="119"/>
        <v>0</v>
      </c>
      <c r="K44" s="332">
        <f t="shared" si="119"/>
        <v>0</v>
      </c>
      <c r="L44" s="332">
        <f t="shared" si="119"/>
        <v>0</v>
      </c>
      <c r="M44" s="332">
        <f t="shared" si="119"/>
        <v>0</v>
      </c>
      <c r="N44" s="333"/>
      <c r="O44" s="334">
        <f>AG44+BP44+CY44+EI44</f>
        <v>0</v>
      </c>
      <c r="P44" s="334">
        <f>AH44+BQ44+CZ44+EJ44</f>
        <v>0</v>
      </c>
      <c r="Q44" s="334">
        <f>AI44+BR44+DA44+EK44</f>
        <v>0</v>
      </c>
      <c r="R44" s="334">
        <f>AJ44+BS44+DB44+EL44</f>
        <v>0</v>
      </c>
      <c r="S44" s="334">
        <f>AK44+BT44+DC44+EM44</f>
        <v>0</v>
      </c>
      <c r="T44" s="331"/>
      <c r="U44" s="183"/>
      <c r="V44" s="210">
        <v>0.05</v>
      </c>
      <c r="W44" s="210"/>
      <c r="X44" s="292">
        <f>V44*($V$4*'BOQ COST'!$E$4)</f>
        <v>1.1445000000000001</v>
      </c>
      <c r="Y44" s="292">
        <f>Z44+AG44</f>
        <v>1.1445000000000001</v>
      </c>
      <c r="Z44" s="293">
        <f>X44</f>
        <v>1.1445000000000001</v>
      </c>
      <c r="AA44" s="212"/>
      <c r="AB44" s="212"/>
      <c r="AC44" s="293">
        <f t="shared" ref="AC44:AE44" si="120">SUM(AC45:AC48)</f>
        <v>0</v>
      </c>
      <c r="AD44" s="293">
        <f t="shared" si="120"/>
        <v>0</v>
      </c>
      <c r="AE44" s="293">
        <f t="shared" si="120"/>
        <v>0</v>
      </c>
      <c r="AF44" s="213"/>
      <c r="AG44" s="293">
        <f>AA44</f>
        <v>0</v>
      </c>
      <c r="AH44" s="293">
        <f>AG44</f>
        <v>0</v>
      </c>
      <c r="AI44" s="293">
        <f t="shared" ref="AI44:AK44" si="121">SUM(AI45:AI50)</f>
        <v>0</v>
      </c>
      <c r="AJ44" s="293">
        <f t="shared" si="121"/>
        <v>0</v>
      </c>
      <c r="AK44" s="293">
        <f t="shared" si="121"/>
        <v>0</v>
      </c>
      <c r="AL44" s="169"/>
      <c r="AM44" s="350"/>
      <c r="AN44" s="350"/>
      <c r="AO44" s="350"/>
      <c r="AP44" s="293">
        <f t="shared" ref="AP44:AW44" si="122">SUM(AP45:AP50)</f>
        <v>0</v>
      </c>
      <c r="AQ44" s="363">
        <f t="shared" si="122"/>
        <v>0</v>
      </c>
      <c r="AR44" s="363">
        <f t="shared" si="122"/>
        <v>0</v>
      </c>
      <c r="AS44" s="363">
        <f t="shared" si="122"/>
        <v>0</v>
      </c>
      <c r="AT44" s="363">
        <f t="shared" si="122"/>
        <v>0</v>
      </c>
      <c r="AU44" s="363">
        <f t="shared" si="122"/>
        <v>0</v>
      </c>
      <c r="AV44" s="363">
        <f t="shared" si="122"/>
        <v>0</v>
      </c>
      <c r="AW44" s="363">
        <f t="shared" si="122"/>
        <v>0</v>
      </c>
      <c r="AX44" s="216"/>
      <c r="AY44" s="246"/>
      <c r="AZ44" s="246"/>
      <c r="BA44" s="246"/>
      <c r="BB44" s="246"/>
      <c r="BC44" s="246"/>
      <c r="BD44" s="219"/>
      <c r="BE44" s="210"/>
      <c r="BF44" s="210"/>
      <c r="BG44" s="211"/>
      <c r="BH44" s="292">
        <f>BI44+BP44</f>
        <v>0</v>
      </c>
      <c r="BI44" s="212"/>
      <c r="BJ44" s="293">
        <f>BG44</f>
        <v>0</v>
      </c>
      <c r="BK44" s="293">
        <f>BJ44</f>
        <v>0</v>
      </c>
      <c r="BL44" s="293">
        <f t="shared" ref="BL44:BN44" si="123">SUM(BL45:BL50)</f>
        <v>0</v>
      </c>
      <c r="BM44" s="293">
        <f t="shared" si="123"/>
        <v>0</v>
      </c>
      <c r="BN44" s="293">
        <f t="shared" si="123"/>
        <v>0</v>
      </c>
      <c r="BO44" s="213"/>
      <c r="BP44" s="214"/>
      <c r="BQ44" s="214"/>
      <c r="BR44" s="245"/>
      <c r="BS44" s="245"/>
      <c r="BT44" s="245"/>
      <c r="BU44" s="169"/>
      <c r="BV44" s="350"/>
      <c r="BW44" s="350"/>
      <c r="BX44" s="350"/>
      <c r="BY44" s="350">
        <f t="shared" ref="BY44:CF44" si="124">SUM(BY45:BY50)</f>
        <v>0</v>
      </c>
      <c r="BZ44" s="293">
        <f t="shared" si="124"/>
        <v>0</v>
      </c>
      <c r="CA44" s="293">
        <f t="shared" si="124"/>
        <v>0</v>
      </c>
      <c r="CB44" s="293">
        <f t="shared" si="124"/>
        <v>0</v>
      </c>
      <c r="CC44" s="293">
        <f t="shared" si="124"/>
        <v>0</v>
      </c>
      <c r="CD44" s="293">
        <f t="shared" si="124"/>
        <v>0</v>
      </c>
      <c r="CE44" s="293">
        <f t="shared" si="124"/>
        <v>0</v>
      </c>
      <c r="CF44" s="293">
        <f t="shared" si="124"/>
        <v>0</v>
      </c>
      <c r="CG44" s="216"/>
      <c r="CH44" s="246"/>
      <c r="CI44" s="246"/>
      <c r="CJ44" s="246"/>
      <c r="CK44" s="246"/>
      <c r="CL44" s="246"/>
      <c r="CM44" s="219"/>
      <c r="CN44" s="210">
        <v>0</v>
      </c>
      <c r="CO44" s="210"/>
      <c r="CP44" s="292">
        <f>CN44*($CN$4*'BOQ COST'!$G$4)</f>
        <v>0</v>
      </c>
      <c r="CQ44" s="292">
        <f>CR44+CY44</f>
        <v>0</v>
      </c>
      <c r="CR44" s="212"/>
      <c r="CS44" s="293">
        <f>CP44</f>
        <v>0</v>
      </c>
      <c r="CT44" s="293">
        <f>CS44</f>
        <v>0</v>
      </c>
      <c r="CU44" s="293">
        <f t="shared" ref="CU44:CW44" si="125">SUM(CU45:CU50)</f>
        <v>0</v>
      </c>
      <c r="CV44" s="293">
        <f t="shared" si="125"/>
        <v>0</v>
      </c>
      <c r="CW44" s="293">
        <f t="shared" si="125"/>
        <v>0</v>
      </c>
      <c r="CX44" s="213"/>
      <c r="CY44" s="293">
        <f>CV44</f>
        <v>0</v>
      </c>
      <c r="CZ44" s="293">
        <f>CY44</f>
        <v>0</v>
      </c>
      <c r="DA44" s="293">
        <f t="shared" ref="DA44:DC44" si="126">SUM(DA45:DA50)</f>
        <v>0</v>
      </c>
      <c r="DB44" s="293">
        <f t="shared" si="126"/>
        <v>0</v>
      </c>
      <c r="DC44" s="293">
        <f t="shared" si="126"/>
        <v>0</v>
      </c>
      <c r="DD44" s="183"/>
      <c r="DE44" s="215"/>
      <c r="DF44" s="215"/>
      <c r="DG44" s="215"/>
      <c r="DH44" s="293">
        <f t="shared" ref="DH44:DO44" si="127">SUM(DH45:DH50)</f>
        <v>0</v>
      </c>
      <c r="DI44" s="293">
        <f t="shared" si="127"/>
        <v>0</v>
      </c>
      <c r="DJ44" s="293">
        <f t="shared" si="127"/>
        <v>0</v>
      </c>
      <c r="DK44" s="293">
        <f t="shared" si="127"/>
        <v>0</v>
      </c>
      <c r="DL44" s="293">
        <f t="shared" si="127"/>
        <v>0</v>
      </c>
      <c r="DM44" s="293">
        <f t="shared" si="127"/>
        <v>0</v>
      </c>
      <c r="DN44" s="293">
        <f t="shared" si="127"/>
        <v>0</v>
      </c>
      <c r="DO44" s="293">
        <f t="shared" si="127"/>
        <v>0</v>
      </c>
      <c r="DP44" s="216"/>
      <c r="DQ44" s="246"/>
      <c r="DR44" s="246"/>
      <c r="DS44" s="246"/>
      <c r="DT44" s="246"/>
      <c r="DU44" s="246"/>
      <c r="DV44" s="246"/>
      <c r="DW44" s="219"/>
      <c r="DX44" s="210">
        <v>0.05</v>
      </c>
      <c r="DY44" s="210"/>
      <c r="DZ44" s="292">
        <f>DX44*($DX$4*'BOQ COST'!$H$4)</f>
        <v>1.4327495000000003E-2</v>
      </c>
      <c r="EA44" s="292">
        <f>EB44+EI44</f>
        <v>1.4327495000000003E-2</v>
      </c>
      <c r="EB44" s="293">
        <f>DZ44</f>
        <v>1.4327495000000003E-2</v>
      </c>
      <c r="EC44" s="212"/>
      <c r="ED44" s="212"/>
      <c r="EE44" s="293">
        <f t="shared" ref="EE44:EG44" si="128">SUM(EE45:EE48)</f>
        <v>0</v>
      </c>
      <c r="EF44" s="293">
        <f t="shared" si="128"/>
        <v>0</v>
      </c>
      <c r="EG44" s="293">
        <f t="shared" si="128"/>
        <v>0</v>
      </c>
      <c r="EH44" s="213"/>
      <c r="EI44" s="293">
        <f>EC44</f>
        <v>0</v>
      </c>
      <c r="EJ44" s="293">
        <f>EI44</f>
        <v>0</v>
      </c>
      <c r="EK44" s="293">
        <f t="shared" ref="EK44" si="129">SUM(EK51:EK53)</f>
        <v>0</v>
      </c>
      <c r="EL44" s="293">
        <f t="shared" ref="EL44:EM44" si="130">SUM(EL45:EL50)</f>
        <v>0</v>
      </c>
      <c r="EM44" s="293">
        <f t="shared" si="130"/>
        <v>0</v>
      </c>
      <c r="EN44" s="183"/>
      <c r="EO44" s="215"/>
      <c r="EP44" s="215"/>
      <c r="EQ44" s="215"/>
      <c r="ER44" s="293">
        <f t="shared" ref="ER44:EY44" si="131">SUM(ER45:ER50)</f>
        <v>0</v>
      </c>
      <c r="ES44" s="293">
        <f t="shared" si="131"/>
        <v>0</v>
      </c>
      <c r="ET44" s="293">
        <f t="shared" si="131"/>
        <v>0</v>
      </c>
      <c r="EU44" s="293">
        <f t="shared" si="131"/>
        <v>0</v>
      </c>
      <c r="EV44" s="293">
        <f t="shared" si="131"/>
        <v>0</v>
      </c>
      <c r="EW44" s="293">
        <f t="shared" si="131"/>
        <v>0</v>
      </c>
      <c r="EX44" s="293">
        <f t="shared" si="131"/>
        <v>0</v>
      </c>
      <c r="EY44" s="293">
        <f t="shared" si="131"/>
        <v>0</v>
      </c>
      <c r="EZ44" s="216"/>
      <c r="FA44" s="246"/>
      <c r="FB44" s="246"/>
      <c r="FC44" s="246"/>
      <c r="FD44" s="246"/>
      <c r="FE44" s="246"/>
      <c r="FF44" s="246"/>
    </row>
    <row r="45" spans="2:162" ht="11.85" hidden="1" customHeight="1" outlineLevel="2">
      <c r="B45" s="459">
        <v>1</v>
      </c>
      <c r="C45" s="155" t="s">
        <v>41</v>
      </c>
      <c r="H45" s="224"/>
      <c r="I45" s="224"/>
      <c r="J45" s="224"/>
      <c r="K45" s="224"/>
      <c r="L45" s="224"/>
      <c r="M45" s="224"/>
      <c r="N45" s="225"/>
      <c r="O45" s="226"/>
      <c r="P45" s="226"/>
      <c r="Q45" s="226"/>
      <c r="R45" s="226"/>
      <c r="S45" s="226"/>
      <c r="T45" s="169"/>
      <c r="U45" s="183"/>
      <c r="V45" s="232"/>
      <c r="W45" s="222"/>
      <c r="X45" s="223"/>
      <c r="Y45" s="223"/>
      <c r="Z45" s="224"/>
      <c r="AA45" s="224"/>
      <c r="AB45" s="224"/>
      <c r="AC45" s="224"/>
      <c r="AD45" s="224"/>
      <c r="AE45" s="224"/>
      <c r="AF45" s="225"/>
      <c r="AG45" s="226"/>
      <c r="AH45" s="226"/>
      <c r="AI45" s="226"/>
      <c r="AJ45" s="226"/>
      <c r="AK45" s="226"/>
      <c r="AL45" s="169"/>
      <c r="AR45" s="198"/>
      <c r="AS45" s="198"/>
      <c r="AT45" s="198"/>
      <c r="AU45" s="198"/>
      <c r="AV45" s="198"/>
      <c r="AW45" s="198"/>
      <c r="AX45" s="198"/>
      <c r="AY45" s="207"/>
      <c r="AZ45" s="207"/>
      <c r="BA45" s="207"/>
      <c r="BB45" s="207"/>
      <c r="BC45" s="207"/>
      <c r="BD45" s="198"/>
      <c r="BE45" s="232"/>
      <c r="BF45" s="222"/>
      <c r="BG45" s="223"/>
      <c r="BH45" s="223"/>
      <c r="BI45" s="224"/>
      <c r="BJ45" s="224"/>
      <c r="BK45" s="224"/>
      <c r="BL45" s="224"/>
      <c r="BM45" s="224"/>
      <c r="BN45" s="224"/>
      <c r="BO45" s="225"/>
      <c r="BP45" s="226"/>
      <c r="BQ45" s="226"/>
      <c r="BR45" s="226"/>
      <c r="BS45" s="226"/>
      <c r="BT45" s="226"/>
      <c r="BU45" s="169"/>
      <c r="CA45" s="198"/>
      <c r="CB45" s="198"/>
      <c r="CC45" s="198"/>
      <c r="CD45" s="198"/>
      <c r="CE45" s="198"/>
      <c r="CF45" s="198"/>
      <c r="CG45" s="198"/>
      <c r="CH45" s="207"/>
      <c r="CI45" s="207"/>
      <c r="CJ45" s="207"/>
      <c r="CK45" s="207"/>
      <c r="CL45" s="207"/>
      <c r="CM45" s="198"/>
      <c r="CN45" s="232"/>
      <c r="CO45" s="222"/>
      <c r="CP45" s="223"/>
      <c r="CQ45" s="223"/>
      <c r="CR45" s="224"/>
      <c r="CS45" s="224"/>
      <c r="CT45" s="224"/>
      <c r="CU45" s="224"/>
      <c r="CV45" s="224"/>
      <c r="CW45" s="224"/>
      <c r="CX45" s="225"/>
      <c r="CY45" s="224"/>
      <c r="CZ45" s="224"/>
      <c r="DA45" s="224"/>
      <c r="DB45" s="224"/>
      <c r="DC45" s="224"/>
      <c r="DD45" s="183"/>
      <c r="DE45" s="227"/>
      <c r="DF45" s="227"/>
      <c r="DG45" s="227"/>
      <c r="DJ45" s="198"/>
      <c r="DK45" s="198"/>
      <c r="DL45" s="198"/>
      <c r="DM45" s="198"/>
      <c r="DN45" s="198"/>
      <c r="DO45" s="198"/>
      <c r="DP45" s="198"/>
      <c r="DQ45" s="207"/>
      <c r="DR45" s="207"/>
      <c r="DS45" s="207"/>
      <c r="DT45" s="207"/>
      <c r="DU45" s="207"/>
      <c r="DV45" s="207"/>
      <c r="DW45" s="198"/>
      <c r="DX45" s="232"/>
      <c r="DY45" s="222"/>
      <c r="DZ45" s="223"/>
      <c r="EA45" s="223"/>
      <c r="EB45" s="224"/>
      <c r="EC45" s="224"/>
      <c r="ED45" s="224"/>
      <c r="EE45" s="224"/>
      <c r="EF45" s="224"/>
      <c r="EG45" s="224"/>
      <c r="EH45" s="225"/>
      <c r="EI45" s="224"/>
      <c r="EJ45" s="224"/>
      <c r="EK45" s="224"/>
      <c r="EL45" s="224"/>
      <c r="EM45" s="224"/>
      <c r="EN45" s="183"/>
      <c r="EO45" s="227"/>
      <c r="EP45" s="227"/>
      <c r="EQ45" s="227"/>
      <c r="ET45" s="198"/>
      <c r="EU45" s="198"/>
      <c r="EV45" s="198"/>
      <c r="EW45" s="198"/>
      <c r="EX45" s="198"/>
      <c r="EY45" s="198"/>
      <c r="EZ45" s="198"/>
      <c r="FA45" s="207"/>
      <c r="FB45" s="207"/>
      <c r="FC45" s="207"/>
      <c r="FD45" s="207"/>
      <c r="FE45" s="207"/>
      <c r="FF45" s="207"/>
    </row>
    <row r="46" spans="2:162" ht="11.85" hidden="1" customHeight="1" outlineLevel="2">
      <c r="B46" s="459">
        <v>2</v>
      </c>
      <c r="C46" s="155" t="s">
        <v>30</v>
      </c>
      <c r="H46" s="224"/>
      <c r="I46" s="224"/>
      <c r="J46" s="224"/>
      <c r="K46" s="224"/>
      <c r="L46" s="224"/>
      <c r="M46" s="224"/>
      <c r="N46" s="225"/>
      <c r="O46" s="226"/>
      <c r="P46" s="226"/>
      <c r="Q46" s="226"/>
      <c r="R46" s="226"/>
      <c r="S46" s="226"/>
      <c r="T46" s="169"/>
      <c r="U46" s="183"/>
      <c r="V46" s="232"/>
      <c r="W46" s="222"/>
      <c r="X46" s="223"/>
      <c r="Y46" s="223"/>
      <c r="Z46" s="224"/>
      <c r="AA46" s="224"/>
      <c r="AB46" s="224"/>
      <c r="AC46" s="224"/>
      <c r="AD46" s="224"/>
      <c r="AE46" s="224"/>
      <c r="AF46" s="225"/>
      <c r="AG46" s="226"/>
      <c r="AH46" s="226"/>
      <c r="AI46" s="226"/>
      <c r="AJ46" s="226"/>
      <c r="AK46" s="226"/>
      <c r="AL46" s="169"/>
      <c r="AR46" s="198"/>
      <c r="AS46" s="198"/>
      <c r="AT46" s="198"/>
      <c r="AU46" s="198"/>
      <c r="AV46" s="198"/>
      <c r="AW46" s="198"/>
      <c r="AX46" s="198"/>
      <c r="AY46" s="207"/>
      <c r="AZ46" s="207"/>
      <c r="BA46" s="207"/>
      <c r="BB46" s="207"/>
      <c r="BC46" s="207"/>
      <c r="BD46" s="198"/>
      <c r="BE46" s="232"/>
      <c r="BF46" s="222"/>
      <c r="BG46" s="223"/>
      <c r="BH46" s="223"/>
      <c r="BI46" s="224"/>
      <c r="BJ46" s="224"/>
      <c r="BK46" s="224"/>
      <c r="BL46" s="224"/>
      <c r="BM46" s="224"/>
      <c r="BN46" s="224"/>
      <c r="BO46" s="225"/>
      <c r="BP46" s="226"/>
      <c r="BQ46" s="226"/>
      <c r="BR46" s="226"/>
      <c r="BS46" s="226"/>
      <c r="BT46" s="226"/>
      <c r="BU46" s="169"/>
      <c r="CA46" s="198"/>
      <c r="CB46" s="198"/>
      <c r="CC46" s="198"/>
      <c r="CD46" s="198"/>
      <c r="CE46" s="198"/>
      <c r="CF46" s="198"/>
      <c r="CG46" s="198"/>
      <c r="CH46" s="207"/>
      <c r="CI46" s="207"/>
      <c r="CJ46" s="207"/>
      <c r="CK46" s="207"/>
      <c r="CL46" s="207"/>
      <c r="CM46" s="198"/>
      <c r="CN46" s="232"/>
      <c r="CO46" s="222"/>
      <c r="CP46" s="223"/>
      <c r="CQ46" s="223"/>
      <c r="CR46" s="224"/>
      <c r="CS46" s="224"/>
      <c r="CT46" s="224"/>
      <c r="CU46" s="224"/>
      <c r="CV46" s="224"/>
      <c r="CW46" s="224"/>
      <c r="CX46" s="225"/>
      <c r="CY46" s="224"/>
      <c r="CZ46" s="224"/>
      <c r="DA46" s="224"/>
      <c r="DB46" s="224"/>
      <c r="DC46" s="224"/>
      <c r="DD46" s="183"/>
      <c r="DE46" s="227"/>
      <c r="DF46" s="227"/>
      <c r="DG46" s="227"/>
      <c r="DJ46" s="198"/>
      <c r="DK46" s="198"/>
      <c r="DL46" s="198"/>
      <c r="DM46" s="198"/>
      <c r="DN46" s="198"/>
      <c r="DO46" s="198"/>
      <c r="DP46" s="198"/>
      <c r="DQ46" s="207"/>
      <c r="DR46" s="207"/>
      <c r="DS46" s="207"/>
      <c r="DT46" s="207"/>
      <c r="DU46" s="207"/>
      <c r="DV46" s="207"/>
      <c r="DW46" s="198"/>
      <c r="DX46" s="232"/>
      <c r="DY46" s="222"/>
      <c r="DZ46" s="223"/>
      <c r="EA46" s="223"/>
      <c r="EB46" s="224"/>
      <c r="EC46" s="224"/>
      <c r="ED46" s="224"/>
      <c r="EE46" s="224"/>
      <c r="EF46" s="224"/>
      <c r="EG46" s="224"/>
      <c r="EH46" s="225"/>
      <c r="EI46" s="224"/>
      <c r="EJ46" s="224"/>
      <c r="EK46" s="224"/>
      <c r="EL46" s="224"/>
      <c r="EM46" s="224"/>
      <c r="EN46" s="183"/>
      <c r="EO46" s="227"/>
      <c r="EP46" s="227"/>
      <c r="EQ46" s="227"/>
      <c r="ET46" s="198"/>
      <c r="EU46" s="198"/>
      <c r="EV46" s="198"/>
      <c r="EW46" s="198"/>
      <c r="EX46" s="198"/>
      <c r="EY46" s="198"/>
      <c r="EZ46" s="198"/>
      <c r="FA46" s="207"/>
      <c r="FB46" s="207"/>
      <c r="FC46" s="207"/>
      <c r="FD46" s="207"/>
      <c r="FE46" s="207"/>
      <c r="FF46" s="207"/>
    </row>
    <row r="47" spans="2:162" ht="11.85" hidden="1" customHeight="1" outlineLevel="2">
      <c r="B47" s="459">
        <v>3</v>
      </c>
      <c r="C47" s="155" t="s">
        <v>31</v>
      </c>
      <c r="H47" s="224"/>
      <c r="I47" s="224"/>
      <c r="J47" s="224"/>
      <c r="K47" s="224"/>
      <c r="L47" s="224"/>
      <c r="M47" s="224"/>
      <c r="N47" s="225"/>
      <c r="O47" s="226"/>
      <c r="P47" s="226"/>
      <c r="Q47" s="226"/>
      <c r="R47" s="226"/>
      <c r="S47" s="226"/>
      <c r="T47" s="169"/>
      <c r="U47" s="183"/>
      <c r="V47" s="232"/>
      <c r="W47" s="222"/>
      <c r="X47" s="223"/>
      <c r="Y47" s="223"/>
      <c r="Z47" s="224"/>
      <c r="AA47" s="224"/>
      <c r="AB47" s="224"/>
      <c r="AC47" s="224"/>
      <c r="AD47" s="224"/>
      <c r="AE47" s="224"/>
      <c r="AF47" s="225"/>
      <c r="AG47" s="226"/>
      <c r="AH47" s="226"/>
      <c r="AI47" s="226"/>
      <c r="AJ47" s="226"/>
      <c r="AK47" s="226"/>
      <c r="AL47" s="169"/>
      <c r="AR47" s="198"/>
      <c r="AS47" s="198"/>
      <c r="AT47" s="198"/>
      <c r="AU47" s="198"/>
      <c r="AV47" s="198"/>
      <c r="AW47" s="198"/>
      <c r="AX47" s="198"/>
      <c r="AY47" s="207"/>
      <c r="AZ47" s="207"/>
      <c r="BA47" s="207"/>
      <c r="BB47" s="207"/>
      <c r="BC47" s="207"/>
      <c r="BD47" s="198"/>
      <c r="BE47" s="232"/>
      <c r="BF47" s="222"/>
      <c r="BG47" s="223"/>
      <c r="BH47" s="223"/>
      <c r="BI47" s="224"/>
      <c r="BJ47" s="224"/>
      <c r="BK47" s="224"/>
      <c r="BL47" s="224"/>
      <c r="BM47" s="224"/>
      <c r="BN47" s="224"/>
      <c r="BO47" s="225"/>
      <c r="BP47" s="226"/>
      <c r="BQ47" s="226"/>
      <c r="BR47" s="226"/>
      <c r="BS47" s="226"/>
      <c r="BT47" s="226"/>
      <c r="BU47" s="169"/>
      <c r="CA47" s="198"/>
      <c r="CB47" s="198"/>
      <c r="CC47" s="198"/>
      <c r="CD47" s="198"/>
      <c r="CE47" s="198"/>
      <c r="CF47" s="198"/>
      <c r="CG47" s="198"/>
      <c r="CH47" s="207"/>
      <c r="CI47" s="207"/>
      <c r="CJ47" s="207"/>
      <c r="CK47" s="207"/>
      <c r="CL47" s="207"/>
      <c r="CM47" s="198"/>
      <c r="CN47" s="232"/>
      <c r="CO47" s="222"/>
      <c r="CP47" s="223"/>
      <c r="CQ47" s="223"/>
      <c r="CR47" s="224"/>
      <c r="CS47" s="224"/>
      <c r="CT47" s="224"/>
      <c r="CU47" s="224"/>
      <c r="CV47" s="224"/>
      <c r="CW47" s="224"/>
      <c r="CX47" s="225"/>
      <c r="CY47" s="224"/>
      <c r="CZ47" s="224"/>
      <c r="DA47" s="224"/>
      <c r="DB47" s="224"/>
      <c r="DC47" s="224"/>
      <c r="DD47" s="183"/>
      <c r="DE47" s="227"/>
      <c r="DF47" s="227"/>
      <c r="DG47" s="227"/>
      <c r="DJ47" s="198"/>
      <c r="DK47" s="198"/>
      <c r="DL47" s="198"/>
      <c r="DM47" s="198"/>
      <c r="DN47" s="198"/>
      <c r="DO47" s="198"/>
      <c r="DP47" s="198"/>
      <c r="DQ47" s="207"/>
      <c r="DR47" s="207"/>
      <c r="DS47" s="207"/>
      <c r="DT47" s="207"/>
      <c r="DU47" s="207"/>
      <c r="DV47" s="207"/>
      <c r="DW47" s="198"/>
      <c r="DX47" s="232"/>
      <c r="DY47" s="222"/>
      <c r="DZ47" s="223"/>
      <c r="EA47" s="223"/>
      <c r="EB47" s="224"/>
      <c r="EC47" s="224"/>
      <c r="ED47" s="224"/>
      <c r="EE47" s="224"/>
      <c r="EF47" s="224"/>
      <c r="EG47" s="224"/>
      <c r="EH47" s="225"/>
      <c r="EI47" s="224"/>
      <c r="EJ47" s="224"/>
      <c r="EK47" s="224"/>
      <c r="EL47" s="224"/>
      <c r="EM47" s="224"/>
      <c r="EN47" s="183"/>
      <c r="EO47" s="227"/>
      <c r="EP47" s="227"/>
      <c r="EQ47" s="227"/>
      <c r="ET47" s="198"/>
      <c r="EU47" s="198"/>
      <c r="EV47" s="198"/>
      <c r="EW47" s="198"/>
      <c r="EX47" s="198"/>
      <c r="EY47" s="198"/>
      <c r="EZ47" s="198"/>
      <c r="FA47" s="207"/>
      <c r="FB47" s="207"/>
      <c r="FC47" s="207"/>
      <c r="FD47" s="207"/>
      <c r="FE47" s="207"/>
      <c r="FF47" s="207"/>
    </row>
    <row r="48" spans="2:162" ht="11.85" hidden="1" customHeight="1" outlineLevel="2">
      <c r="B48" s="459">
        <v>4</v>
      </c>
      <c r="C48" s="155" t="s">
        <v>42</v>
      </c>
      <c r="H48" s="224"/>
      <c r="I48" s="224"/>
      <c r="J48" s="224"/>
      <c r="K48" s="224"/>
      <c r="L48" s="224"/>
      <c r="M48" s="224"/>
      <c r="N48" s="225"/>
      <c r="O48" s="226"/>
      <c r="P48" s="226"/>
      <c r="Q48" s="226"/>
      <c r="R48" s="226"/>
      <c r="S48" s="226"/>
      <c r="T48" s="169"/>
      <c r="U48" s="183"/>
      <c r="V48" s="232"/>
      <c r="W48" s="222"/>
      <c r="X48" s="223"/>
      <c r="Y48" s="223"/>
      <c r="Z48" s="224"/>
      <c r="AA48" s="224"/>
      <c r="AB48" s="224"/>
      <c r="AC48" s="224"/>
      <c r="AD48" s="224"/>
      <c r="AE48" s="224"/>
      <c r="AF48" s="225"/>
      <c r="AG48" s="226"/>
      <c r="AH48" s="226"/>
      <c r="AI48" s="226"/>
      <c r="AJ48" s="226"/>
      <c r="AK48" s="226"/>
      <c r="AL48" s="169"/>
      <c r="AQ48" s="198"/>
      <c r="AR48" s="198"/>
      <c r="AS48" s="198"/>
      <c r="AT48" s="198"/>
      <c r="AU48" s="198"/>
      <c r="AV48" s="198"/>
      <c r="AW48" s="198"/>
      <c r="AX48" s="198"/>
      <c r="AY48" s="207"/>
      <c r="AZ48" s="207"/>
      <c r="BA48" s="207"/>
      <c r="BB48" s="207"/>
      <c r="BC48" s="207"/>
      <c r="BD48" s="244"/>
      <c r="BE48" s="232"/>
      <c r="BF48" s="222"/>
      <c r="BG48" s="223"/>
      <c r="BH48" s="223"/>
      <c r="BI48" s="224"/>
      <c r="BJ48" s="224"/>
      <c r="BK48" s="224"/>
      <c r="BL48" s="224"/>
      <c r="BM48" s="224"/>
      <c r="BN48" s="224"/>
      <c r="BO48" s="225"/>
      <c r="BP48" s="226"/>
      <c r="BQ48" s="226"/>
      <c r="BR48" s="226"/>
      <c r="BS48" s="226"/>
      <c r="BT48" s="226"/>
      <c r="BU48" s="169"/>
      <c r="BZ48" s="198"/>
      <c r="CA48" s="198"/>
      <c r="CB48" s="198"/>
      <c r="CC48" s="198"/>
      <c r="CD48" s="198"/>
      <c r="CE48" s="198"/>
      <c r="CF48" s="198"/>
      <c r="CG48" s="198"/>
      <c r="CH48" s="207"/>
      <c r="CI48" s="207"/>
      <c r="CJ48" s="207"/>
      <c r="CK48" s="207"/>
      <c r="CL48" s="207"/>
      <c r="CM48" s="244"/>
      <c r="CN48" s="232"/>
      <c r="CO48" s="222"/>
      <c r="CP48" s="223"/>
      <c r="CQ48" s="223"/>
      <c r="CR48" s="224"/>
      <c r="CS48" s="224"/>
      <c r="CT48" s="224"/>
      <c r="CU48" s="224"/>
      <c r="CV48" s="224"/>
      <c r="CW48" s="224"/>
      <c r="CX48" s="225"/>
      <c r="CY48" s="224"/>
      <c r="CZ48" s="224"/>
      <c r="DA48" s="224"/>
      <c r="DB48" s="224"/>
      <c r="DC48" s="224"/>
      <c r="DD48" s="183"/>
      <c r="DE48" s="227"/>
      <c r="DF48" s="227"/>
      <c r="DG48" s="227"/>
      <c r="DI48" s="198"/>
      <c r="DJ48" s="198"/>
      <c r="DK48" s="198"/>
      <c r="DL48" s="198"/>
      <c r="DM48" s="198"/>
      <c r="DN48" s="198"/>
      <c r="DO48" s="198"/>
      <c r="DP48" s="198"/>
      <c r="DQ48" s="207"/>
      <c r="DR48" s="207"/>
      <c r="DS48" s="207"/>
      <c r="DT48" s="207"/>
      <c r="DU48" s="207"/>
      <c r="DV48" s="207"/>
      <c r="DW48" s="244"/>
      <c r="DX48" s="232"/>
      <c r="DY48" s="222"/>
      <c r="DZ48" s="223"/>
      <c r="EA48" s="223"/>
      <c r="EB48" s="224"/>
      <c r="EC48" s="224"/>
      <c r="ED48" s="224"/>
      <c r="EE48" s="224"/>
      <c r="EF48" s="224"/>
      <c r="EG48" s="224"/>
      <c r="EH48" s="225"/>
      <c r="EI48" s="224"/>
      <c r="EJ48" s="224"/>
      <c r="EK48" s="224"/>
      <c r="EL48" s="224"/>
      <c r="EM48" s="224"/>
      <c r="EN48" s="183"/>
      <c r="EO48" s="227"/>
      <c r="EP48" s="227"/>
      <c r="EQ48" s="227"/>
      <c r="ES48" s="198"/>
      <c r="ET48" s="198"/>
      <c r="EU48" s="198"/>
      <c r="EV48" s="198"/>
      <c r="EW48" s="198"/>
      <c r="EX48" s="198"/>
      <c r="EY48" s="198"/>
      <c r="EZ48" s="198"/>
      <c r="FA48" s="207"/>
      <c r="FB48" s="207"/>
      <c r="FC48" s="207"/>
      <c r="FD48" s="207"/>
      <c r="FE48" s="207"/>
      <c r="FF48" s="207"/>
    </row>
    <row r="49" spans="2:162" ht="11.85" hidden="1" customHeight="1" outlineLevel="2">
      <c r="B49" s="459">
        <v>5</v>
      </c>
      <c r="C49" s="155" t="s">
        <v>43</v>
      </c>
      <c r="H49" s="224"/>
      <c r="I49" s="224"/>
      <c r="J49" s="224"/>
      <c r="K49" s="224"/>
      <c r="L49" s="224"/>
      <c r="M49" s="224"/>
      <c r="N49" s="225"/>
      <c r="O49" s="226"/>
      <c r="P49" s="226"/>
      <c r="Q49" s="226"/>
      <c r="R49" s="226"/>
      <c r="S49" s="226"/>
      <c r="T49" s="169"/>
      <c r="U49" s="183"/>
      <c r="V49" s="232"/>
      <c r="W49" s="222"/>
      <c r="X49" s="223"/>
      <c r="Y49" s="223"/>
      <c r="Z49" s="224"/>
      <c r="AA49" s="224"/>
      <c r="AB49" s="224"/>
      <c r="AC49" s="224"/>
      <c r="AD49" s="224"/>
      <c r="AE49" s="224"/>
      <c r="AF49" s="225"/>
      <c r="AG49" s="226"/>
      <c r="AH49" s="226"/>
      <c r="AI49" s="226"/>
      <c r="AJ49" s="226"/>
      <c r="AK49" s="226"/>
      <c r="AL49" s="169"/>
      <c r="AP49" s="237"/>
      <c r="AQ49" s="198"/>
      <c r="AR49" s="198"/>
      <c r="AS49" s="198"/>
      <c r="AT49" s="198"/>
      <c r="AU49" s="198"/>
      <c r="AV49" s="198"/>
      <c r="AW49" s="198"/>
      <c r="AX49" s="198"/>
      <c r="AY49" s="207"/>
      <c r="AZ49" s="207"/>
      <c r="BA49" s="207"/>
      <c r="BB49" s="207"/>
      <c r="BC49" s="207"/>
      <c r="BD49" s="244"/>
      <c r="BE49" s="232"/>
      <c r="BF49" s="222"/>
      <c r="BG49" s="223"/>
      <c r="BH49" s="223"/>
      <c r="BI49" s="224"/>
      <c r="BJ49" s="224"/>
      <c r="BK49" s="224"/>
      <c r="BL49" s="224"/>
      <c r="BM49" s="224"/>
      <c r="BN49" s="224"/>
      <c r="BO49" s="225"/>
      <c r="BP49" s="226"/>
      <c r="BQ49" s="226"/>
      <c r="BR49" s="226"/>
      <c r="BS49" s="226"/>
      <c r="BT49" s="226"/>
      <c r="BU49" s="169"/>
      <c r="BY49" s="358"/>
      <c r="BZ49" s="198"/>
      <c r="CA49" s="198"/>
      <c r="CB49" s="198"/>
      <c r="CC49" s="198"/>
      <c r="CD49" s="198"/>
      <c r="CE49" s="198"/>
      <c r="CF49" s="198"/>
      <c r="CG49" s="198"/>
      <c r="CH49" s="207"/>
      <c r="CI49" s="207"/>
      <c r="CJ49" s="207"/>
      <c r="CK49" s="207"/>
      <c r="CL49" s="207"/>
      <c r="CM49" s="244"/>
      <c r="CN49" s="232"/>
      <c r="CO49" s="222"/>
      <c r="CP49" s="223"/>
      <c r="CQ49" s="223"/>
      <c r="CR49" s="224"/>
      <c r="CS49" s="224"/>
      <c r="CT49" s="224"/>
      <c r="CU49" s="224"/>
      <c r="CV49" s="224"/>
      <c r="CW49" s="224"/>
      <c r="CX49" s="225"/>
      <c r="CY49" s="224"/>
      <c r="CZ49" s="224"/>
      <c r="DA49" s="224"/>
      <c r="DB49" s="224"/>
      <c r="DC49" s="224"/>
      <c r="DD49" s="183"/>
      <c r="DE49" s="227"/>
      <c r="DF49" s="227"/>
      <c r="DG49" s="227"/>
      <c r="DH49" s="237"/>
      <c r="DI49" s="198"/>
      <c r="DJ49" s="198"/>
      <c r="DK49" s="198"/>
      <c r="DL49" s="198"/>
      <c r="DM49" s="198"/>
      <c r="DN49" s="198"/>
      <c r="DO49" s="198"/>
      <c r="DP49" s="198"/>
      <c r="DQ49" s="207"/>
      <c r="DR49" s="207"/>
      <c r="DS49" s="207"/>
      <c r="DT49" s="207"/>
      <c r="DU49" s="207"/>
      <c r="DV49" s="207"/>
      <c r="DW49" s="244"/>
      <c r="DX49" s="232"/>
      <c r="DY49" s="222"/>
      <c r="DZ49" s="223"/>
      <c r="EA49" s="223"/>
      <c r="EB49" s="224"/>
      <c r="EC49" s="224"/>
      <c r="ED49" s="224"/>
      <c r="EE49" s="224"/>
      <c r="EF49" s="224"/>
      <c r="EG49" s="224"/>
      <c r="EH49" s="225"/>
      <c r="EI49" s="224"/>
      <c r="EJ49" s="224"/>
      <c r="EK49" s="224"/>
      <c r="EL49" s="224"/>
      <c r="EM49" s="224"/>
      <c r="EN49" s="183"/>
      <c r="EO49" s="227"/>
      <c r="EP49" s="227"/>
      <c r="EQ49" s="227"/>
      <c r="ER49" s="237"/>
      <c r="ES49" s="198"/>
      <c r="ET49" s="198"/>
      <c r="EU49" s="198"/>
      <c r="EV49" s="198"/>
      <c r="EW49" s="198"/>
      <c r="EX49" s="198"/>
      <c r="EY49" s="198"/>
      <c r="EZ49" s="198"/>
      <c r="FA49" s="207"/>
      <c r="FB49" s="207"/>
      <c r="FC49" s="207"/>
      <c r="FD49" s="207"/>
      <c r="FE49" s="207"/>
      <c r="FF49" s="207"/>
    </row>
    <row r="50" spans="2:162" ht="11.85" hidden="1" customHeight="1" outlineLevel="2">
      <c r="B50" s="459">
        <v>6</v>
      </c>
      <c r="C50" s="155" t="s">
        <v>44</v>
      </c>
      <c r="H50" s="224"/>
      <c r="I50" s="224"/>
      <c r="J50" s="224"/>
      <c r="K50" s="224"/>
      <c r="L50" s="224"/>
      <c r="M50" s="224"/>
      <c r="N50" s="225"/>
      <c r="O50" s="226"/>
      <c r="P50" s="226"/>
      <c r="Q50" s="226"/>
      <c r="R50" s="226"/>
      <c r="S50" s="226"/>
      <c r="T50" s="169"/>
      <c r="U50" s="183"/>
      <c r="V50" s="239"/>
      <c r="W50" s="222"/>
      <c r="X50" s="223"/>
      <c r="Y50" s="223"/>
      <c r="Z50" s="224"/>
      <c r="AA50" s="224"/>
      <c r="AB50" s="224"/>
      <c r="AC50" s="224"/>
      <c r="AD50" s="224"/>
      <c r="AE50" s="224"/>
      <c r="AF50" s="225"/>
      <c r="AG50" s="226"/>
      <c r="AH50" s="226"/>
      <c r="AI50" s="226"/>
      <c r="AJ50" s="226"/>
      <c r="AK50" s="226"/>
      <c r="AL50" s="169"/>
      <c r="AP50" s="228"/>
      <c r="AQ50" s="198"/>
      <c r="AR50" s="198"/>
      <c r="AS50" s="198"/>
      <c r="AT50" s="198"/>
      <c r="AU50" s="198"/>
      <c r="AV50" s="198"/>
      <c r="AW50" s="198"/>
      <c r="AX50" s="198"/>
      <c r="AY50" s="207"/>
      <c r="AZ50" s="207"/>
      <c r="BA50" s="207"/>
      <c r="BB50" s="207"/>
      <c r="BC50" s="207"/>
      <c r="BD50" s="244"/>
      <c r="BE50" s="239"/>
      <c r="BF50" s="222"/>
      <c r="BG50" s="223"/>
      <c r="BH50" s="223"/>
      <c r="BI50" s="224"/>
      <c r="BJ50" s="224"/>
      <c r="BK50" s="224"/>
      <c r="BL50" s="224"/>
      <c r="BM50" s="224"/>
      <c r="BN50" s="224"/>
      <c r="BO50" s="225"/>
      <c r="BP50" s="226"/>
      <c r="BQ50" s="226"/>
      <c r="BR50" s="226"/>
      <c r="BS50" s="226"/>
      <c r="BT50" s="226"/>
      <c r="BU50" s="169"/>
      <c r="BZ50" s="198"/>
      <c r="CA50" s="198"/>
      <c r="CB50" s="198"/>
      <c r="CC50" s="198"/>
      <c r="CD50" s="198"/>
      <c r="CE50" s="198"/>
      <c r="CF50" s="198"/>
      <c r="CG50" s="198"/>
      <c r="CH50" s="207"/>
      <c r="CI50" s="207"/>
      <c r="CJ50" s="207"/>
      <c r="CK50" s="207"/>
      <c r="CL50" s="207"/>
      <c r="CM50" s="244"/>
      <c r="CN50" s="239"/>
      <c r="CO50" s="222"/>
      <c r="CP50" s="223"/>
      <c r="CQ50" s="223"/>
      <c r="CR50" s="224"/>
      <c r="CS50" s="224"/>
      <c r="CT50" s="224"/>
      <c r="CU50" s="224"/>
      <c r="CV50" s="224"/>
      <c r="CW50" s="224"/>
      <c r="CX50" s="225"/>
      <c r="CY50" s="224"/>
      <c r="CZ50" s="224"/>
      <c r="DA50" s="224"/>
      <c r="DB50" s="224"/>
      <c r="DC50" s="224"/>
      <c r="DD50" s="183"/>
      <c r="DE50" s="227"/>
      <c r="DF50" s="227"/>
      <c r="DG50" s="227"/>
      <c r="DH50" s="228"/>
      <c r="DI50" s="198"/>
      <c r="DJ50" s="198"/>
      <c r="DK50" s="198"/>
      <c r="DL50" s="198"/>
      <c r="DM50" s="198"/>
      <c r="DN50" s="198"/>
      <c r="DO50" s="198"/>
      <c r="DP50" s="198"/>
      <c r="DQ50" s="207"/>
      <c r="DR50" s="207"/>
      <c r="DS50" s="207"/>
      <c r="DT50" s="207"/>
      <c r="DU50" s="207"/>
      <c r="DV50" s="207"/>
      <c r="DW50" s="244"/>
      <c r="DX50" s="239"/>
      <c r="DY50" s="222"/>
      <c r="DZ50" s="223"/>
      <c r="EA50" s="223"/>
      <c r="EB50" s="224"/>
      <c r="EC50" s="224"/>
      <c r="ED50" s="224"/>
      <c r="EE50" s="224"/>
      <c r="EF50" s="224"/>
      <c r="EG50" s="224"/>
      <c r="EH50" s="225"/>
      <c r="EI50" s="224"/>
      <c r="EJ50" s="224"/>
      <c r="EK50" s="224"/>
      <c r="EL50" s="224"/>
      <c r="EM50" s="224"/>
      <c r="EN50" s="183"/>
      <c r="EO50" s="227"/>
      <c r="EP50" s="227"/>
      <c r="EQ50" s="227"/>
      <c r="ER50" s="228"/>
      <c r="ES50" s="198"/>
      <c r="ET50" s="198"/>
      <c r="EU50" s="198"/>
      <c r="EV50" s="198"/>
      <c r="EW50" s="198"/>
      <c r="EX50" s="198"/>
      <c r="EY50" s="198"/>
      <c r="EZ50" s="198"/>
      <c r="FA50" s="207"/>
      <c r="FB50" s="207"/>
      <c r="FC50" s="207"/>
      <c r="FD50" s="207"/>
      <c r="FE50" s="207"/>
      <c r="FF50" s="207"/>
    </row>
    <row r="51" spans="2:162" ht="11.85" hidden="1" customHeight="1" outlineLevel="2">
      <c r="B51" s="459">
        <v>7</v>
      </c>
      <c r="C51" s="155" t="s">
        <v>45</v>
      </c>
      <c r="H51" s="224"/>
      <c r="I51" s="224"/>
      <c r="J51" s="224"/>
      <c r="K51" s="224"/>
      <c r="L51" s="224"/>
      <c r="M51" s="224"/>
      <c r="N51" s="225"/>
      <c r="O51" s="226"/>
      <c r="P51" s="226"/>
      <c r="Q51" s="226"/>
      <c r="R51" s="226"/>
      <c r="S51" s="226"/>
      <c r="T51" s="169"/>
      <c r="U51" s="183"/>
      <c r="V51" s="239"/>
      <c r="W51" s="222"/>
      <c r="X51" s="223"/>
      <c r="Y51" s="223"/>
      <c r="Z51" s="224"/>
      <c r="AA51" s="224"/>
      <c r="AB51" s="224"/>
      <c r="AC51" s="224"/>
      <c r="AD51" s="224"/>
      <c r="AE51" s="224"/>
      <c r="AF51" s="225"/>
      <c r="AG51" s="226"/>
      <c r="AH51" s="226"/>
      <c r="AI51" s="226"/>
      <c r="AJ51" s="226"/>
      <c r="AK51" s="226"/>
      <c r="AL51" s="169"/>
      <c r="AP51" s="228"/>
      <c r="AQ51" s="198"/>
      <c r="AR51" s="198"/>
      <c r="AS51" s="198"/>
      <c r="AT51" s="198"/>
      <c r="AU51" s="198"/>
      <c r="AV51" s="198"/>
      <c r="AW51" s="198"/>
      <c r="AX51" s="198"/>
      <c r="AY51" s="207"/>
      <c r="AZ51" s="207"/>
      <c r="BA51" s="207"/>
      <c r="BB51" s="207"/>
      <c r="BC51" s="207"/>
      <c r="BD51" s="244"/>
      <c r="BE51" s="239"/>
      <c r="BF51" s="222"/>
      <c r="BG51" s="223"/>
      <c r="BH51" s="223"/>
      <c r="BI51" s="224"/>
      <c r="BJ51" s="224"/>
      <c r="BK51" s="224"/>
      <c r="BL51" s="224"/>
      <c r="BM51" s="224"/>
      <c r="BN51" s="224"/>
      <c r="BO51" s="225"/>
      <c r="BP51" s="226"/>
      <c r="BQ51" s="226"/>
      <c r="BR51" s="226"/>
      <c r="BS51" s="226"/>
      <c r="BT51" s="226"/>
      <c r="BU51" s="169"/>
      <c r="BZ51" s="198"/>
      <c r="CA51" s="198"/>
      <c r="CB51" s="198"/>
      <c r="CC51" s="198"/>
      <c r="CD51" s="198"/>
      <c r="CE51" s="198"/>
      <c r="CF51" s="198"/>
      <c r="CG51" s="198"/>
      <c r="CH51" s="207"/>
      <c r="CI51" s="207"/>
      <c r="CJ51" s="207"/>
      <c r="CK51" s="207"/>
      <c r="CL51" s="207"/>
      <c r="CM51" s="244"/>
      <c r="CN51" s="239"/>
      <c r="CO51" s="222"/>
      <c r="CP51" s="223"/>
      <c r="CQ51" s="223"/>
      <c r="CR51" s="224"/>
      <c r="CS51" s="224"/>
      <c r="CT51" s="224"/>
      <c r="CU51" s="224"/>
      <c r="CV51" s="224"/>
      <c r="CW51" s="224"/>
      <c r="CX51" s="225"/>
      <c r="CY51" s="224"/>
      <c r="CZ51" s="224"/>
      <c r="DA51" s="224"/>
      <c r="DB51" s="224"/>
      <c r="DC51" s="224"/>
      <c r="DD51" s="183"/>
      <c r="DE51" s="227"/>
      <c r="DF51" s="227"/>
      <c r="DG51" s="227"/>
      <c r="DH51" s="228"/>
      <c r="DI51" s="198"/>
      <c r="DJ51" s="198"/>
      <c r="DK51" s="198"/>
      <c r="DL51" s="198"/>
      <c r="DM51" s="198"/>
      <c r="DN51" s="198"/>
      <c r="DO51" s="198"/>
      <c r="DP51" s="198"/>
      <c r="DQ51" s="207"/>
      <c r="DR51" s="207"/>
      <c r="DS51" s="207"/>
      <c r="DT51" s="207"/>
      <c r="DU51" s="207"/>
      <c r="DV51" s="207"/>
      <c r="DW51" s="244"/>
      <c r="DX51" s="239"/>
      <c r="DY51" s="222"/>
      <c r="DZ51" s="223"/>
      <c r="EA51" s="223"/>
      <c r="EB51" s="224"/>
      <c r="EC51" s="224"/>
      <c r="ED51" s="224"/>
      <c r="EE51" s="224"/>
      <c r="EF51" s="224"/>
      <c r="EG51" s="224"/>
      <c r="EH51" s="225"/>
      <c r="EI51" s="224"/>
      <c r="EJ51" s="224"/>
      <c r="EK51" s="224"/>
      <c r="EL51" s="224"/>
      <c r="EM51" s="224"/>
      <c r="EN51" s="183"/>
      <c r="EO51" s="227"/>
      <c r="EP51" s="227"/>
      <c r="EQ51" s="227"/>
      <c r="ER51" s="228"/>
      <c r="ES51" s="198"/>
      <c r="ET51" s="198"/>
      <c r="EU51" s="198"/>
      <c r="EV51" s="198"/>
      <c r="EW51" s="198"/>
      <c r="EX51" s="198"/>
      <c r="EY51" s="198"/>
      <c r="EZ51" s="198"/>
      <c r="FA51" s="207"/>
      <c r="FB51" s="207"/>
      <c r="FC51" s="207"/>
      <c r="FD51" s="207"/>
      <c r="FE51" s="207"/>
      <c r="FF51" s="207"/>
    </row>
    <row r="52" spans="2:162" ht="11.85" hidden="1" customHeight="1" outlineLevel="2">
      <c r="B52" s="459">
        <v>8</v>
      </c>
      <c r="C52" s="155" t="s">
        <v>46</v>
      </c>
      <c r="H52" s="224"/>
      <c r="I52" s="224"/>
      <c r="J52" s="224"/>
      <c r="K52" s="224"/>
      <c r="L52" s="224"/>
      <c r="M52" s="224"/>
      <c r="N52" s="225"/>
      <c r="O52" s="226"/>
      <c r="P52" s="226"/>
      <c r="Q52" s="226"/>
      <c r="R52" s="226"/>
      <c r="S52" s="226"/>
      <c r="T52" s="169"/>
      <c r="U52" s="183"/>
      <c r="V52" s="239"/>
      <c r="W52" s="222"/>
      <c r="X52" s="223"/>
      <c r="Y52" s="223"/>
      <c r="Z52" s="224"/>
      <c r="AA52" s="224"/>
      <c r="AB52" s="224"/>
      <c r="AC52" s="224"/>
      <c r="AD52" s="224"/>
      <c r="AE52" s="224"/>
      <c r="AF52" s="225"/>
      <c r="AG52" s="226"/>
      <c r="AH52" s="226"/>
      <c r="AI52" s="226"/>
      <c r="AJ52" s="226"/>
      <c r="AK52" s="226"/>
      <c r="AL52" s="169"/>
      <c r="AP52" s="228"/>
      <c r="AQ52" s="198"/>
      <c r="AR52" s="198"/>
      <c r="AS52" s="198"/>
      <c r="AT52" s="198"/>
      <c r="AU52" s="198"/>
      <c r="AV52" s="198"/>
      <c r="AW52" s="198"/>
      <c r="AX52" s="198"/>
      <c r="AY52" s="207"/>
      <c r="AZ52" s="207"/>
      <c r="BA52" s="207"/>
      <c r="BB52" s="207"/>
      <c r="BC52" s="207"/>
      <c r="BD52" s="244"/>
      <c r="BE52" s="239"/>
      <c r="BF52" s="222"/>
      <c r="BG52" s="223"/>
      <c r="BH52" s="223"/>
      <c r="BI52" s="224"/>
      <c r="BJ52" s="224"/>
      <c r="BK52" s="224"/>
      <c r="BL52" s="224"/>
      <c r="BM52" s="224"/>
      <c r="BN52" s="224"/>
      <c r="BO52" s="225"/>
      <c r="BP52" s="226"/>
      <c r="BQ52" s="226"/>
      <c r="BR52" s="226"/>
      <c r="BS52" s="226"/>
      <c r="BT52" s="226"/>
      <c r="BU52" s="169"/>
      <c r="BZ52" s="198"/>
      <c r="CA52" s="198"/>
      <c r="CB52" s="198"/>
      <c r="CC52" s="198"/>
      <c r="CD52" s="198"/>
      <c r="CE52" s="198"/>
      <c r="CF52" s="198"/>
      <c r="CG52" s="198"/>
      <c r="CH52" s="207"/>
      <c r="CI52" s="207"/>
      <c r="CJ52" s="207"/>
      <c r="CK52" s="207"/>
      <c r="CL52" s="207"/>
      <c r="CM52" s="244"/>
      <c r="CN52" s="239"/>
      <c r="CO52" s="222"/>
      <c r="CP52" s="223"/>
      <c r="CQ52" s="223"/>
      <c r="CR52" s="224"/>
      <c r="CS52" s="224"/>
      <c r="CT52" s="224"/>
      <c r="CU52" s="224"/>
      <c r="CV52" s="224"/>
      <c r="CW52" s="224"/>
      <c r="CX52" s="225"/>
      <c r="CY52" s="224"/>
      <c r="CZ52" s="224"/>
      <c r="DA52" s="224"/>
      <c r="DB52" s="224"/>
      <c r="DC52" s="224"/>
      <c r="DD52" s="183"/>
      <c r="DE52" s="227"/>
      <c r="DF52" s="227"/>
      <c r="DG52" s="227"/>
      <c r="DH52" s="228"/>
      <c r="DI52" s="198"/>
      <c r="DJ52" s="198"/>
      <c r="DK52" s="198"/>
      <c r="DL52" s="198"/>
      <c r="DM52" s="198"/>
      <c r="DN52" s="198"/>
      <c r="DO52" s="198"/>
      <c r="DP52" s="198"/>
      <c r="DQ52" s="207"/>
      <c r="DR52" s="207"/>
      <c r="DS52" s="207"/>
      <c r="DT52" s="207"/>
      <c r="DU52" s="207"/>
      <c r="DV52" s="207"/>
      <c r="DW52" s="244"/>
      <c r="DX52" s="239"/>
      <c r="DY52" s="222"/>
      <c r="DZ52" s="223"/>
      <c r="EA52" s="223"/>
      <c r="EB52" s="224"/>
      <c r="EC52" s="224"/>
      <c r="ED52" s="224"/>
      <c r="EE52" s="224"/>
      <c r="EF52" s="224"/>
      <c r="EG52" s="224"/>
      <c r="EH52" s="225"/>
      <c r="EI52" s="224"/>
      <c r="EJ52" s="224"/>
      <c r="EK52" s="224"/>
      <c r="EL52" s="224"/>
      <c r="EM52" s="224"/>
      <c r="EN52" s="183"/>
      <c r="EO52" s="227"/>
      <c r="EP52" s="227"/>
      <c r="EQ52" s="227"/>
      <c r="ER52" s="228"/>
      <c r="ES52" s="198"/>
      <c r="ET52" s="198"/>
      <c r="EU52" s="198"/>
      <c r="EV52" s="198"/>
      <c r="EW52" s="198"/>
      <c r="EX52" s="198"/>
      <c r="EY52" s="198"/>
      <c r="EZ52" s="198"/>
      <c r="FA52" s="207"/>
      <c r="FB52" s="207"/>
      <c r="FC52" s="207"/>
      <c r="FD52" s="207"/>
      <c r="FE52" s="207"/>
      <c r="FF52" s="207"/>
    </row>
    <row r="53" spans="2:162" ht="3" customHeight="1">
      <c r="B53" s="220"/>
      <c r="H53" s="224"/>
      <c r="I53" s="224"/>
      <c r="J53" s="224"/>
      <c r="K53" s="224"/>
      <c r="L53" s="224"/>
      <c r="M53" s="224"/>
      <c r="N53" s="225"/>
      <c r="O53" s="226"/>
      <c r="P53" s="226"/>
      <c r="Q53" s="226"/>
      <c r="R53" s="226"/>
      <c r="S53" s="226"/>
      <c r="T53" s="169"/>
      <c r="U53" s="183"/>
      <c r="V53" s="232"/>
      <c r="W53" s="222"/>
      <c r="X53" s="223"/>
      <c r="Y53" s="223"/>
      <c r="Z53" s="224"/>
      <c r="AA53" s="224"/>
      <c r="AB53" s="224"/>
      <c r="AC53" s="224"/>
      <c r="AD53" s="224"/>
      <c r="AE53" s="224"/>
      <c r="AF53" s="225"/>
      <c r="AG53" s="226"/>
      <c r="AH53" s="226"/>
      <c r="AI53" s="226"/>
      <c r="AJ53" s="226"/>
      <c r="AK53" s="226"/>
      <c r="AL53" s="169"/>
      <c r="AP53" s="228"/>
      <c r="AR53" s="198"/>
      <c r="AS53" s="198"/>
      <c r="AT53" s="198"/>
      <c r="AU53" s="198"/>
      <c r="AV53" s="198"/>
      <c r="AW53" s="198"/>
      <c r="AX53" s="198"/>
      <c r="AY53" s="207"/>
      <c r="AZ53" s="207"/>
      <c r="BA53" s="207"/>
      <c r="BB53" s="207"/>
      <c r="BC53" s="207"/>
      <c r="BD53" s="198"/>
      <c r="BE53" s="232"/>
      <c r="BF53" s="222"/>
      <c r="BG53" s="223"/>
      <c r="BH53" s="223"/>
      <c r="BI53" s="224"/>
      <c r="BJ53" s="224"/>
      <c r="BK53" s="224"/>
      <c r="BL53" s="224"/>
      <c r="BM53" s="224"/>
      <c r="BN53" s="224"/>
      <c r="BO53" s="225"/>
      <c r="BP53" s="226"/>
      <c r="BQ53" s="226"/>
      <c r="BR53" s="226"/>
      <c r="BS53" s="226"/>
      <c r="BT53" s="226"/>
      <c r="BU53" s="169"/>
      <c r="CA53" s="198"/>
      <c r="CB53" s="198"/>
      <c r="CC53" s="198"/>
      <c r="CD53" s="198"/>
      <c r="CE53" s="198"/>
      <c r="CF53" s="198"/>
      <c r="CG53" s="198"/>
      <c r="CH53" s="207"/>
      <c r="CI53" s="207"/>
      <c r="CJ53" s="207"/>
      <c r="CK53" s="207"/>
      <c r="CL53" s="207"/>
      <c r="CM53" s="198"/>
      <c r="CN53" s="232"/>
      <c r="CO53" s="222"/>
      <c r="CP53" s="223"/>
      <c r="CQ53" s="223"/>
      <c r="CR53" s="224"/>
      <c r="CS53" s="224"/>
      <c r="CT53" s="224"/>
      <c r="CU53" s="224"/>
      <c r="CV53" s="224"/>
      <c r="CW53" s="224"/>
      <c r="CX53" s="225"/>
      <c r="CY53" s="224"/>
      <c r="CZ53" s="224"/>
      <c r="DA53" s="224"/>
      <c r="DB53" s="224"/>
      <c r="DC53" s="224"/>
      <c r="DD53" s="183"/>
      <c r="DE53" s="227"/>
      <c r="DF53" s="227"/>
      <c r="DG53" s="227"/>
      <c r="DH53" s="228"/>
      <c r="DJ53" s="198"/>
      <c r="DK53" s="198"/>
      <c r="DL53" s="198"/>
      <c r="DM53" s="198"/>
      <c r="DN53" s="198"/>
      <c r="DO53" s="198"/>
      <c r="DP53" s="198"/>
      <c r="DQ53" s="207"/>
      <c r="DR53" s="207"/>
      <c r="DS53" s="207"/>
      <c r="DT53" s="207"/>
      <c r="DU53" s="207"/>
      <c r="DV53" s="207"/>
      <c r="DW53" s="198"/>
      <c r="DX53" s="232"/>
      <c r="DY53" s="222"/>
      <c r="DZ53" s="223"/>
      <c r="EA53" s="223"/>
      <c r="EB53" s="224"/>
      <c r="EC53" s="224"/>
      <c r="ED53" s="224"/>
      <c r="EE53" s="224"/>
      <c r="EF53" s="224"/>
      <c r="EG53" s="224"/>
      <c r="EH53" s="225"/>
      <c r="EI53" s="224"/>
      <c r="EJ53" s="224"/>
      <c r="EK53" s="224"/>
      <c r="EL53" s="224"/>
      <c r="EM53" s="224"/>
      <c r="EN53" s="183"/>
      <c r="EO53" s="227"/>
      <c r="EP53" s="227"/>
      <c r="EQ53" s="227"/>
      <c r="ER53" s="228"/>
      <c r="ET53" s="198"/>
      <c r="EU53" s="198"/>
      <c r="EV53" s="198"/>
      <c r="EW53" s="198"/>
      <c r="EX53" s="198"/>
      <c r="EY53" s="198"/>
      <c r="EZ53" s="198"/>
      <c r="FA53" s="207"/>
      <c r="FB53" s="207"/>
      <c r="FC53" s="207"/>
      <c r="FD53" s="207"/>
      <c r="FE53" s="207"/>
      <c r="FF53" s="207"/>
    </row>
    <row r="54" spans="2:162" s="311" customFormat="1" ht="16.2">
      <c r="B54" s="618" t="s">
        <v>47</v>
      </c>
      <c r="C54" s="618"/>
      <c r="D54" s="314"/>
      <c r="E54" s="289">
        <f t="shared" ref="E54:M54" si="132">E56+E68+E75+E85+E91</f>
        <v>16.069748510726068</v>
      </c>
      <c r="F54" s="289">
        <f t="shared" si="132"/>
        <v>4.677623745897276</v>
      </c>
      <c r="G54" s="289">
        <f t="shared" si="132"/>
        <v>11.392124764828793</v>
      </c>
      <c r="H54" s="289">
        <f t="shared" si="132"/>
        <v>3.9772694794657588</v>
      </c>
      <c r="I54" s="289">
        <f t="shared" si="132"/>
        <v>12.09181808251031</v>
      </c>
      <c r="J54" s="289">
        <f t="shared" si="132"/>
        <v>9.2266575164315192</v>
      </c>
      <c r="K54" s="289">
        <f t="shared" si="132"/>
        <v>0.92897889518151744</v>
      </c>
      <c r="L54" s="289">
        <f t="shared" si="132"/>
        <v>1.9361816708972763</v>
      </c>
      <c r="M54" s="289">
        <f t="shared" si="132"/>
        <v>0</v>
      </c>
      <c r="N54" s="247"/>
      <c r="O54" s="289">
        <f t="shared" ref="O54:S54" si="133">O56+O68+O75+O85+O91</f>
        <v>0.70035426643151721</v>
      </c>
      <c r="P54" s="289">
        <f t="shared" si="133"/>
        <v>0.13609376643151733</v>
      </c>
      <c r="Q54" s="289">
        <f t="shared" si="133"/>
        <v>0.56426049999999994</v>
      </c>
      <c r="R54" s="289">
        <f t="shared" si="133"/>
        <v>0</v>
      </c>
      <c r="S54" s="289">
        <f t="shared" si="133"/>
        <v>0</v>
      </c>
      <c r="T54" s="248"/>
      <c r="U54" s="250"/>
      <c r="V54" s="308"/>
      <c r="W54" s="309"/>
      <c r="X54" s="289">
        <f t="shared" ref="X54:AE54" si="134">X56+X68+X75+X85+X91</f>
        <v>11.445000000000002</v>
      </c>
      <c r="Y54" s="289">
        <f t="shared" si="134"/>
        <v>2.20895625</v>
      </c>
      <c r="Z54" s="289">
        <f t="shared" si="134"/>
        <v>1.9679937500000002</v>
      </c>
      <c r="AA54" s="289">
        <f t="shared" si="134"/>
        <v>9.4770062500000005</v>
      </c>
      <c r="AB54" s="289">
        <f t="shared" si="134"/>
        <v>7.3665312500000013</v>
      </c>
      <c r="AC54" s="289">
        <f t="shared" si="134"/>
        <v>0.54381875000000002</v>
      </c>
      <c r="AD54" s="289">
        <f t="shared" si="134"/>
        <v>1.5666562500000003</v>
      </c>
      <c r="AE54" s="289">
        <f t="shared" si="134"/>
        <v>0</v>
      </c>
      <c r="AF54" s="247"/>
      <c r="AG54" s="289">
        <f>AG56+AG68+AG75+AG85+AG91</f>
        <v>0.24096250000000002</v>
      </c>
      <c r="AH54" s="289">
        <f>AH56+AH68+AH75+AH85+AH91</f>
        <v>0</v>
      </c>
      <c r="AI54" s="289">
        <f>AI56+AI68+AI75+AI85+AI91</f>
        <v>0.24096250000000002</v>
      </c>
      <c r="AJ54" s="289">
        <f>AJ56+AJ68+AJ75+AJ85+AJ91</f>
        <v>0</v>
      </c>
      <c r="AK54" s="289">
        <f>AK56+AK68+AK75+AK85+AK91</f>
        <v>0</v>
      </c>
      <c r="AL54" s="248"/>
      <c r="AM54" s="351"/>
      <c r="AN54" s="351"/>
      <c r="AO54" s="351"/>
      <c r="AP54" s="289">
        <f t="shared" ref="AP54:AW54" si="135">AP56+AP68+AP75+AP85+AP91</f>
        <v>0</v>
      </c>
      <c r="AQ54" s="362">
        <f t="shared" si="135"/>
        <v>681</v>
      </c>
      <c r="AR54" s="362">
        <f t="shared" si="135"/>
        <v>404</v>
      </c>
      <c r="AS54" s="362">
        <f t="shared" si="135"/>
        <v>277</v>
      </c>
      <c r="AT54" s="362">
        <f t="shared" si="135"/>
        <v>228</v>
      </c>
      <c r="AU54" s="362">
        <f t="shared" si="135"/>
        <v>31</v>
      </c>
      <c r="AV54" s="362">
        <f t="shared" si="135"/>
        <v>18</v>
      </c>
      <c r="AW54" s="362">
        <f t="shared" si="135"/>
        <v>0</v>
      </c>
      <c r="AX54" s="249"/>
      <c r="AY54" s="362">
        <f>AY56+AY68+AY75+AY85+AY91</f>
        <v>47</v>
      </c>
      <c r="AZ54" s="362">
        <f>AZ56+AZ68+AZ75+AZ85+AZ91</f>
        <v>29</v>
      </c>
      <c r="BA54" s="362">
        <f>BA56+BA68+BA75+BA85+BA91</f>
        <v>18</v>
      </c>
      <c r="BB54" s="362">
        <f>BB56+BB68+BB75+BB85+BB91</f>
        <v>0</v>
      </c>
      <c r="BC54" s="362">
        <f>BC56+BC68+BC75+BC85+BC91</f>
        <v>0</v>
      </c>
      <c r="BD54" s="310"/>
      <c r="BE54" s="308"/>
      <c r="BF54" s="309"/>
      <c r="BG54" s="289">
        <f t="shared" ref="BG54:BN54" si="136">BG56+BG68+BG75+BG85+BG91</f>
        <v>3.4042470000000002</v>
      </c>
      <c r="BH54" s="289">
        <f t="shared" si="136"/>
        <v>2.0238719999999999</v>
      </c>
      <c r="BI54" s="289">
        <f t="shared" si="136"/>
        <v>1.7005740000000003</v>
      </c>
      <c r="BJ54" s="289">
        <f t="shared" si="136"/>
        <v>1.703673</v>
      </c>
      <c r="BK54" s="289">
        <f t="shared" si="136"/>
        <v>1.703673</v>
      </c>
      <c r="BL54" s="289">
        <f t="shared" si="136"/>
        <v>0</v>
      </c>
      <c r="BM54" s="289">
        <f t="shared" si="136"/>
        <v>0</v>
      </c>
      <c r="BN54" s="289">
        <f t="shared" si="136"/>
        <v>0</v>
      </c>
      <c r="BO54" s="247"/>
      <c r="BP54" s="289">
        <f>BP56+BP68+BP75+BP85+BP91</f>
        <v>0.32329799999999992</v>
      </c>
      <c r="BQ54" s="289">
        <f>BQ56+BQ68+BQ75+BQ85+BQ91</f>
        <v>0</v>
      </c>
      <c r="BR54" s="289">
        <f>BR56+BR68+BR75+BR85+BR91</f>
        <v>0.32329799999999992</v>
      </c>
      <c r="BS54" s="289">
        <f>BS56+BS68+BS75+BS85+BS91</f>
        <v>0</v>
      </c>
      <c r="BT54" s="289">
        <f>BT56+BT68+BT75+BT85+BT91</f>
        <v>0</v>
      </c>
      <c r="BU54" s="248"/>
      <c r="BV54" s="351"/>
      <c r="BW54" s="351"/>
      <c r="BX54" s="351"/>
      <c r="BY54" s="351">
        <f t="shared" ref="BY54" si="137">BY56+BY68+BY75+BY85+BY91</f>
        <v>0</v>
      </c>
      <c r="BZ54" s="289">
        <f t="shared" ref="BZ54:CF54" si="138">BZ56+BZ68+BZ74+BZ84+BZ90</f>
        <v>631</v>
      </c>
      <c r="CA54" s="289">
        <f t="shared" si="138"/>
        <v>531</v>
      </c>
      <c r="CB54" s="289">
        <f t="shared" si="138"/>
        <v>100</v>
      </c>
      <c r="CC54" s="289">
        <f t="shared" si="138"/>
        <v>100</v>
      </c>
      <c r="CD54" s="289">
        <f t="shared" si="138"/>
        <v>0</v>
      </c>
      <c r="CE54" s="289">
        <f t="shared" si="138"/>
        <v>0</v>
      </c>
      <c r="CF54" s="289">
        <f t="shared" si="138"/>
        <v>0</v>
      </c>
      <c r="CG54" s="249"/>
      <c r="CH54" s="289">
        <f>CH56+CH68+CH74+CH84+CH90</f>
        <v>80</v>
      </c>
      <c r="CI54" s="289">
        <f>CI56+CI68+CI74+CI84+CI90</f>
        <v>78</v>
      </c>
      <c r="CJ54" s="289">
        <f>CJ56+CJ68+CJ74+CJ84+CJ90</f>
        <v>3</v>
      </c>
      <c r="CK54" s="289">
        <f>CK56+CK68+CK74+CK84+CK90</f>
        <v>0</v>
      </c>
      <c r="CL54" s="289">
        <f>CL56+CL68+CL74+CL84+CL90</f>
        <v>0</v>
      </c>
      <c r="CM54" s="310"/>
      <c r="CN54" s="308"/>
      <c r="CO54" s="309"/>
      <c r="CP54" s="289">
        <f t="shared" ref="CP54:CW54" si="139">CP56+CP68+CP75+CP85+CP91</f>
        <v>1.0632840657260694</v>
      </c>
      <c r="CQ54" s="289">
        <f t="shared" si="139"/>
        <v>0.44281264964727601</v>
      </c>
      <c r="CR54" s="289">
        <f t="shared" si="139"/>
        <v>0.30671888321575869</v>
      </c>
      <c r="CS54" s="289">
        <f t="shared" si="139"/>
        <v>0.75656518251031057</v>
      </c>
      <c r="CT54" s="289">
        <f t="shared" si="139"/>
        <v>0.13609376643151733</v>
      </c>
      <c r="CU54" s="289">
        <f t="shared" si="139"/>
        <v>0.32605976643151729</v>
      </c>
      <c r="CV54" s="289">
        <f t="shared" si="139"/>
        <v>0.29441164964727601</v>
      </c>
      <c r="CW54" s="289">
        <f t="shared" si="139"/>
        <v>0</v>
      </c>
      <c r="CX54" s="247"/>
      <c r="CY54" s="289">
        <f>CY56+CY68+CY75+CY85+CY91</f>
        <v>0.13609376643151733</v>
      </c>
      <c r="CZ54" s="289">
        <f>CZ56+CZ68+CZ75+CZ85+CZ91</f>
        <v>0.13609376643151733</v>
      </c>
      <c r="DA54" s="289">
        <f>DA56+DA68+DA75+DA85+DA91</f>
        <v>0</v>
      </c>
      <c r="DB54" s="289">
        <f>DB56+DB68+DB75+DB85+DB91</f>
        <v>0</v>
      </c>
      <c r="DC54" s="289">
        <f>DC56+DC68+DC75+DC85+DC91</f>
        <v>0</v>
      </c>
      <c r="DD54" s="250"/>
      <c r="DE54" s="205"/>
      <c r="DF54" s="205"/>
      <c r="DG54" s="205"/>
      <c r="DH54" s="289">
        <f t="shared" ref="DH54:DO54" si="140">DH56+DH68+DH75+DH85+DH91</f>
        <v>0</v>
      </c>
      <c r="DI54" s="289">
        <f t="shared" si="140"/>
        <v>410</v>
      </c>
      <c r="DJ54" s="289">
        <f t="shared" si="140"/>
        <v>148</v>
      </c>
      <c r="DK54" s="289">
        <f t="shared" si="140"/>
        <v>262</v>
      </c>
      <c r="DL54" s="289">
        <f t="shared" si="140"/>
        <v>86</v>
      </c>
      <c r="DM54" s="289">
        <f t="shared" si="140"/>
        <v>89</v>
      </c>
      <c r="DN54" s="289">
        <f t="shared" si="140"/>
        <v>87</v>
      </c>
      <c r="DO54" s="289">
        <f t="shared" si="140"/>
        <v>0</v>
      </c>
      <c r="DP54" s="249"/>
      <c r="DQ54" s="289">
        <f>DQ56+DQ68+DQ75+DQ85+DQ91</f>
        <v>93</v>
      </c>
      <c r="DR54" s="289">
        <f>DR56+DR68+DR75+DR85+DR91</f>
        <v>86</v>
      </c>
      <c r="DS54" s="289">
        <f>DS56+DS68+DS75+DS85+DS91</f>
        <v>7</v>
      </c>
      <c r="DT54" s="289">
        <f>DT56+DT68+DT75+DT85+DT91</f>
        <v>0</v>
      </c>
      <c r="DU54" s="289">
        <f>DU56+DU68+DU75+DU85+DU91</f>
        <v>0</v>
      </c>
      <c r="DV54" s="205"/>
      <c r="DW54" s="310"/>
      <c r="DX54" s="308"/>
      <c r="DY54" s="309"/>
      <c r="DZ54" s="289">
        <f t="shared" ref="DZ54:EG54" si="141">DZ56+DZ68+DZ75+DZ85+DZ91</f>
        <v>0.15721744500000004</v>
      </c>
      <c r="EA54" s="289">
        <f t="shared" si="141"/>
        <v>1.9828462500000002E-3</v>
      </c>
      <c r="EB54" s="289">
        <f t="shared" si="141"/>
        <v>1.9828462500000002E-3</v>
      </c>
      <c r="EC54" s="289">
        <f t="shared" si="141"/>
        <v>0.15457365000000003</v>
      </c>
      <c r="ED54" s="289">
        <f t="shared" si="141"/>
        <v>2.0359500000000003E-2</v>
      </c>
      <c r="EE54" s="289">
        <f t="shared" si="141"/>
        <v>5.9100378750000016E-2</v>
      </c>
      <c r="EF54" s="289">
        <f t="shared" si="141"/>
        <v>7.5113771250000017E-2</v>
      </c>
      <c r="EG54" s="289">
        <f t="shared" si="141"/>
        <v>0</v>
      </c>
      <c r="EH54" s="247"/>
      <c r="EI54" s="289">
        <f>EI56+EI68+EI75+EI85+EI91</f>
        <v>0</v>
      </c>
      <c r="EJ54" s="289">
        <f>EJ56+EJ68+EJ75+EJ85+EJ91</f>
        <v>0</v>
      </c>
      <c r="EK54" s="289">
        <f>EK56+EK68+EK75+EK85+EK91</f>
        <v>0</v>
      </c>
      <c r="EL54" s="289">
        <f>EL56+EL68+EL75+EL85+EL91</f>
        <v>0</v>
      </c>
      <c r="EM54" s="289">
        <f>EM56+EM68+EM75+EM85+EM91</f>
        <v>0</v>
      </c>
      <c r="EN54" s="183"/>
      <c r="EO54" s="202"/>
      <c r="EP54" s="202"/>
      <c r="EQ54" s="202"/>
      <c r="ER54" s="291">
        <f t="shared" ref="ER54:EY54" si="142">ER56+ER68+ER75+ER85+ER91</f>
        <v>0</v>
      </c>
      <c r="ES54" s="291">
        <f t="shared" si="142"/>
        <v>92</v>
      </c>
      <c r="ET54" s="291">
        <f t="shared" si="142"/>
        <v>30</v>
      </c>
      <c r="EU54" s="291">
        <f t="shared" si="142"/>
        <v>62</v>
      </c>
      <c r="EV54" s="291">
        <f t="shared" si="142"/>
        <v>9</v>
      </c>
      <c r="EW54" s="291">
        <f t="shared" si="142"/>
        <v>17</v>
      </c>
      <c r="EX54" s="291">
        <f t="shared" si="142"/>
        <v>36</v>
      </c>
      <c r="EY54" s="291">
        <f t="shared" si="142"/>
        <v>0</v>
      </c>
      <c r="EZ54" s="203"/>
      <c r="FA54" s="291">
        <f>FA56+FA68+FA75+FA85+FA91</f>
        <v>0</v>
      </c>
      <c r="FB54" s="291">
        <f>FB56+FB68+FB75+FB85+FB91</f>
        <v>0</v>
      </c>
      <c r="FC54" s="291">
        <f>FC56+FC68+FC75+FC85+FC91</f>
        <v>0</v>
      </c>
      <c r="FD54" s="291">
        <f>FD56+FD68+FD75+FD85+FD91</f>
        <v>0</v>
      </c>
      <c r="FE54" s="291">
        <f>FE56+FE68+FE75+FE85+FE91</f>
        <v>0</v>
      </c>
      <c r="FF54" s="202"/>
    </row>
    <row r="55" spans="2:162" ht="3" customHeight="1" outlineLevel="1">
      <c r="C55" s="188"/>
      <c r="D55" s="188"/>
      <c r="E55" s="188"/>
      <c r="F55" s="188"/>
      <c r="G55" s="188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  <c r="S55" s="196"/>
      <c r="T55" s="169"/>
      <c r="U55" s="183"/>
      <c r="W55" s="189"/>
      <c r="X55" s="195"/>
      <c r="Y55" s="195"/>
      <c r="Z55" s="196"/>
      <c r="AA55" s="196"/>
      <c r="AB55" s="196"/>
      <c r="AC55" s="196"/>
      <c r="AD55" s="196"/>
      <c r="AE55" s="196"/>
      <c r="AF55" s="196"/>
      <c r="AG55" s="197"/>
      <c r="AH55" s="197"/>
      <c r="AI55" s="197"/>
      <c r="AJ55" s="197"/>
      <c r="AK55" s="197"/>
      <c r="AL55" s="169"/>
      <c r="AM55" s="281"/>
      <c r="AN55" s="281"/>
      <c r="AO55" s="281"/>
      <c r="AP55" s="191"/>
      <c r="AQ55" s="198"/>
      <c r="AR55" s="198"/>
      <c r="AS55" s="198"/>
      <c r="AT55" s="198"/>
      <c r="AU55" s="198"/>
      <c r="AV55" s="198"/>
      <c r="AW55" s="198"/>
      <c r="AX55" s="198"/>
      <c r="AY55" s="207"/>
      <c r="AZ55" s="207"/>
      <c r="BA55" s="207"/>
      <c r="BB55" s="207"/>
      <c r="BC55" s="207"/>
      <c r="BD55" s="198"/>
      <c r="BF55" s="189"/>
      <c r="BG55" s="195"/>
      <c r="BH55" s="195"/>
      <c r="BI55" s="196"/>
      <c r="BJ55" s="196"/>
      <c r="BK55" s="196"/>
      <c r="BL55" s="196"/>
      <c r="BM55" s="196"/>
      <c r="BN55" s="196"/>
      <c r="BO55" s="196"/>
      <c r="BP55" s="197"/>
      <c r="BQ55" s="197"/>
      <c r="BR55" s="197"/>
      <c r="BS55" s="197"/>
      <c r="BT55" s="197"/>
      <c r="BU55" s="169"/>
      <c r="BV55" s="281"/>
      <c r="BW55" s="281"/>
      <c r="BX55" s="281"/>
      <c r="BY55" s="281"/>
      <c r="BZ55" s="198"/>
      <c r="CA55" s="198"/>
      <c r="CB55" s="198"/>
      <c r="CC55" s="198"/>
      <c r="CD55" s="198"/>
      <c r="CE55" s="198"/>
      <c r="CF55" s="198"/>
      <c r="CG55" s="198"/>
      <c r="CH55" s="207"/>
      <c r="CI55" s="207"/>
      <c r="CJ55" s="207"/>
      <c r="CK55" s="207"/>
      <c r="CL55" s="207"/>
      <c r="CM55" s="198"/>
      <c r="CO55" s="189"/>
      <c r="CP55" s="195"/>
      <c r="CQ55" s="195"/>
      <c r="CR55" s="196"/>
      <c r="CS55" s="196"/>
      <c r="CT55" s="196"/>
      <c r="CU55" s="196"/>
      <c r="CV55" s="196"/>
      <c r="CW55" s="196"/>
      <c r="CX55" s="196"/>
      <c r="CY55" s="197"/>
      <c r="CZ55" s="197"/>
      <c r="DA55" s="197"/>
      <c r="DB55" s="197"/>
      <c r="DC55" s="197"/>
      <c r="DD55" s="183"/>
      <c r="DE55" s="191"/>
      <c r="DF55" s="191"/>
      <c r="DG55" s="191"/>
      <c r="DH55" s="191"/>
      <c r="DI55" s="198"/>
      <c r="DJ55" s="198"/>
      <c r="DK55" s="198"/>
      <c r="DL55" s="198"/>
      <c r="DM55" s="198"/>
      <c r="DN55" s="198"/>
      <c r="DO55" s="198"/>
      <c r="DP55" s="198"/>
      <c r="DQ55" s="207"/>
      <c r="DR55" s="207"/>
      <c r="DS55" s="207"/>
      <c r="DT55" s="207"/>
      <c r="DU55" s="207"/>
      <c r="DV55" s="207"/>
      <c r="DW55" s="198"/>
      <c r="DY55" s="189"/>
      <c r="DZ55" s="195"/>
      <c r="EA55" s="195"/>
      <c r="EB55" s="196"/>
      <c r="EC55" s="196"/>
      <c r="ED55" s="196"/>
      <c r="EE55" s="196"/>
      <c r="EF55" s="196"/>
      <c r="EG55" s="196"/>
      <c r="EH55" s="196"/>
      <c r="EI55" s="197"/>
      <c r="EJ55" s="197"/>
      <c r="EK55" s="197"/>
      <c r="EL55" s="197"/>
      <c r="EM55" s="197"/>
      <c r="EN55" s="183"/>
      <c r="EO55" s="191"/>
      <c r="EP55" s="191"/>
      <c r="EQ55" s="191"/>
      <c r="ER55" s="191"/>
      <c r="ES55" s="198"/>
      <c r="ET55" s="198"/>
      <c r="EU55" s="198"/>
      <c r="EV55" s="198"/>
      <c r="EW55" s="198"/>
      <c r="EX55" s="198"/>
      <c r="EY55" s="198"/>
      <c r="EZ55" s="198"/>
      <c r="FA55" s="207"/>
      <c r="FB55" s="207"/>
      <c r="FC55" s="207"/>
      <c r="FD55" s="207"/>
      <c r="FE55" s="207"/>
      <c r="FF55" s="207"/>
    </row>
    <row r="56" spans="2:162" ht="15" outlineLevel="1">
      <c r="B56" s="208" t="s">
        <v>48</v>
      </c>
      <c r="C56" s="209" t="s">
        <v>49</v>
      </c>
      <c r="D56" s="313"/>
      <c r="E56" s="332">
        <f t="shared" ref="E56:E66" si="143">X56+BG56+CP56+DZ56</f>
        <v>7.3809010000000006</v>
      </c>
      <c r="F56" s="332">
        <f t="shared" ref="F56:F66" si="144">Y56+BH56+CQ56+EA56</f>
        <v>3.4796055000000004</v>
      </c>
      <c r="G56" s="332">
        <f t="shared" ref="G56" si="145">E56-F56</f>
        <v>3.9012955000000002</v>
      </c>
      <c r="H56" s="332">
        <f t="shared" ref="H56:H66" si="146">Z56+BI56+CR56+EB56</f>
        <v>3.2386430000000002</v>
      </c>
      <c r="I56" s="332">
        <f t="shared" ref="I56:I66" si="147">AA56+BJ56+CS56+EC56</f>
        <v>4.1422580000000009</v>
      </c>
      <c r="J56" s="332">
        <f t="shared" ref="J56:J66" si="148">AB56+BK56+CT56+ED56</f>
        <v>3.970778000000001</v>
      </c>
      <c r="K56" s="332">
        <f t="shared" ref="K56:K66" si="149">AC56+BL56+CU56+EE56</f>
        <v>0.17147999999999999</v>
      </c>
      <c r="L56" s="332">
        <f t="shared" ref="L56:L66" si="150">AD56+BM56+CV56+EF56</f>
        <v>0</v>
      </c>
      <c r="M56" s="332">
        <f t="shared" ref="M56:M66" si="151">AE56+BN56+CW56+EG56</f>
        <v>0</v>
      </c>
      <c r="N56" s="333"/>
      <c r="O56" s="334">
        <f t="shared" ref="O56:O66" si="152">AG56+BP56+CY56+EI56</f>
        <v>0.24096250000000002</v>
      </c>
      <c r="P56" s="334">
        <f t="shared" ref="P56:P66" si="153">AH56+BQ56+CZ56+EJ56</f>
        <v>0</v>
      </c>
      <c r="Q56" s="334">
        <f t="shared" ref="Q56:Q66" si="154">AI56+BR56+DA56+EK56</f>
        <v>0.24096250000000002</v>
      </c>
      <c r="R56" s="334">
        <f t="shared" ref="R56:R66" si="155">AJ56+BS56+DB56+EL56</f>
        <v>0</v>
      </c>
      <c r="S56" s="334">
        <f t="shared" ref="S56:S66" si="156">AK56+BT56+DC56+EM56</f>
        <v>0</v>
      </c>
      <c r="T56" s="331"/>
      <c r="U56" s="183"/>
      <c r="V56" s="210">
        <f>SUM(V57:V66)</f>
        <v>0.5</v>
      </c>
      <c r="W56" s="210"/>
      <c r="X56" s="251">
        <f>V56*($V$4*'BOQ COST'!$E$15)</f>
        <v>4.8192500000000003</v>
      </c>
      <c r="Y56" s="292">
        <f t="shared" ref="Y56:Y66" si="157">Z56+AG56</f>
        <v>1.6867375</v>
      </c>
      <c r="Z56" s="295">
        <f>SUM(Z57:Z66)</f>
        <v>1.445775</v>
      </c>
      <c r="AA56" s="295">
        <f>SUM(AA57:AA66)</f>
        <v>3.3734750000000009</v>
      </c>
      <c r="AB56" s="295">
        <f t="shared" ref="AB56:AW56" si="158">SUM(AB57:AB66)</f>
        <v>3.3734750000000009</v>
      </c>
      <c r="AC56" s="295">
        <f t="shared" si="158"/>
        <v>0</v>
      </c>
      <c r="AD56" s="295">
        <f t="shared" si="158"/>
        <v>0</v>
      </c>
      <c r="AE56" s="295">
        <f t="shared" si="158"/>
        <v>0</v>
      </c>
      <c r="AF56" s="252"/>
      <c r="AG56" s="296">
        <f>SUM(AG57:AG66)</f>
        <v>0.24096250000000002</v>
      </c>
      <c r="AH56" s="296">
        <f>SUM(AH57:AH66)</f>
        <v>0</v>
      </c>
      <c r="AI56" s="296">
        <f>SUM(AI57:AI66)</f>
        <v>0.24096250000000002</v>
      </c>
      <c r="AJ56" s="296">
        <f t="shared" ref="AJ56:AK56" si="159">SUM(AJ57:AJ66)</f>
        <v>0</v>
      </c>
      <c r="AK56" s="296">
        <f t="shared" si="159"/>
        <v>0</v>
      </c>
      <c r="AL56" s="169"/>
      <c r="AM56" s="350"/>
      <c r="AN56" s="350"/>
      <c r="AO56" s="350"/>
      <c r="AP56" s="293">
        <f t="shared" si="158"/>
        <v>0</v>
      </c>
      <c r="AQ56" s="363">
        <f t="shared" si="158"/>
        <v>298</v>
      </c>
      <c r="AR56" s="363">
        <f t="shared" si="158"/>
        <v>256</v>
      </c>
      <c r="AS56" s="363">
        <f t="shared" si="158"/>
        <v>42</v>
      </c>
      <c r="AT56" s="363">
        <f t="shared" si="158"/>
        <v>42</v>
      </c>
      <c r="AU56" s="363">
        <f t="shared" si="158"/>
        <v>0</v>
      </c>
      <c r="AV56" s="363">
        <f t="shared" si="158"/>
        <v>0</v>
      </c>
      <c r="AW56" s="363">
        <f t="shared" si="158"/>
        <v>0</v>
      </c>
      <c r="AX56" s="216"/>
      <c r="AY56" s="366">
        <f>SUM(AY57:AY66)</f>
        <v>17</v>
      </c>
      <c r="AZ56" s="366">
        <f>SUM(AZ57:AZ66)</f>
        <v>10</v>
      </c>
      <c r="BA56" s="366">
        <f t="shared" ref="BA56:BC56" si="160">SUM(BA57:BA66)</f>
        <v>7</v>
      </c>
      <c r="BB56" s="366">
        <f t="shared" si="160"/>
        <v>0</v>
      </c>
      <c r="BC56" s="366">
        <f t="shared" si="160"/>
        <v>0</v>
      </c>
      <c r="BD56" s="219"/>
      <c r="BE56" s="210">
        <f>SUM(BE57:BE66)</f>
        <v>0.55000000000000004</v>
      </c>
      <c r="BF56" s="210"/>
      <c r="BG56" s="251">
        <f>BE56*($BE$4*'BOQ COST'!$F$15)</f>
        <v>2.1901110000000004</v>
      </c>
      <c r="BH56" s="251">
        <f t="shared" ref="BH56:BH66" si="161">BI56+BP56</f>
        <v>1.5928080000000002</v>
      </c>
      <c r="BI56" s="295">
        <f>SUM(BI57:BI66)</f>
        <v>1.5928080000000002</v>
      </c>
      <c r="BJ56" s="295">
        <f>SUM(BJ57:BJ66)</f>
        <v>0.59730300000000014</v>
      </c>
      <c r="BK56" s="295">
        <f t="shared" ref="BK56:BN56" si="162">SUM(BK57:BK66)</f>
        <v>0.59730300000000014</v>
      </c>
      <c r="BL56" s="295">
        <f t="shared" si="162"/>
        <v>0</v>
      </c>
      <c r="BM56" s="295">
        <f t="shared" si="162"/>
        <v>0</v>
      </c>
      <c r="BN56" s="295">
        <f t="shared" si="162"/>
        <v>0</v>
      </c>
      <c r="BO56" s="252"/>
      <c r="BP56" s="296">
        <f>SUM(BP57:BP66)</f>
        <v>0</v>
      </c>
      <c r="BQ56" s="296">
        <f>SUM(BQ57:BQ66)</f>
        <v>0</v>
      </c>
      <c r="BR56" s="296">
        <f>SUM(BR57:BR66)</f>
        <v>0</v>
      </c>
      <c r="BS56" s="296">
        <f t="shared" ref="BS56:BT56" si="163">SUM(BS57:BS66)</f>
        <v>0</v>
      </c>
      <c r="BT56" s="296">
        <f t="shared" si="163"/>
        <v>0</v>
      </c>
      <c r="BU56" s="169"/>
      <c r="BV56" s="350"/>
      <c r="BW56" s="350"/>
      <c r="BX56" s="350"/>
      <c r="BY56" s="350">
        <f t="shared" ref="BY56:CF56" si="164">SUM(BY57:BY66)</f>
        <v>0</v>
      </c>
      <c r="BZ56" s="293">
        <f t="shared" si="164"/>
        <v>595</v>
      </c>
      <c r="CA56" s="293">
        <f t="shared" si="164"/>
        <v>530</v>
      </c>
      <c r="CB56" s="293">
        <f t="shared" si="164"/>
        <v>65</v>
      </c>
      <c r="CC56" s="293">
        <f t="shared" si="164"/>
        <v>65</v>
      </c>
      <c r="CD56" s="293">
        <f t="shared" si="164"/>
        <v>0</v>
      </c>
      <c r="CE56" s="293">
        <f t="shared" si="164"/>
        <v>0</v>
      </c>
      <c r="CF56" s="293">
        <f t="shared" si="164"/>
        <v>0</v>
      </c>
      <c r="CG56" s="216"/>
      <c r="CH56" s="298">
        <f>SUM(CH57:CH66)</f>
        <v>51</v>
      </c>
      <c r="CI56" s="298">
        <f>SUM(CI57:CI66)</f>
        <v>52</v>
      </c>
      <c r="CJ56" s="298">
        <f t="shared" ref="CJ56:CL56" si="165">SUM(CJ57:CJ66)</f>
        <v>0</v>
      </c>
      <c r="CK56" s="298">
        <f t="shared" si="165"/>
        <v>0</v>
      </c>
      <c r="CL56" s="298">
        <f t="shared" si="165"/>
        <v>0</v>
      </c>
      <c r="CM56" s="219"/>
      <c r="CN56" s="210">
        <f>SUM(CN57:CN66)</f>
        <v>0.65</v>
      </c>
      <c r="CO56" s="210"/>
      <c r="CP56" s="292">
        <f>CN56*($CN$4*'BOQ COST'!$G$15)</f>
        <v>0.37154000000000004</v>
      </c>
      <c r="CQ56" s="251">
        <f t="shared" ref="CQ56:CQ66" si="166">CR56+CY56</f>
        <v>0.20006000000000002</v>
      </c>
      <c r="CR56" s="295">
        <f>SUM(CR57:CR66)</f>
        <v>0.20006000000000002</v>
      </c>
      <c r="CS56" s="295">
        <f>SUM(CS57:CS66)</f>
        <v>0.17147999999999999</v>
      </c>
      <c r="CT56" s="295">
        <f t="shared" ref="CT56:CW56" si="167">SUM(CT57:CT66)</f>
        <v>0</v>
      </c>
      <c r="CU56" s="295">
        <f t="shared" si="167"/>
        <v>0.17147999999999999</v>
      </c>
      <c r="CV56" s="295">
        <f t="shared" si="167"/>
        <v>0</v>
      </c>
      <c r="CW56" s="295">
        <f t="shared" si="167"/>
        <v>0</v>
      </c>
      <c r="CX56" s="252"/>
      <c r="CY56" s="296">
        <f>SUM(CY57:CY66)</f>
        <v>0</v>
      </c>
      <c r="CZ56" s="296">
        <f>SUM(CZ57:CZ66)</f>
        <v>0</v>
      </c>
      <c r="DA56" s="296">
        <f>SUM(DA57:DA66)</f>
        <v>0</v>
      </c>
      <c r="DB56" s="296">
        <f t="shared" ref="DB56:DC56" si="168">SUM(DB57:DB66)</f>
        <v>0</v>
      </c>
      <c r="DC56" s="296">
        <f t="shared" si="168"/>
        <v>0</v>
      </c>
      <c r="DD56" s="183"/>
      <c r="DE56" s="215"/>
      <c r="DF56" s="215"/>
      <c r="DG56" s="215"/>
      <c r="DH56" s="293">
        <f t="shared" ref="DH56:DO56" si="169">SUM(DH57:DH66)</f>
        <v>0</v>
      </c>
      <c r="DI56" s="293">
        <f t="shared" si="169"/>
        <v>79</v>
      </c>
      <c r="DJ56" s="293">
        <f t="shared" si="169"/>
        <v>51</v>
      </c>
      <c r="DK56" s="293">
        <f t="shared" si="169"/>
        <v>28</v>
      </c>
      <c r="DL56" s="293">
        <f t="shared" si="169"/>
        <v>0</v>
      </c>
      <c r="DM56" s="293">
        <f t="shared" si="169"/>
        <v>28</v>
      </c>
      <c r="DN56" s="293">
        <f t="shared" si="169"/>
        <v>0</v>
      </c>
      <c r="DO56" s="293">
        <f t="shared" si="169"/>
        <v>0</v>
      </c>
      <c r="DP56" s="216"/>
      <c r="DQ56" s="298">
        <f>SUM(DQ57:DQ66)</f>
        <v>0</v>
      </c>
      <c r="DR56" s="298">
        <f>SUM(DR57:DR66)</f>
        <v>0</v>
      </c>
      <c r="DS56" s="298">
        <f t="shared" ref="DS56:DU56" si="170">SUM(DS57:DS66)</f>
        <v>0</v>
      </c>
      <c r="DT56" s="298">
        <f t="shared" si="170"/>
        <v>0</v>
      </c>
      <c r="DU56" s="298">
        <f t="shared" si="170"/>
        <v>0</v>
      </c>
      <c r="DV56" s="218"/>
      <c r="DW56" s="219"/>
      <c r="DX56" s="210">
        <f>SUM(DX57:DX66)</f>
        <v>0</v>
      </c>
      <c r="DY56" s="210"/>
      <c r="DZ56" s="292">
        <f>DX56*($DX$4*'BOQ COST'!$H$15)</f>
        <v>0</v>
      </c>
      <c r="EA56" s="251">
        <f t="shared" ref="EA56:EA66" si="171">EB56+EI56</f>
        <v>0</v>
      </c>
      <c r="EB56" s="295">
        <f>SUM(EB57:EB66)</f>
        <v>0</v>
      </c>
      <c r="EC56" s="295">
        <f>SUM(EC57:EC66)</f>
        <v>0</v>
      </c>
      <c r="ED56" s="295">
        <f t="shared" ref="ED56:EG56" si="172">SUM(ED57:ED66)</f>
        <v>0</v>
      </c>
      <c r="EE56" s="295">
        <f t="shared" si="172"/>
        <v>0</v>
      </c>
      <c r="EF56" s="295">
        <f t="shared" si="172"/>
        <v>0</v>
      </c>
      <c r="EG56" s="295">
        <f t="shared" si="172"/>
        <v>0</v>
      </c>
      <c r="EH56" s="252"/>
      <c r="EI56" s="296">
        <f>SUM(EI57:EI66)</f>
        <v>0</v>
      </c>
      <c r="EJ56" s="296">
        <f>SUM(EJ57:EJ66)</f>
        <v>0</v>
      </c>
      <c r="EK56" s="296">
        <f>SUM(EK57:EK66)</f>
        <v>0</v>
      </c>
      <c r="EL56" s="296">
        <f t="shared" ref="EL56:EM56" si="173">SUM(EL57:EL66)</f>
        <v>0</v>
      </c>
      <c r="EM56" s="296">
        <f t="shared" si="173"/>
        <v>0</v>
      </c>
      <c r="EN56" s="183"/>
      <c r="EO56" s="215"/>
      <c r="EP56" s="215"/>
      <c r="EQ56" s="215"/>
      <c r="ER56" s="293">
        <f t="shared" ref="ER56:EY56" si="174">SUM(ER57:ER66)</f>
        <v>0</v>
      </c>
      <c r="ES56" s="293">
        <f t="shared" si="174"/>
        <v>0</v>
      </c>
      <c r="ET56" s="293">
        <f t="shared" si="174"/>
        <v>0</v>
      </c>
      <c r="EU56" s="293">
        <f t="shared" si="174"/>
        <v>0</v>
      </c>
      <c r="EV56" s="293">
        <f t="shared" si="174"/>
        <v>0</v>
      </c>
      <c r="EW56" s="293">
        <f t="shared" si="174"/>
        <v>0</v>
      </c>
      <c r="EX56" s="293">
        <f t="shared" si="174"/>
        <v>0</v>
      </c>
      <c r="EY56" s="293">
        <f t="shared" si="174"/>
        <v>0</v>
      </c>
      <c r="EZ56" s="216"/>
      <c r="FA56" s="298">
        <f>SUM(FA57:FA66)</f>
        <v>0</v>
      </c>
      <c r="FB56" s="298">
        <f>SUM(FB57:FB66)</f>
        <v>0</v>
      </c>
      <c r="FC56" s="298">
        <f t="shared" ref="FC56:FE56" si="175">SUM(FC57:FC66)</f>
        <v>0</v>
      </c>
      <c r="FD56" s="298">
        <f t="shared" si="175"/>
        <v>0</v>
      </c>
      <c r="FE56" s="298">
        <f t="shared" si="175"/>
        <v>0</v>
      </c>
      <c r="FF56" s="218"/>
    </row>
    <row r="57" spans="2:162" ht="11.85" customHeight="1" outlineLevel="2">
      <c r="B57" s="459" t="s">
        <v>150</v>
      </c>
      <c r="C57" s="280" t="s">
        <v>51</v>
      </c>
      <c r="E57" s="253">
        <f t="shared" si="143"/>
        <v>0.96586700000000014</v>
      </c>
      <c r="F57" s="253">
        <f t="shared" si="144"/>
        <v>0.96586700000000014</v>
      </c>
      <c r="G57" s="254">
        <f t="shared" ref="G57:G66" si="176">E57-F57</f>
        <v>0</v>
      </c>
      <c r="H57" s="254">
        <f t="shared" si="146"/>
        <v>0.96586700000000014</v>
      </c>
      <c r="I57" s="253">
        <f t="shared" si="147"/>
        <v>0</v>
      </c>
      <c r="J57" s="253">
        <f t="shared" si="148"/>
        <v>0</v>
      </c>
      <c r="K57" s="253">
        <f t="shared" si="149"/>
        <v>0</v>
      </c>
      <c r="L57" s="253">
        <f t="shared" si="150"/>
        <v>0</v>
      </c>
      <c r="M57" s="253">
        <f t="shared" si="151"/>
        <v>0</v>
      </c>
      <c r="N57" s="256"/>
      <c r="O57" s="253">
        <f t="shared" si="152"/>
        <v>0</v>
      </c>
      <c r="P57" s="253">
        <f t="shared" si="153"/>
        <v>0</v>
      </c>
      <c r="Q57" s="253">
        <f t="shared" si="154"/>
        <v>0</v>
      </c>
      <c r="R57" s="253">
        <f t="shared" si="155"/>
        <v>0</v>
      </c>
      <c r="S57" s="253">
        <f t="shared" si="156"/>
        <v>0</v>
      </c>
      <c r="T57" s="169"/>
      <c r="U57" s="183"/>
      <c r="V57" s="232">
        <v>0.05</v>
      </c>
      <c r="W57" s="222"/>
      <c r="X57" s="253">
        <f>$X$56/$V$56*V57</f>
        <v>0.48192500000000005</v>
      </c>
      <c r="Y57" s="253">
        <f t="shared" si="157"/>
        <v>0.48192500000000005</v>
      </c>
      <c r="Z57" s="254">
        <f>IFERROR(IF(AM57=100%,$X57,0),0)</f>
        <v>0.48192500000000005</v>
      </c>
      <c r="AA57" s="255">
        <f>IFERROR(IF(AND((AM57+AN57)=100%,AM57&lt;1),$X57,0),0)</f>
        <v>0</v>
      </c>
      <c r="AB57" s="255">
        <f t="shared" ref="AB57:AB66" si="177">IFERROR(IF(AND((AR57+AT57)=AQ57,Z57=0),$X57,0),0)</f>
        <v>0</v>
      </c>
      <c r="AC57" s="255">
        <f t="shared" ref="AC57:AC66" si="178">IFERROR(IF(AND((AR57+AT57+AU57)=AQ57,Z57=0,AB57=0),$X57,0),0)</f>
        <v>0</v>
      </c>
      <c r="AD57" s="255">
        <f t="shared" ref="AD57:AD66" si="179">IFERROR(IF(AND((AR57+AT57+AU57+AV57)=AQ57,Z57=0,AB57=0,AC57=0),$X57,0),0)</f>
        <v>0</v>
      </c>
      <c r="AE57" s="255">
        <f t="shared" ref="AE57:AE66" si="180">IFERROR(IF(AND((AR57+AT57+AU57+AV57+AW57)=AQ57,Z57=0,AB57=0,AC57=0,AD57=0),$X57,0),0)</f>
        <v>0</v>
      </c>
      <c r="AF57" s="256"/>
      <c r="AG57" s="255">
        <f t="shared" ref="AG57:AG66" si="181">IFERROR(IF(AND((AM57+AO57)=100%,AM57&lt;1),$X57,0),0)</f>
        <v>0</v>
      </c>
      <c r="AH57" s="255">
        <f t="shared" ref="AH57:AH66" si="182">IFERROR(IF(AND((AR57+AZ57)=AQ57,Z57=0),$X57,0),0)</f>
        <v>0</v>
      </c>
      <c r="AI57" s="255">
        <f>IFERROR(IF(AND((AR57+AZ57+BA57)=AQ57,Z57=0,AH57=0),$X57,0),0)</f>
        <v>0</v>
      </c>
      <c r="AJ57" s="255">
        <f>IFERROR(IF(AND((AR57+AZ57+BA57+BB57)=AQ57,Z57=0,AH57=0,AI57=0),$X57,0),0)</f>
        <v>0</v>
      </c>
      <c r="AK57" s="255">
        <f t="shared" ref="AK57:AK66" si="183">IFERROR(IF(AND((AR57+AZ57+BC57+BA57+BB57)=AQ57,Z57=0,AH57=0,AI57=0,AJ57=0),$X57,0),0)</f>
        <v>0</v>
      </c>
      <c r="AL57" s="169"/>
      <c r="AM57" s="279">
        <f t="shared" ref="AM57:AM66" si="184">IFERROR(AR57/AQ57,0)</f>
        <v>1</v>
      </c>
      <c r="AN57" s="279">
        <f t="shared" ref="AN57:AN66" si="185">IFERROR(AS57/AQ57,0)</f>
        <v>0</v>
      </c>
      <c r="AO57" s="279">
        <f t="shared" ref="AO57:AO66" si="186">IFERROR(AY57/AQ57,0)</f>
        <v>0</v>
      </c>
      <c r="AP57" s="228"/>
      <c r="AQ57" s="364">
        <f>COUNTIF('AR | Drawing List'!$H:$H,$B57)</f>
        <v>104</v>
      </c>
      <c r="AR57" s="365">
        <f>COUNTIFS('AR | Drawing List'!$H:$H,$B57,INDEX('AR | Drawing List'!$A:$AT,,MATCH('Design Fee'!AR$8,'AR | Drawing List'!$A$1:$AT$1,0)),1)</f>
        <v>104</v>
      </c>
      <c r="AS57" s="365">
        <f>COUNTIFS('AR | Drawing List'!$H:$H,$B57,INDEX('AR | Drawing List'!$K:$AT,,MATCH('Design Fee'!AS$8,'AR | Drawing List'!$K$1:$AT$1,0)),1)</f>
        <v>0</v>
      </c>
      <c r="AT57" s="365">
        <f>COUNTIFS('AR | Drawing List'!$H:$H,$B57,INDEX('AR | Drawing List'!$K:$AT,,MATCH('Design Fee'!AT$8,'AR | Drawing List'!$K$1:$AT$1,0)),1)</f>
        <v>0</v>
      </c>
      <c r="AU57" s="365">
        <f>COUNTIFS('AR | Drawing List'!$H:$H,$B57,INDEX('AR | Drawing List'!$K:$AT,,MATCH('Design Fee'!AU$8,'AR | Drawing List'!$K$1:$AT$1,0)),1)</f>
        <v>0</v>
      </c>
      <c r="AV57" s="365">
        <f>COUNTIFS('AR | Drawing List'!$H:$H,$B57,INDEX('AR | Drawing List'!$K:$AT,,MATCH('Design Fee'!AV$8,'AR | Drawing List'!$K$1:$AT$1,0)),1)</f>
        <v>0</v>
      </c>
      <c r="AW57" s="365">
        <f>COUNTIFS('AR | Drawing List'!$H:$H,$B57,INDEX('AR | Drawing List'!$K:$AT,,MATCH('Design Fee'!AW$8,'AR | Drawing List'!$K$1:$AT$1,0)),1)</f>
        <v>0</v>
      </c>
      <c r="AX57" s="198"/>
      <c r="AY57" s="365">
        <f>COUNTIFS('AR | Drawing List'!$H:$H,$B57,INDEX('AR | Drawing List'!$K:$AT,,MATCH('Design Fee'!AY$8,'AR | Drawing List'!$K$1:$AT$1,0)),1)</f>
        <v>0</v>
      </c>
      <c r="AZ57" s="365">
        <f>COUNTIFS('AR | Drawing List'!$H:$H,$B57,INDEX('AR | Drawing List'!$K:$AT,,MATCH('Design Fee'!AZ$8,'AR | Drawing List'!$K$1:$AT$1,0)),1)</f>
        <v>0</v>
      </c>
      <c r="BA57" s="365">
        <f>COUNTIFS('AR | Drawing List'!$H:$H,$B57,INDEX('AR | Drawing List'!$K:$AT,,MATCH('Design Fee'!BA$8,'AR | Drawing List'!$K$1:$AT$1,0)),1)</f>
        <v>0</v>
      </c>
      <c r="BB57" s="365">
        <f>COUNTIFS('AR | Drawing List'!$H:$H,$B57,INDEX('AR | Drawing List'!$K:$AT,,MATCH('Design Fee'!BB$8,'AR | Drawing List'!$K$1:$AT$1,0)),1)</f>
        <v>0</v>
      </c>
      <c r="BC57" s="365">
        <f>COUNTIFS('AR | Drawing List'!$H:$H,$B57,INDEX('AR | Drawing List'!$K:$AT,,MATCH('Design Fee'!BC$8,'AR | Drawing List'!$K$1:$AT$1,0)),1)</f>
        <v>0</v>
      </c>
      <c r="BD57" s="198"/>
      <c r="BE57" s="239">
        <v>0.1</v>
      </c>
      <c r="BF57" s="222"/>
      <c r="BG57" s="253">
        <f>$BG$56/$BE$56*BE57</f>
        <v>0.39820200000000006</v>
      </c>
      <c r="BH57" s="253">
        <f t="shared" si="161"/>
        <v>0.39820200000000006</v>
      </c>
      <c r="BI57" s="254">
        <f t="shared" ref="BI57:BI66" si="187">IFERROR(IF(BV57=100%,$BG57,0),0)</f>
        <v>0.39820200000000006</v>
      </c>
      <c r="BJ57" s="255">
        <f t="shared" ref="BJ57:BJ66" si="188">IFERROR(IF(AND((BV57+BW57)=100%,BV57&lt;1),$BG57,0),0)</f>
        <v>0</v>
      </c>
      <c r="BK57" s="255">
        <f t="shared" ref="BK57:BK66" si="189">IFERROR(IF(AND((CA57+CC57)=BZ57,BI57=0),$BG57,0),0)</f>
        <v>0</v>
      </c>
      <c r="BL57" s="255">
        <f t="shared" ref="BL57:BL66" si="190">IFERROR(IF(AND((CA57+CC57+CD57)=BZ57,BI57=0,BK57=0),$BG57,0),0)</f>
        <v>0</v>
      </c>
      <c r="BM57" s="255">
        <f t="shared" ref="BM57:BM66" si="191">IFERROR(IF(AND((CA57+CC57+CD57+CE57)=BZ57,BI57=0,BK57=0,BL57=0),$BG57,0),0)</f>
        <v>0</v>
      </c>
      <c r="BN57" s="255">
        <f t="shared" ref="BN57:BN66" si="192">IFERROR(IF(AND((CA57+CC57+CD57+CE57+CF57)=BZ57,BI57=0,BK57=0,BL57=0,BM57=0),$BG57,0),0)</f>
        <v>0</v>
      </c>
      <c r="BO57" s="256"/>
      <c r="BP57" s="255">
        <f t="shared" ref="BP57:BP66" si="193">IFERROR(IF(AND((BV57+BX57)=100%,BV57&lt;1),$BG57,0),0)</f>
        <v>0</v>
      </c>
      <c r="BQ57" s="255">
        <f t="shared" ref="BQ57:BQ66" si="194">IFERROR(IF(AND((CA57+CI57)=BZ57,BI57=0),$BG57,0),0)</f>
        <v>0</v>
      </c>
      <c r="BR57" s="255">
        <f t="shared" ref="BR57:BR66" si="195">IFERROR(IF(AND((CA57+CI57+CJ57)=BZ57,BI57=0,BQ57=0),$BG57,0),0)</f>
        <v>0</v>
      </c>
      <c r="BS57" s="255">
        <f t="shared" ref="BS57:BS66" si="196">IFERROR(IF(AND((CA57+CI57+CJ57+CK57)=BZ57,BI57=0,BQ57=0,BR57=0),$BG57,0),0)</f>
        <v>0</v>
      </c>
      <c r="BT57" s="255">
        <f t="shared" ref="BT57:BT66" si="197">IFERROR(IF(AND((CA57+CI57+CL57+CJ57+CK57)=BZ57,BI57=0,BQ57=0,BR57=0,BS57=0),$BG57,0),0)</f>
        <v>0</v>
      </c>
      <c r="BU57" s="169"/>
      <c r="BV57" s="279">
        <f t="shared" ref="BV57:BV66" si="198">IFERROR(CA57/BZ57,0)</f>
        <v>1</v>
      </c>
      <c r="BW57" s="279">
        <f t="shared" ref="BW57:BW66" si="199">IFERROR(CB57/BZ57,0)</f>
        <v>0</v>
      </c>
      <c r="BX57" s="279">
        <f>IFERROR(CH57/BZ57,0)</f>
        <v>0</v>
      </c>
      <c r="BZ57" s="297">
        <f>COUNTIF('ST | Drawing List'!$G:$G,$B57)</f>
        <v>187</v>
      </c>
      <c r="CA57" s="191">
        <f>COUNTIFS('ST | Drawing List'!$G:$G,$B57,INDEX('ST | Drawing List'!$A:$U,,MATCH('Design Fee'!CA$8,'ST | Drawing List'!$A$1:$U$1,0)),1)</f>
        <v>187</v>
      </c>
      <c r="CB57" s="191">
        <f>COUNTIFS('ST | Drawing List'!$G:$G,$B57,INDEX('ST | Drawing List'!$J:$U,,MATCH('Design Fee'!CB$8,'ST | Drawing List'!$J$1:$U$1,0)),1)</f>
        <v>0</v>
      </c>
      <c r="CC57" s="191">
        <f>COUNTIFS('ST | Drawing List'!$G:$G,$B57,INDEX('ST | Drawing List'!$J:$U,,MATCH('Design Fee'!CC$8,'ST | Drawing List'!$J$1:$U$1,0)),1)</f>
        <v>0</v>
      </c>
      <c r="CD57" s="191">
        <f>COUNTIFS('ST | Drawing List'!$G:$G,$B57,INDEX('ST | Drawing List'!$J:$U,,MATCH('Design Fee'!CD$8,'ST | Drawing List'!$J$1:$U$1,0)),1)</f>
        <v>0</v>
      </c>
      <c r="CE57" s="191">
        <f>COUNTIFS('ST | Drawing List'!$G:$G,$B57,INDEX('ST | Drawing List'!$J:$U,,MATCH('Design Fee'!CE$8,'ST | Drawing List'!$J$1:$U$1,0)),1)</f>
        <v>0</v>
      </c>
      <c r="CF57" s="191">
        <f>COUNTIFS('ST | Drawing List'!$G:$G,$B57,INDEX('ST | Drawing List'!$J:$U,,MATCH('Design Fee'!CF$8,'ST | Drawing List'!$J$1:$U$1,0)),1)</f>
        <v>0</v>
      </c>
      <c r="CG57" s="198"/>
      <c r="CH57" s="191">
        <f>COUNTIFS('ST | Drawing List'!$G:$G,$B57,INDEX('ST | Drawing List'!$J:$U,,MATCH('Design Fee'!CH$8,'ST | Drawing List'!$J$1:$U$1,0)),1)</f>
        <v>0</v>
      </c>
      <c r="CI57" s="191">
        <f>COUNTIFS('ST | Drawing List'!$G:$G,$B57,INDEX('ST | Drawing List'!$J:$U,,MATCH('Design Fee'!CI$8,'ST | Drawing List'!$J$1:$U$1,0)),1)</f>
        <v>0</v>
      </c>
      <c r="CJ57" s="191">
        <f>COUNTIFS('ST | Drawing List'!$G:$G,$B57,INDEX('ST | Drawing List'!$J:$U,,MATCH('Design Fee'!CJ$8,'ST | Drawing List'!$J$1:$U$1,0)),1)</f>
        <v>0</v>
      </c>
      <c r="CK57" s="191">
        <f>COUNTIFS('ST | Drawing List'!$G:$G,$B57,INDEX('ST | Drawing List'!$J:$U,,MATCH('Design Fee'!CK$8,'ST | Drawing List'!$J$1:$U$1,0)),1)</f>
        <v>0</v>
      </c>
      <c r="CL57" s="191">
        <f>COUNTIFS('ST | Drawing List'!$G:$G,$B57,INDEX('ST | Drawing List'!$J:$U,,MATCH('Design Fee'!CL$8,'ST | Drawing List'!$J$1:$U$1,0)),1)</f>
        <v>0</v>
      </c>
      <c r="CM57" s="198"/>
      <c r="CN57" s="239">
        <v>0.15</v>
      </c>
      <c r="CO57" s="222"/>
      <c r="CP57" s="253">
        <f>$CP$56/$CN$56*CN57</f>
        <v>8.5739999999999997E-2</v>
      </c>
      <c r="CQ57" s="253">
        <f t="shared" si="166"/>
        <v>8.5739999999999997E-2</v>
      </c>
      <c r="CR57" s="254">
        <f t="shared" ref="CR57:CR66" si="200">IFERROR(IF(DE57=100%,$CP57,0),0)</f>
        <v>8.5739999999999997E-2</v>
      </c>
      <c r="CS57" s="255">
        <f t="shared" ref="CS57:CS66" si="201">IFERROR(IF(AND((DE57+DF57)=100%,DE57&lt;1),$CP57,0),0)</f>
        <v>0</v>
      </c>
      <c r="CT57" s="255">
        <f t="shared" ref="CT57:CT66" si="202">IFERROR(IF(AND((DJ57+DL57)=DI57,CR57=0),$CP57,0),0)</f>
        <v>0</v>
      </c>
      <c r="CU57" s="255">
        <f t="shared" ref="CU57:CU66" si="203">IFERROR(IF(AND((DJ57+DL57+DM57)=DI57,CR57=0,CT57=0),$CP57,0),0)</f>
        <v>0</v>
      </c>
      <c r="CV57" s="255">
        <f t="shared" ref="CV57:CV66" si="204">IFERROR(IF(AND((DJ57+DL57+DM57+DN57)=DI57,CR57=0,CT57=0,CU57=0),$CP57,0),0)</f>
        <v>0</v>
      </c>
      <c r="CW57" s="255">
        <f t="shared" ref="CW57:CW66" si="205">IFERROR(IF(AND((DJ57+DL57+DM57+DN57+DO57)=DI57,CR57=0,CT57=0,CU57=0,CV57=0),$CP57,0),0)</f>
        <v>0</v>
      </c>
      <c r="CX57" s="256"/>
      <c r="CY57" s="255">
        <f t="shared" ref="CY57:CY66" si="206">IFERROR(IF(AND((DE57+DG57)=100%,DE57&lt;1),$CP57,0),0)</f>
        <v>0</v>
      </c>
      <c r="CZ57" s="255">
        <f t="shared" ref="CZ57:CZ66" si="207">IFERROR(IF(AND((DJ57+DR57)=DI57,CR57=0),$CP57,0),0)</f>
        <v>0</v>
      </c>
      <c r="DA57" s="255">
        <f t="shared" ref="DA57:DA66" si="208">IFERROR(IF(AND((DJ57+DR57+DS57)=DI57,CR57=0,CZ57=0),$CP57,0),0)</f>
        <v>0</v>
      </c>
      <c r="DB57" s="255">
        <f t="shared" ref="DB57:DB66" si="209">IFERROR(IF(AND((DJ57+DR57+DS57+DT57)=DI57,CR57=0,CZ57=0,DA57=0),$CP57,0),0)</f>
        <v>0</v>
      </c>
      <c r="DC57" s="255">
        <f t="shared" ref="DC57:DC66" si="210">IFERROR(IF(AND((DJ57+DR57+DU57+DS57+DT57)=DI57,CR57=0,CZ57=0,DA57=0,DB57=0),$CP57,0),0)</f>
        <v>0</v>
      </c>
      <c r="DD57" s="183"/>
      <c r="DE57" s="300">
        <f t="shared" ref="DE57:DE66" si="211">IFERROR(DJ57/DI57,0)</f>
        <v>1</v>
      </c>
      <c r="DF57" s="300">
        <f t="shared" ref="DF57:DF66" si="212">IFERROR(DK57/DI57,0)</f>
        <v>0</v>
      </c>
      <c r="DG57" s="300">
        <f>IFERROR(DQ57/DI57,0)</f>
        <v>0</v>
      </c>
      <c r="DH57" s="228"/>
      <c r="DI57" s="297">
        <f>COUNTIF('MEP | Drawing List'!$I:$I,$B57)</f>
        <v>1</v>
      </c>
      <c r="DJ57" s="191">
        <f>COUNTIFS('MEP | Drawing List'!$I:$I,$B57,INDEX('MEP | Drawing List'!$B:$X,,MATCH('Design Fee'!DJ$8,'MEP | Drawing List'!$B$1:$X$1,0)),1)</f>
        <v>1</v>
      </c>
      <c r="DK57" s="191">
        <f>COUNTIFS('MEP | Drawing List'!$I:$I,$B57,INDEX('MEP | Drawing List'!$L:$X,,MATCH('Design Fee'!DK$8,'MEP | Drawing List'!$L$1:$X$1,0)),1)</f>
        <v>0</v>
      </c>
      <c r="DL57" s="191">
        <f>COUNTIFS('MEP | Drawing List'!$I:$I,$B57,INDEX('MEP | Drawing List'!$L:$X,,MATCH('Design Fee'!DL$8,'MEP | Drawing List'!$L$1:$X$1,0)),1)</f>
        <v>0</v>
      </c>
      <c r="DM57" s="191">
        <f>COUNTIFS('MEP | Drawing List'!$I:$I,$B57,INDEX('MEP | Drawing List'!$L:$X,,MATCH('Design Fee'!DM$8,'MEP | Drawing List'!$L$1:$X$1,0)),1)</f>
        <v>0</v>
      </c>
      <c r="DN57" s="191">
        <f>COUNTIFS('MEP | Drawing List'!$I:$I,$B57,INDEX('MEP | Drawing List'!$L:$X,,MATCH('Design Fee'!DN$8,'MEP | Drawing List'!$L$1:$X$1,0)),1)</f>
        <v>0</v>
      </c>
      <c r="DO57" s="191">
        <f>COUNTIFS('MEP | Drawing List'!$I:$I,$B57,INDEX('MEP | Drawing List'!$L:$X,,MATCH('Design Fee'!DO$8,'MEP | Drawing List'!$L$1:$X$1,0)),1)</f>
        <v>0</v>
      </c>
      <c r="DP57" s="198"/>
      <c r="DQ57" s="191">
        <f>COUNTIFS('MEP | Drawing List'!$I:$I,$B57,INDEX('MEP | Drawing List'!$L:$X,,MATCH('Design Fee'!DQ$8,'MEP | Drawing List'!$L$1:$X$1,0)),1)</f>
        <v>0</v>
      </c>
      <c r="DR57" s="191">
        <f>COUNTIFS('MEP | Drawing List'!$I:$I,$B57,INDEX('MEP | Drawing List'!$L:$X,,MATCH('Design Fee'!DR$8,'MEP | Drawing List'!$L$1:$X$1,0)),1)</f>
        <v>0</v>
      </c>
      <c r="DS57" s="191">
        <f>COUNTIFS('MEP | Drawing List'!$I:$I,$B57,INDEX('MEP | Drawing List'!$L:$X,,MATCH('Design Fee'!DS$8,'MEP | Drawing List'!$L$1:$X$1,0)),1)</f>
        <v>0</v>
      </c>
      <c r="DT57" s="191">
        <f>COUNTIFS('MEP | Drawing List'!$I:$I,$B57,INDEX('MEP | Drawing List'!$L:$X,,MATCH('Design Fee'!DT$8,'MEP | Drawing List'!$L$1:$X$1,0)),1)</f>
        <v>0</v>
      </c>
      <c r="DU57" s="191">
        <f>COUNTIFS('MEP | Drawing List'!$I:$I,$B57,INDEX('MEP | Drawing List'!$L:$X,,MATCH('Design Fee'!DU$8,'MEP | Drawing List'!$L$1:$X$1,0)),1)</f>
        <v>0</v>
      </c>
      <c r="DV57" s="207"/>
      <c r="DW57" s="198"/>
      <c r="DX57" s="239">
        <v>0</v>
      </c>
      <c r="DY57" s="222"/>
      <c r="DZ57" s="253"/>
      <c r="EA57" s="253">
        <f t="shared" si="171"/>
        <v>0</v>
      </c>
      <c r="EB57" s="254">
        <f t="shared" ref="EB57:EB66" si="213">IFERROR(IF(EO57=100%,$DZ57,0),0)</f>
        <v>0</v>
      </c>
      <c r="EC57" s="255">
        <f t="shared" ref="EC57:EC66" si="214">IFERROR(IF(AND((EO57+EP57)=100%,EO57&lt;1),$DZ57,0),0)</f>
        <v>0</v>
      </c>
      <c r="ED57" s="255">
        <f t="shared" ref="ED57:ED66" si="215">IFERROR(IF(AND((ET57+EV57)=ES57,EB57=0),$DZ57,0),0)</f>
        <v>0</v>
      </c>
      <c r="EE57" s="255">
        <f t="shared" ref="EE57:EE66" si="216">IFERROR(IF(AND((ET57+EV57+EW57)=ES57,EB57=0,ED57=0),$DZ57,0),0)</f>
        <v>0</v>
      </c>
      <c r="EF57" s="255">
        <f t="shared" ref="EF57:EF66" si="217">IFERROR(IF(AND((ET57+EV57+EW57+EX57)=ES57,EB57=0,ED57=0,EE57=0),$DZ57,0),0)</f>
        <v>0</v>
      </c>
      <c r="EG57" s="255">
        <f t="shared" ref="EG57:EG66" si="218">IFERROR(IF(AND((ET57+EV57+EW57+EX57+EY57)=ES57,EB57=0,ED57=0,EE57=0,EF57=0),$DZ57,0),0)</f>
        <v>0</v>
      </c>
      <c r="EH57" s="256"/>
      <c r="EI57" s="255">
        <f t="shared" ref="EI57:EI66" si="219">IFERROR(IF(AND((EO57+EQ57)=100%,EO57&lt;1),$DZ57,0),0)</f>
        <v>0</v>
      </c>
      <c r="EJ57" s="255">
        <f t="shared" ref="EJ57:EJ66" si="220">IFERROR(IF(AND((ET57+FB57)=ES57,EB57=0),$DZ57,0),0)</f>
        <v>0</v>
      </c>
      <c r="EK57" s="255">
        <f t="shared" ref="EK57:EK66" si="221">IFERROR(IF(AND((ET57+FB57+FC57)=ES57,EB57=0,EJ57=0),$DZ57,0),0)</f>
        <v>0</v>
      </c>
      <c r="EL57" s="255">
        <f t="shared" ref="EL57:EL66" si="222">IFERROR(IF(AND((ET57+FB57+FC57+FD57)=ES57,EB57=0,EJ57=0,EK57=0),$DZ57,0),0)</f>
        <v>0</v>
      </c>
      <c r="EM57" s="255">
        <f t="shared" ref="EM57:EM66" si="223">IFERROR(IF(AND((ET57+FB57+FE57+FC57+FD57)=ES57,EB57=0,EJ57=0,EK57=0,EL57=0),$DZ57,0),0)</f>
        <v>0</v>
      </c>
      <c r="EN57" s="183"/>
      <c r="EO57" s="300">
        <f t="shared" ref="EO57:EO66" si="224">IFERROR(ET57/ES57,0)</f>
        <v>0</v>
      </c>
      <c r="EP57" s="300">
        <f t="shared" ref="EP57:EP66" si="225">IFERROR(EU57/ES57,0)</f>
        <v>0</v>
      </c>
      <c r="EQ57" s="300">
        <f t="shared" ref="EQ57:EQ66" si="226">IFERROR(FA57/ES57,0)</f>
        <v>0</v>
      </c>
      <c r="ER57" s="228"/>
      <c r="ES57" s="297">
        <f>COUNTIF('LS | Drawing List'!$H:$H,$B57)</f>
        <v>0</v>
      </c>
      <c r="ET57" s="191">
        <f>COUNTIFS('LS | Drawing List'!$H:$H,$B57,INDEX('LS | Drawing List'!$A:$V,,MATCH('Design Fee'!ET$8,'LS | Drawing List'!$A$1:$V$1,0)),1)</f>
        <v>0</v>
      </c>
      <c r="EU57" s="191">
        <f>COUNTIFS('LS | Drawing List'!$H:$H,$B57,INDEX('LS | Drawing List'!$K:$V,,MATCH('Design Fee'!EU$8,'LS | Drawing List'!$K$1:$V$1,0)),1)</f>
        <v>0</v>
      </c>
      <c r="EV57" s="191">
        <f>COUNTIFS('LS | Drawing List'!$H:$H,$B57,INDEX('LS | Drawing List'!$K:$V,,MATCH('Design Fee'!EV$8,'LS | Drawing List'!$K$1:$V$1,0)),1)</f>
        <v>0</v>
      </c>
      <c r="EW57" s="191">
        <f>COUNTIFS('LS | Drawing List'!$H:$H,$B57,INDEX('LS | Drawing List'!$K:$V,,MATCH('Design Fee'!EW$8,'LS | Drawing List'!$K$1:$V$1,0)),1)</f>
        <v>0</v>
      </c>
      <c r="EX57" s="191">
        <f>COUNTIFS('LS | Drawing List'!$H:$H,$B57,INDEX('LS | Drawing List'!$K:$V,,MATCH('Design Fee'!EX$8,'LS | Drawing List'!$K$1:$V$1,0)),1)</f>
        <v>0</v>
      </c>
      <c r="EY57" s="191">
        <f>COUNTIFS('LS | Drawing List'!$H:$H,$B57,INDEX('LS | Drawing List'!$K:$V,,MATCH('Design Fee'!EY$8,'LS | Drawing List'!$K$1:$V$1,0)),1)</f>
        <v>0</v>
      </c>
      <c r="EZ57" s="198"/>
      <c r="FA57" s="191">
        <f>COUNTIFS('LS | Drawing List'!$H:$H,$B57,INDEX('LS | Drawing List'!$K:$V,,MATCH('Design Fee'!FA$8,'LS | Drawing List'!$K$1:$V$1,0)),1)</f>
        <v>0</v>
      </c>
      <c r="FB57" s="191">
        <f>COUNTIFS('LS | Drawing List'!$H:$H,$B57,INDEX('LS | Drawing List'!$K:$V,,MATCH('Design Fee'!FB$8,'LS | Drawing List'!$K$1:$V$1,0)),1)</f>
        <v>0</v>
      </c>
      <c r="FC57" s="191">
        <f>COUNTIFS('LS | Drawing List'!$H:$H,$B57,INDEX('LS | Drawing List'!$K:$V,,MATCH('Design Fee'!FC$8,'LS | Drawing List'!$K$1:$V$1,0)),1)</f>
        <v>0</v>
      </c>
      <c r="FD57" s="191">
        <f>COUNTIFS('LS | Drawing List'!$H:$H,$B57,INDEX('LS | Drawing List'!$K:$V,,MATCH('Design Fee'!FD$8,'LS | Drawing List'!$K$1:$V$1,0)),1)</f>
        <v>0</v>
      </c>
      <c r="FE57" s="191">
        <f>COUNTIFS('LS | Drawing List'!$H:$H,$B57,INDEX('LS | Drawing List'!$K:$V,,MATCH('Design Fee'!FE$8,'LS | Drawing List'!$K$1:$V$1,0)),1)</f>
        <v>0</v>
      </c>
      <c r="FF57" s="207"/>
    </row>
    <row r="58" spans="2:162" ht="11.85" customHeight="1" outlineLevel="2">
      <c r="B58" s="459" t="s">
        <v>151</v>
      </c>
      <c r="C58" s="547" t="s">
        <v>53</v>
      </c>
      <c r="D58" s="257"/>
      <c r="E58" s="253">
        <f t="shared" si="143"/>
        <v>0.63916450000000014</v>
      </c>
      <c r="F58" s="253">
        <f t="shared" si="144"/>
        <v>0.63916450000000014</v>
      </c>
      <c r="G58" s="254">
        <f t="shared" si="176"/>
        <v>0</v>
      </c>
      <c r="H58" s="254">
        <f t="shared" si="146"/>
        <v>0.63916450000000014</v>
      </c>
      <c r="I58" s="253">
        <f t="shared" si="147"/>
        <v>0</v>
      </c>
      <c r="J58" s="253">
        <f t="shared" si="148"/>
        <v>0</v>
      </c>
      <c r="K58" s="253">
        <f t="shared" si="149"/>
        <v>0</v>
      </c>
      <c r="L58" s="253">
        <f t="shared" si="150"/>
        <v>0</v>
      </c>
      <c r="M58" s="253">
        <f t="shared" si="151"/>
        <v>0</v>
      </c>
      <c r="N58" s="256"/>
      <c r="O58" s="253">
        <f t="shared" si="152"/>
        <v>0</v>
      </c>
      <c r="P58" s="253">
        <f t="shared" si="153"/>
        <v>0</v>
      </c>
      <c r="Q58" s="253">
        <f t="shared" si="154"/>
        <v>0</v>
      </c>
      <c r="R58" s="253">
        <f t="shared" si="155"/>
        <v>0</v>
      </c>
      <c r="S58" s="253">
        <f t="shared" si="156"/>
        <v>0</v>
      </c>
      <c r="T58" s="169"/>
      <c r="U58" s="183"/>
      <c r="V58" s="232">
        <v>2.5000000000000001E-2</v>
      </c>
      <c r="W58" s="222"/>
      <c r="X58" s="253">
        <f t="shared" ref="X58:X66" si="227">$X$56/$V$56*V58</f>
        <v>0.24096250000000002</v>
      </c>
      <c r="Y58" s="253">
        <f t="shared" si="157"/>
        <v>0.24096250000000002</v>
      </c>
      <c r="Z58" s="254">
        <f t="shared" ref="Z58:Z66" si="228">IFERROR(IF(AM58=100%,$X58,0),0)</f>
        <v>0.24096250000000002</v>
      </c>
      <c r="AA58" s="255">
        <f t="shared" ref="AA58:AA66" si="229">IFERROR(IF(AND((AM58+AN58)=100%,AM58&lt;1),$X58,0),0)</f>
        <v>0</v>
      </c>
      <c r="AB58" s="255">
        <f t="shared" si="177"/>
        <v>0</v>
      </c>
      <c r="AC58" s="255">
        <f t="shared" si="178"/>
        <v>0</v>
      </c>
      <c r="AD58" s="255">
        <f t="shared" si="179"/>
        <v>0</v>
      </c>
      <c r="AE58" s="255">
        <f t="shared" si="180"/>
        <v>0</v>
      </c>
      <c r="AF58" s="256"/>
      <c r="AG58" s="255">
        <f t="shared" si="181"/>
        <v>0</v>
      </c>
      <c r="AH58" s="255">
        <f t="shared" si="182"/>
        <v>0</v>
      </c>
      <c r="AI58" s="255">
        <f t="shared" ref="AI58:AI66" si="230">IFERROR(IF(AND((AR58+AZ58+BA58)=AQ58,Z58=0,AH58=0),$X58,0),0)</f>
        <v>0</v>
      </c>
      <c r="AJ58" s="255">
        <f t="shared" ref="AJ58:AJ66" si="231">IFERROR(IF(AND((AR58+AZ58+BA58+BB58)=AQ58,Z58=0,AH58=0,AI58=0),$X58,0),0)</f>
        <v>0</v>
      </c>
      <c r="AK58" s="255">
        <f t="shared" si="183"/>
        <v>0</v>
      </c>
      <c r="AL58" s="169"/>
      <c r="AM58" s="279">
        <f t="shared" si="184"/>
        <v>1</v>
      </c>
      <c r="AN58" s="279">
        <f t="shared" si="185"/>
        <v>0</v>
      </c>
      <c r="AO58" s="279">
        <f t="shared" si="186"/>
        <v>0</v>
      </c>
      <c r="AP58" s="228"/>
      <c r="AQ58" s="364">
        <f>COUNTIF('AR | Drawing List'!$H:$H,$B58)</f>
        <v>17</v>
      </c>
      <c r="AR58" s="365">
        <f>COUNTIFS('AR | Drawing List'!$H:$H,$B58,INDEX('AR | Drawing List'!$A:$AT,,MATCH('Design Fee'!AR$8,'AR | Drawing List'!$A$1:$AT$1,0)),1)</f>
        <v>17</v>
      </c>
      <c r="AS58" s="365">
        <f>COUNTIFS('AR | Drawing List'!$H:$H,$B58,INDEX('AR | Drawing List'!$K:$AT,,MATCH('Design Fee'!AS$8,'AR | Drawing List'!$K$1:$AT$1,0)),1)</f>
        <v>0</v>
      </c>
      <c r="AT58" s="365">
        <f>COUNTIFS('AR | Drawing List'!$H:$H,$B58,INDEX('AR | Drawing List'!$K:$AT,,MATCH('Design Fee'!AT$8,'AR | Drawing List'!$K$1:$AT$1,0)),1)</f>
        <v>0</v>
      </c>
      <c r="AU58" s="365">
        <f>COUNTIFS('AR | Drawing List'!$H:$H,$B58,INDEX('AR | Drawing List'!$K:$AT,,MATCH('Design Fee'!AU$8,'AR | Drawing List'!$K$1:$AT$1,0)),1)</f>
        <v>0</v>
      </c>
      <c r="AV58" s="365">
        <f>COUNTIFS('AR | Drawing List'!$H:$H,$B58,INDEX('AR | Drawing List'!$K:$AT,,MATCH('Design Fee'!AV$8,'AR | Drawing List'!$K$1:$AT$1,0)),1)</f>
        <v>0</v>
      </c>
      <c r="AW58" s="365">
        <f>COUNTIFS('AR | Drawing List'!$H:$H,$B58,INDEX('AR | Drawing List'!$K:$AT,,MATCH('Design Fee'!AW$8,'AR | Drawing List'!$K$1:$AT$1,0)),1)</f>
        <v>0</v>
      </c>
      <c r="AX58" s="198"/>
      <c r="AY58" s="365">
        <f>COUNTIFS('AR | Drawing List'!$H:$H,$B58,INDEX('AR | Drawing List'!$K:$AT,,MATCH('Design Fee'!AY$8,'AR | Drawing List'!$K$1:$AT$1,0)),1)</f>
        <v>0</v>
      </c>
      <c r="AZ58" s="365">
        <f>COUNTIFS('AR | Drawing List'!$H:$H,$B58,INDEX('AR | Drawing List'!$K:$AT,,MATCH('Design Fee'!AZ$8,'AR | Drawing List'!$K$1:$AT$1,0)),1)</f>
        <v>0</v>
      </c>
      <c r="BA58" s="365">
        <f>COUNTIFS('AR | Drawing List'!$H:$H,$B58,INDEX('AR | Drawing List'!$K:$AT,,MATCH('Design Fee'!BA$8,'AR | Drawing List'!$K$1:$AT$1,0)),1)</f>
        <v>0</v>
      </c>
      <c r="BB58" s="365">
        <f>COUNTIFS('AR | Drawing List'!$H:$H,$B58,INDEX('AR | Drawing List'!$K:$AT,,MATCH('Design Fee'!BB$8,'AR | Drawing List'!$K$1:$AT$1,0)),1)</f>
        <v>0</v>
      </c>
      <c r="BC58" s="365">
        <f>COUNTIFS('AR | Drawing List'!$H:$H,$B58,INDEX('AR | Drawing List'!$K:$AT,,MATCH('Design Fee'!BC$8,'AR | Drawing List'!$K$1:$AT$1,0)),1)</f>
        <v>0</v>
      </c>
      <c r="BE58" s="239">
        <v>0.1</v>
      </c>
      <c r="BF58" s="222"/>
      <c r="BG58" s="253">
        <f t="shared" ref="BG58:BG66" si="232">$BG$56/$BE$56*BE58</f>
        <v>0.39820200000000006</v>
      </c>
      <c r="BH58" s="253">
        <f t="shared" si="161"/>
        <v>0.39820200000000006</v>
      </c>
      <c r="BI58" s="254">
        <f t="shared" si="187"/>
        <v>0.39820200000000006</v>
      </c>
      <c r="BJ58" s="255">
        <f t="shared" si="188"/>
        <v>0</v>
      </c>
      <c r="BK58" s="255">
        <f t="shared" si="189"/>
        <v>0</v>
      </c>
      <c r="BL58" s="255">
        <f t="shared" si="190"/>
        <v>0</v>
      </c>
      <c r="BM58" s="255">
        <f t="shared" si="191"/>
        <v>0</v>
      </c>
      <c r="BN58" s="255">
        <f t="shared" si="192"/>
        <v>0</v>
      </c>
      <c r="BO58" s="256"/>
      <c r="BP58" s="255">
        <f t="shared" si="193"/>
        <v>0</v>
      </c>
      <c r="BQ58" s="255">
        <f t="shared" si="194"/>
        <v>0</v>
      </c>
      <c r="BR58" s="255">
        <f t="shared" si="195"/>
        <v>0</v>
      </c>
      <c r="BS58" s="255">
        <f t="shared" si="196"/>
        <v>0</v>
      </c>
      <c r="BT58" s="255">
        <f t="shared" si="197"/>
        <v>0</v>
      </c>
      <c r="BU58" s="169"/>
      <c r="BV58" s="279">
        <f t="shared" si="198"/>
        <v>1</v>
      </c>
      <c r="BW58" s="279">
        <f t="shared" si="199"/>
        <v>0</v>
      </c>
      <c r="BX58" s="279">
        <f t="shared" ref="BX58:BX66" si="233">IFERROR(CH58/BZ58,0)</f>
        <v>0</v>
      </c>
      <c r="BZ58" s="297">
        <f>COUNTIF('ST | Drawing List'!$G:$G,$B58)</f>
        <v>183</v>
      </c>
      <c r="CA58" s="191">
        <f>COUNTIFS('ST | Drawing List'!$G:$G,$B58,INDEX('ST | Drawing List'!$A:$U,,MATCH('Design Fee'!CA$8,'ST | Drawing List'!$A$1:$U$1,0)),1)</f>
        <v>183</v>
      </c>
      <c r="CB58" s="191">
        <f>COUNTIFS('ST | Drawing List'!$G:$G,$B58,INDEX('ST | Drawing List'!$J:$U,,MATCH('Design Fee'!CB$8,'ST | Drawing List'!$J$1:$U$1,0)),1)</f>
        <v>0</v>
      </c>
      <c r="CC58" s="191">
        <f>COUNTIFS('ST | Drawing List'!$G:$G,$B58,INDEX('ST | Drawing List'!$J:$U,,MATCH('Design Fee'!CC$8,'ST | Drawing List'!$J$1:$U$1,0)),1)</f>
        <v>0</v>
      </c>
      <c r="CD58" s="191">
        <f>COUNTIFS('ST | Drawing List'!$G:$G,$B58,INDEX('ST | Drawing List'!$J:$U,,MATCH('Design Fee'!CD$8,'ST | Drawing List'!$J$1:$U$1,0)),1)</f>
        <v>0</v>
      </c>
      <c r="CE58" s="191">
        <f>COUNTIFS('ST | Drawing List'!$G:$G,$B58,INDEX('ST | Drawing List'!$J:$U,,MATCH('Design Fee'!CE$8,'ST | Drawing List'!$J$1:$U$1,0)),1)</f>
        <v>0</v>
      </c>
      <c r="CF58" s="191">
        <f>COUNTIFS('ST | Drawing List'!$G:$G,$B58,INDEX('ST | Drawing List'!$J:$U,,MATCH('Design Fee'!CF$8,'ST | Drawing List'!$J$1:$U$1,0)),1)</f>
        <v>0</v>
      </c>
      <c r="CG58" s="198"/>
      <c r="CH58" s="191">
        <f>COUNTIFS('ST | Drawing List'!$G:$G,$B58,INDEX('ST | Drawing List'!$J:$U,,MATCH('Design Fee'!CH$8,'ST | Drawing List'!$J$1:$U$1,0)),1)</f>
        <v>0</v>
      </c>
      <c r="CI58" s="191">
        <f>COUNTIFS('ST | Drawing List'!$G:$G,$B58,INDEX('ST | Drawing List'!$J:$U,,MATCH('Design Fee'!CI$8,'ST | Drawing List'!$J$1:$U$1,0)),1)</f>
        <v>0</v>
      </c>
      <c r="CJ58" s="191">
        <f>COUNTIFS('ST | Drawing List'!$G:$G,$B58,INDEX('ST | Drawing List'!$J:$U,,MATCH('Design Fee'!CJ$8,'ST | Drawing List'!$J$1:$U$1,0)),1)</f>
        <v>0</v>
      </c>
      <c r="CK58" s="191">
        <f>COUNTIFS('ST | Drawing List'!$G:$G,$B58,INDEX('ST | Drawing List'!$J:$U,,MATCH('Design Fee'!CK$8,'ST | Drawing List'!$J$1:$U$1,0)),1)</f>
        <v>0</v>
      </c>
      <c r="CL58" s="191">
        <f>COUNTIFS('ST | Drawing List'!$G:$G,$B58,INDEX('ST | Drawing List'!$J:$U,,MATCH('Design Fee'!CL$8,'ST | Drawing List'!$J$1:$U$1,0)),1)</f>
        <v>0</v>
      </c>
      <c r="CN58" s="239">
        <v>0</v>
      </c>
      <c r="CO58" s="222"/>
      <c r="CP58" s="253">
        <f t="shared" ref="CP58:CP66" si="234">$CP$56/$CN$56*CN58</f>
        <v>0</v>
      </c>
      <c r="CQ58" s="253">
        <f t="shared" si="166"/>
        <v>0</v>
      </c>
      <c r="CR58" s="254">
        <f t="shared" si="200"/>
        <v>0</v>
      </c>
      <c r="CS58" s="255">
        <f t="shared" si="201"/>
        <v>0</v>
      </c>
      <c r="CT58" s="255">
        <f t="shared" si="202"/>
        <v>0</v>
      </c>
      <c r="CU58" s="255">
        <f t="shared" si="203"/>
        <v>0</v>
      </c>
      <c r="CV58" s="255">
        <f t="shared" si="204"/>
        <v>0</v>
      </c>
      <c r="CW58" s="255">
        <f t="shared" si="205"/>
        <v>0</v>
      </c>
      <c r="CX58" s="256"/>
      <c r="CY58" s="255">
        <f t="shared" si="206"/>
        <v>0</v>
      </c>
      <c r="CZ58" s="255">
        <f t="shared" si="207"/>
        <v>0</v>
      </c>
      <c r="DA58" s="255">
        <f t="shared" si="208"/>
        <v>0</v>
      </c>
      <c r="DB58" s="255">
        <f t="shared" si="209"/>
        <v>0</v>
      </c>
      <c r="DC58" s="255">
        <f t="shared" si="210"/>
        <v>0</v>
      </c>
      <c r="DD58" s="183"/>
      <c r="DE58" s="300">
        <f t="shared" si="211"/>
        <v>0</v>
      </c>
      <c r="DF58" s="300">
        <f t="shared" si="212"/>
        <v>0</v>
      </c>
      <c r="DG58" s="300">
        <f t="shared" ref="DG58:DG66" si="235">IFERROR(DQ58/DI58,0)</f>
        <v>0</v>
      </c>
      <c r="DH58" s="228"/>
      <c r="DI58" s="297">
        <f>COUNTIF('MEP | Drawing List'!$I:$I,$B58)</f>
        <v>0</v>
      </c>
      <c r="DJ58" s="191">
        <f>COUNTIFS('MEP | Drawing List'!$I:$I,$B58,INDEX('MEP | Drawing List'!$B:$X,,MATCH('Design Fee'!DJ$8,'MEP | Drawing List'!$B$1:$X$1,0)),1)</f>
        <v>0</v>
      </c>
      <c r="DK58" s="191">
        <f>COUNTIFS('MEP | Drawing List'!$I:$I,$B58,INDEX('MEP | Drawing List'!$L:$X,,MATCH('Design Fee'!DK$8,'MEP | Drawing List'!$L$1:$X$1,0)),1)</f>
        <v>0</v>
      </c>
      <c r="DL58" s="191">
        <f>COUNTIFS('MEP | Drawing List'!$I:$I,$B58,INDEX('MEP | Drawing List'!$L:$X,,MATCH('Design Fee'!DL$8,'MEP | Drawing List'!$L$1:$X$1,0)),1)</f>
        <v>0</v>
      </c>
      <c r="DM58" s="191">
        <f>COUNTIFS('MEP | Drawing List'!$I:$I,$B58,INDEX('MEP | Drawing List'!$L:$X,,MATCH('Design Fee'!DM$8,'MEP | Drawing List'!$L$1:$X$1,0)),1)</f>
        <v>0</v>
      </c>
      <c r="DN58" s="191">
        <f>COUNTIFS('MEP | Drawing List'!$I:$I,$B58,INDEX('MEP | Drawing List'!$L:$X,,MATCH('Design Fee'!DN$8,'MEP | Drawing List'!$L$1:$X$1,0)),1)</f>
        <v>0</v>
      </c>
      <c r="DO58" s="191">
        <f>COUNTIFS('MEP | Drawing List'!$I:$I,$B58,INDEX('MEP | Drawing List'!$L:$X,,MATCH('Design Fee'!DO$8,'MEP | Drawing List'!$L$1:$X$1,0)),1)</f>
        <v>0</v>
      </c>
      <c r="DP58" s="198"/>
      <c r="DQ58" s="191">
        <f>COUNTIFS('MEP | Drawing List'!$I:$I,$B58,INDEX('MEP | Drawing List'!$L:$X,,MATCH('Design Fee'!DQ$8,'MEP | Drawing List'!$L$1:$X$1,0)),1)</f>
        <v>0</v>
      </c>
      <c r="DR58" s="191">
        <f>COUNTIFS('MEP | Drawing List'!$I:$I,$B58,INDEX('MEP | Drawing List'!$L:$X,,MATCH('Design Fee'!DR$8,'MEP | Drawing List'!$L$1:$X$1,0)),1)</f>
        <v>0</v>
      </c>
      <c r="DS58" s="191">
        <f>COUNTIFS('MEP | Drawing List'!$I:$I,$B58,INDEX('MEP | Drawing List'!$L:$X,,MATCH('Design Fee'!DS$8,'MEP | Drawing List'!$L$1:$X$1,0)),1)</f>
        <v>0</v>
      </c>
      <c r="DT58" s="191">
        <f>COUNTIFS('MEP | Drawing List'!$I:$I,$B58,INDEX('MEP | Drawing List'!$L:$X,,MATCH('Design Fee'!DT$8,'MEP | Drawing List'!$L$1:$X$1,0)),1)</f>
        <v>0</v>
      </c>
      <c r="DU58" s="191">
        <f>COUNTIFS('MEP | Drawing List'!$I:$I,$B58,INDEX('MEP | Drawing List'!$L:$X,,MATCH('Design Fee'!DU$8,'MEP | Drawing List'!$L$1:$X$1,0)),1)</f>
        <v>0</v>
      </c>
      <c r="DV58" s="207"/>
      <c r="DX58" s="239">
        <v>0</v>
      </c>
      <c r="DY58" s="222"/>
      <c r="DZ58" s="253"/>
      <c r="EA58" s="253">
        <f t="shared" si="171"/>
        <v>0</v>
      </c>
      <c r="EB58" s="254">
        <f t="shared" si="213"/>
        <v>0</v>
      </c>
      <c r="EC58" s="255">
        <f t="shared" si="214"/>
        <v>0</v>
      </c>
      <c r="ED58" s="255">
        <f t="shared" si="215"/>
        <v>0</v>
      </c>
      <c r="EE58" s="255">
        <f t="shared" si="216"/>
        <v>0</v>
      </c>
      <c r="EF58" s="255">
        <f t="shared" si="217"/>
        <v>0</v>
      </c>
      <c r="EG58" s="255">
        <f t="shared" si="218"/>
        <v>0</v>
      </c>
      <c r="EH58" s="256"/>
      <c r="EI58" s="255">
        <f t="shared" si="219"/>
        <v>0</v>
      </c>
      <c r="EJ58" s="255">
        <f t="shared" si="220"/>
        <v>0</v>
      </c>
      <c r="EK58" s="255">
        <f t="shared" si="221"/>
        <v>0</v>
      </c>
      <c r="EL58" s="255">
        <f t="shared" si="222"/>
        <v>0</v>
      </c>
      <c r="EM58" s="255">
        <f t="shared" si="223"/>
        <v>0</v>
      </c>
      <c r="EN58" s="183"/>
      <c r="EO58" s="300">
        <f t="shared" si="224"/>
        <v>0</v>
      </c>
      <c r="EP58" s="300">
        <f t="shared" si="225"/>
        <v>0</v>
      </c>
      <c r="EQ58" s="300">
        <f t="shared" si="226"/>
        <v>0</v>
      </c>
      <c r="ER58" s="228"/>
      <c r="ES58" s="297">
        <f>COUNTIF('LS | Drawing List'!$H:$H,$B58)</f>
        <v>0</v>
      </c>
      <c r="ET58" s="191">
        <f>COUNTIFS('LS | Drawing List'!$H:$H,$B58,INDEX('LS | Drawing List'!$A:$V,,MATCH('Design Fee'!ET$8,'LS | Drawing List'!$A$1:$V$1,0)),1)</f>
        <v>0</v>
      </c>
      <c r="EU58" s="191">
        <f>COUNTIFS('LS | Drawing List'!$H:$H,$B58,INDEX('LS | Drawing List'!$K:$V,,MATCH('Design Fee'!EU$8,'LS | Drawing List'!$K$1:$V$1,0)),1)</f>
        <v>0</v>
      </c>
      <c r="EV58" s="191">
        <f>COUNTIFS('LS | Drawing List'!$H:$H,$B58,INDEX('LS | Drawing List'!$K:$V,,MATCH('Design Fee'!EV$8,'LS | Drawing List'!$K$1:$V$1,0)),1)</f>
        <v>0</v>
      </c>
      <c r="EW58" s="191">
        <f>COUNTIFS('LS | Drawing List'!$H:$H,$B58,INDEX('LS | Drawing List'!$K:$V,,MATCH('Design Fee'!EW$8,'LS | Drawing List'!$K$1:$V$1,0)),1)</f>
        <v>0</v>
      </c>
      <c r="EX58" s="191">
        <f>COUNTIFS('LS | Drawing List'!$H:$H,$B58,INDEX('LS | Drawing List'!$K:$V,,MATCH('Design Fee'!EX$8,'LS | Drawing List'!$K$1:$V$1,0)),1)</f>
        <v>0</v>
      </c>
      <c r="EY58" s="191">
        <f>COUNTIFS('LS | Drawing List'!$H:$H,$B58,INDEX('LS | Drawing List'!$K:$V,,MATCH('Design Fee'!EY$8,'LS | Drawing List'!$K$1:$V$1,0)),1)</f>
        <v>0</v>
      </c>
      <c r="EZ58" s="198"/>
      <c r="FA58" s="191">
        <f>COUNTIFS('LS | Drawing List'!$H:$H,$B58,INDEX('LS | Drawing List'!$K:$V,,MATCH('Design Fee'!FA$8,'LS | Drawing List'!$K$1:$V$1,0)),1)</f>
        <v>0</v>
      </c>
      <c r="FB58" s="191">
        <f>COUNTIFS('LS | Drawing List'!$H:$H,$B58,INDEX('LS | Drawing List'!$K:$V,,MATCH('Design Fee'!FB$8,'LS | Drawing List'!$K$1:$V$1,0)),1)</f>
        <v>0</v>
      </c>
      <c r="FC58" s="191">
        <f>COUNTIFS('LS | Drawing List'!$H:$H,$B58,INDEX('LS | Drawing List'!$K:$V,,MATCH('Design Fee'!FC$8,'LS | Drawing List'!$K$1:$V$1,0)),1)</f>
        <v>0</v>
      </c>
      <c r="FD58" s="191">
        <f>COUNTIFS('LS | Drawing List'!$H:$H,$B58,INDEX('LS | Drawing List'!$K:$V,,MATCH('Design Fee'!FD$8,'LS | Drawing List'!$K$1:$V$1,0)),1)</f>
        <v>0</v>
      </c>
      <c r="FE58" s="191">
        <f>COUNTIFS('LS | Drawing List'!$H:$H,$B58,INDEX('LS | Drawing List'!$K:$V,,MATCH('Design Fee'!FE$8,'LS | Drawing List'!$K$1:$V$1,0)),1)</f>
        <v>0</v>
      </c>
      <c r="FF58" s="207"/>
    </row>
    <row r="59" spans="2:162" ht="11.85" customHeight="1" outlineLevel="2">
      <c r="B59" s="459" t="s">
        <v>152</v>
      </c>
      <c r="C59" s="280" t="s">
        <v>55</v>
      </c>
      <c r="E59" s="253">
        <f t="shared" si="143"/>
        <v>0.48192500000000005</v>
      </c>
      <c r="F59" s="253">
        <f t="shared" si="144"/>
        <v>0.48192500000000005</v>
      </c>
      <c r="G59" s="254">
        <f t="shared" si="176"/>
        <v>0</v>
      </c>
      <c r="H59" s="254">
        <f t="shared" si="146"/>
        <v>0.48192500000000005</v>
      </c>
      <c r="I59" s="253">
        <f t="shared" si="147"/>
        <v>0</v>
      </c>
      <c r="J59" s="253">
        <f t="shared" si="148"/>
        <v>0</v>
      </c>
      <c r="K59" s="253">
        <f t="shared" si="149"/>
        <v>0</v>
      </c>
      <c r="L59" s="253">
        <f t="shared" si="150"/>
        <v>0</v>
      </c>
      <c r="M59" s="253">
        <f t="shared" si="151"/>
        <v>0</v>
      </c>
      <c r="N59" s="256"/>
      <c r="O59" s="253">
        <f t="shared" si="152"/>
        <v>0</v>
      </c>
      <c r="P59" s="253">
        <f t="shared" si="153"/>
        <v>0</v>
      </c>
      <c r="Q59" s="253">
        <f t="shared" si="154"/>
        <v>0</v>
      </c>
      <c r="R59" s="253">
        <f t="shared" si="155"/>
        <v>0</v>
      </c>
      <c r="S59" s="253">
        <f t="shared" si="156"/>
        <v>0</v>
      </c>
      <c r="T59" s="169"/>
      <c r="U59" s="183"/>
      <c r="V59" s="232">
        <v>0.05</v>
      </c>
      <c r="W59" s="222"/>
      <c r="X59" s="253">
        <f t="shared" si="227"/>
        <v>0.48192500000000005</v>
      </c>
      <c r="Y59" s="253">
        <f t="shared" si="157"/>
        <v>0.48192500000000005</v>
      </c>
      <c r="Z59" s="254">
        <f t="shared" si="228"/>
        <v>0.48192500000000005</v>
      </c>
      <c r="AA59" s="255">
        <f t="shared" si="229"/>
        <v>0</v>
      </c>
      <c r="AB59" s="255">
        <f t="shared" si="177"/>
        <v>0</v>
      </c>
      <c r="AC59" s="255">
        <f t="shared" si="178"/>
        <v>0</v>
      </c>
      <c r="AD59" s="255">
        <f t="shared" si="179"/>
        <v>0</v>
      </c>
      <c r="AE59" s="255">
        <f t="shared" si="180"/>
        <v>0</v>
      </c>
      <c r="AF59" s="256"/>
      <c r="AG59" s="255">
        <f t="shared" si="181"/>
        <v>0</v>
      </c>
      <c r="AH59" s="255">
        <f t="shared" si="182"/>
        <v>0</v>
      </c>
      <c r="AI59" s="255">
        <f t="shared" si="230"/>
        <v>0</v>
      </c>
      <c r="AJ59" s="255">
        <f t="shared" si="231"/>
        <v>0</v>
      </c>
      <c r="AK59" s="255">
        <f t="shared" si="183"/>
        <v>0</v>
      </c>
      <c r="AL59" s="169"/>
      <c r="AM59" s="279">
        <f t="shared" si="184"/>
        <v>1</v>
      </c>
      <c r="AN59" s="279">
        <f t="shared" si="185"/>
        <v>0</v>
      </c>
      <c r="AO59" s="279">
        <f t="shared" si="186"/>
        <v>0</v>
      </c>
      <c r="AP59" s="228"/>
      <c r="AQ59" s="364">
        <f>COUNTIF('AR | Drawing List'!$H:$H,$B59)</f>
        <v>72</v>
      </c>
      <c r="AR59" s="365">
        <f>COUNTIFS('AR | Drawing List'!$H:$H,$B59,INDEX('AR | Drawing List'!$A:$AT,,MATCH('Design Fee'!AR$8,'AR | Drawing List'!$A$1:$AT$1,0)),1)</f>
        <v>72</v>
      </c>
      <c r="AS59" s="365">
        <f>COUNTIFS('AR | Drawing List'!$H:$H,$B59,INDEX('AR | Drawing List'!$K:$AT,,MATCH('Design Fee'!AS$8,'AR | Drawing List'!$K$1:$AT$1,0)),1)</f>
        <v>0</v>
      </c>
      <c r="AT59" s="365">
        <f>COUNTIFS('AR | Drawing List'!$H:$H,$B59,INDEX('AR | Drawing List'!$K:$AT,,MATCH('Design Fee'!AT$8,'AR | Drawing List'!$K$1:$AT$1,0)),1)</f>
        <v>0</v>
      </c>
      <c r="AU59" s="365">
        <f>COUNTIFS('AR | Drawing List'!$H:$H,$B59,INDEX('AR | Drawing List'!$K:$AT,,MATCH('Design Fee'!AU$8,'AR | Drawing List'!$K$1:$AT$1,0)),1)</f>
        <v>0</v>
      </c>
      <c r="AV59" s="365">
        <f>COUNTIFS('AR | Drawing List'!$H:$H,$B59,INDEX('AR | Drawing List'!$K:$AT,,MATCH('Design Fee'!AV$8,'AR | Drawing List'!$K$1:$AT$1,0)),1)</f>
        <v>0</v>
      </c>
      <c r="AW59" s="365">
        <f>COUNTIFS('AR | Drawing List'!$H:$H,$B59,INDEX('AR | Drawing List'!$K:$AT,,MATCH('Design Fee'!AW$8,'AR | Drawing List'!$K$1:$AT$1,0)),1)</f>
        <v>0</v>
      </c>
      <c r="AX59" s="198"/>
      <c r="AY59" s="365">
        <f>COUNTIFS('AR | Drawing List'!$H:$H,$B59,INDEX('AR | Drawing List'!$K:$AT,,MATCH('Design Fee'!AY$8,'AR | Drawing List'!$K$1:$AT$1,0)),1)</f>
        <v>0</v>
      </c>
      <c r="AZ59" s="365">
        <f>COUNTIFS('AR | Drawing List'!$H:$H,$B59,INDEX('AR | Drawing List'!$K:$AT,,MATCH('Design Fee'!AZ$8,'AR | Drawing List'!$K$1:$AT$1,0)),1)</f>
        <v>0</v>
      </c>
      <c r="BA59" s="365">
        <f>COUNTIFS('AR | Drawing List'!$H:$H,$B59,INDEX('AR | Drawing List'!$K:$AT,,MATCH('Design Fee'!BA$8,'AR | Drawing List'!$K$1:$AT$1,0)),1)</f>
        <v>0</v>
      </c>
      <c r="BB59" s="365">
        <f>COUNTIFS('AR | Drawing List'!$H:$H,$B59,INDEX('AR | Drawing List'!$K:$AT,,MATCH('Design Fee'!BB$8,'AR | Drawing List'!$K$1:$AT$1,0)),1)</f>
        <v>0</v>
      </c>
      <c r="BC59" s="365">
        <f>COUNTIFS('AR | Drawing List'!$H:$H,$B59,INDEX('AR | Drawing List'!$K:$AT,,MATCH('Design Fee'!BC$8,'AR | Drawing List'!$K$1:$AT$1,0)),1)</f>
        <v>0</v>
      </c>
      <c r="BE59" s="239">
        <v>0</v>
      </c>
      <c r="BF59" s="222"/>
      <c r="BG59" s="253">
        <f t="shared" si="232"/>
        <v>0</v>
      </c>
      <c r="BH59" s="253">
        <f t="shared" si="161"/>
        <v>0</v>
      </c>
      <c r="BI59" s="254">
        <f t="shared" si="187"/>
        <v>0</v>
      </c>
      <c r="BJ59" s="255">
        <f t="shared" si="188"/>
        <v>0</v>
      </c>
      <c r="BK59" s="255">
        <f t="shared" si="189"/>
        <v>0</v>
      </c>
      <c r="BL59" s="255">
        <f t="shared" si="190"/>
        <v>0</v>
      </c>
      <c r="BM59" s="255">
        <f t="shared" si="191"/>
        <v>0</v>
      </c>
      <c r="BN59" s="255">
        <f t="shared" si="192"/>
        <v>0</v>
      </c>
      <c r="BO59" s="256"/>
      <c r="BP59" s="255">
        <f t="shared" si="193"/>
        <v>0</v>
      </c>
      <c r="BQ59" s="255">
        <f t="shared" si="194"/>
        <v>0</v>
      </c>
      <c r="BR59" s="255">
        <f t="shared" si="195"/>
        <v>0</v>
      </c>
      <c r="BS59" s="255">
        <f t="shared" si="196"/>
        <v>0</v>
      </c>
      <c r="BT59" s="255">
        <f t="shared" si="197"/>
        <v>0</v>
      </c>
      <c r="BU59" s="169"/>
      <c r="BV59" s="279">
        <f t="shared" si="198"/>
        <v>0</v>
      </c>
      <c r="BW59" s="279">
        <f t="shared" si="199"/>
        <v>0</v>
      </c>
      <c r="BX59" s="279">
        <f t="shared" si="233"/>
        <v>0</v>
      </c>
      <c r="BZ59" s="297">
        <f>COUNTIF('ST | Drawing List'!$G:$G,$B59)</f>
        <v>0</v>
      </c>
      <c r="CA59" s="191">
        <f>COUNTIFS('ST | Drawing List'!$G:$G,$B59,INDEX('ST | Drawing List'!$A:$U,,MATCH('Design Fee'!CA$8,'ST | Drawing List'!$A$1:$U$1,0)),1)</f>
        <v>0</v>
      </c>
      <c r="CB59" s="191">
        <f>COUNTIFS('ST | Drawing List'!$G:$G,$B59,INDEX('ST | Drawing List'!$J:$U,,MATCH('Design Fee'!CB$8,'ST | Drawing List'!$J$1:$U$1,0)),1)</f>
        <v>0</v>
      </c>
      <c r="CC59" s="191">
        <f>COUNTIFS('ST | Drawing List'!$G:$G,$B59,INDEX('ST | Drawing List'!$J:$U,,MATCH('Design Fee'!CC$8,'ST | Drawing List'!$J$1:$U$1,0)),1)</f>
        <v>0</v>
      </c>
      <c r="CD59" s="191">
        <f>COUNTIFS('ST | Drawing List'!$G:$G,$B59,INDEX('ST | Drawing List'!$J:$U,,MATCH('Design Fee'!CD$8,'ST | Drawing List'!$J$1:$U$1,0)),1)</f>
        <v>0</v>
      </c>
      <c r="CE59" s="191">
        <f>COUNTIFS('ST | Drawing List'!$G:$G,$B59,INDEX('ST | Drawing List'!$J:$U,,MATCH('Design Fee'!CE$8,'ST | Drawing List'!$J$1:$U$1,0)),1)</f>
        <v>0</v>
      </c>
      <c r="CF59" s="191">
        <f>COUNTIFS('ST | Drawing List'!$G:$G,$B59,INDEX('ST | Drawing List'!$J:$U,,MATCH('Design Fee'!CF$8,'ST | Drawing List'!$J$1:$U$1,0)),1)</f>
        <v>0</v>
      </c>
      <c r="CG59" s="198"/>
      <c r="CH59" s="191">
        <f>COUNTIFS('ST | Drawing List'!$G:$G,$B59,INDEX('ST | Drawing List'!$J:$U,,MATCH('Design Fee'!CH$8,'ST | Drawing List'!$J$1:$U$1,0)),1)</f>
        <v>0</v>
      </c>
      <c r="CI59" s="191">
        <f>COUNTIFS('ST | Drawing List'!$G:$G,$B59,INDEX('ST | Drawing List'!$J:$U,,MATCH('Design Fee'!CI$8,'ST | Drawing List'!$J$1:$U$1,0)),1)</f>
        <v>0</v>
      </c>
      <c r="CJ59" s="191">
        <f>COUNTIFS('ST | Drawing List'!$G:$G,$B59,INDEX('ST | Drawing List'!$J:$U,,MATCH('Design Fee'!CJ$8,'ST | Drawing List'!$J$1:$U$1,0)),1)</f>
        <v>0</v>
      </c>
      <c r="CK59" s="191">
        <f>COUNTIFS('ST | Drawing List'!$G:$G,$B59,INDEX('ST | Drawing List'!$J:$U,,MATCH('Design Fee'!CK$8,'ST | Drawing List'!$J$1:$U$1,0)),1)</f>
        <v>0</v>
      </c>
      <c r="CL59" s="191">
        <f>COUNTIFS('ST | Drawing List'!$G:$G,$B59,INDEX('ST | Drawing List'!$J:$U,,MATCH('Design Fee'!CL$8,'ST | Drawing List'!$J$1:$U$1,0)),1)</f>
        <v>0</v>
      </c>
      <c r="CN59" s="239">
        <v>0</v>
      </c>
      <c r="CO59" s="222"/>
      <c r="CP59" s="253">
        <f t="shared" si="234"/>
        <v>0</v>
      </c>
      <c r="CQ59" s="253">
        <f t="shared" si="166"/>
        <v>0</v>
      </c>
      <c r="CR59" s="254">
        <f t="shared" si="200"/>
        <v>0</v>
      </c>
      <c r="CS59" s="255">
        <f t="shared" si="201"/>
        <v>0</v>
      </c>
      <c r="CT59" s="255">
        <f t="shared" si="202"/>
        <v>0</v>
      </c>
      <c r="CU59" s="255">
        <f t="shared" si="203"/>
        <v>0</v>
      </c>
      <c r="CV59" s="255">
        <f t="shared" si="204"/>
        <v>0</v>
      </c>
      <c r="CW59" s="255">
        <f t="shared" si="205"/>
        <v>0</v>
      </c>
      <c r="CX59" s="256"/>
      <c r="CY59" s="255">
        <f t="shared" si="206"/>
        <v>0</v>
      </c>
      <c r="CZ59" s="255">
        <f t="shared" si="207"/>
        <v>0</v>
      </c>
      <c r="DA59" s="255">
        <f t="shared" si="208"/>
        <v>0</v>
      </c>
      <c r="DB59" s="255">
        <f t="shared" si="209"/>
        <v>0</v>
      </c>
      <c r="DC59" s="255">
        <f t="shared" si="210"/>
        <v>0</v>
      </c>
      <c r="DD59" s="183"/>
      <c r="DE59" s="300">
        <f t="shared" si="211"/>
        <v>0</v>
      </c>
      <c r="DF59" s="300">
        <f t="shared" si="212"/>
        <v>0</v>
      </c>
      <c r="DG59" s="300">
        <f t="shared" si="235"/>
        <v>0</v>
      </c>
      <c r="DH59" s="228"/>
      <c r="DI59" s="297">
        <f>COUNTIF('MEP | Drawing List'!$I:$I,$B59)</f>
        <v>0</v>
      </c>
      <c r="DJ59" s="191">
        <f>COUNTIFS('MEP | Drawing List'!$I:$I,$B59,INDEX('MEP | Drawing List'!$B:$X,,MATCH('Design Fee'!DJ$8,'MEP | Drawing List'!$B$1:$X$1,0)),1)</f>
        <v>0</v>
      </c>
      <c r="DK59" s="191">
        <f>COUNTIFS('MEP | Drawing List'!$I:$I,$B59,INDEX('MEP | Drawing List'!$L:$X,,MATCH('Design Fee'!DK$8,'MEP | Drawing List'!$L$1:$X$1,0)),1)</f>
        <v>0</v>
      </c>
      <c r="DL59" s="191">
        <f>COUNTIFS('MEP | Drawing List'!$I:$I,$B59,INDEX('MEP | Drawing List'!$L:$X,,MATCH('Design Fee'!DL$8,'MEP | Drawing List'!$L$1:$X$1,0)),1)</f>
        <v>0</v>
      </c>
      <c r="DM59" s="191">
        <f>COUNTIFS('MEP | Drawing List'!$I:$I,$B59,INDEX('MEP | Drawing List'!$L:$X,,MATCH('Design Fee'!DM$8,'MEP | Drawing List'!$L$1:$X$1,0)),1)</f>
        <v>0</v>
      </c>
      <c r="DN59" s="191">
        <f>COUNTIFS('MEP | Drawing List'!$I:$I,$B59,INDEX('MEP | Drawing List'!$L:$X,,MATCH('Design Fee'!DN$8,'MEP | Drawing List'!$L$1:$X$1,0)),1)</f>
        <v>0</v>
      </c>
      <c r="DO59" s="191">
        <f>COUNTIFS('MEP | Drawing List'!$I:$I,$B59,INDEX('MEP | Drawing List'!$L:$X,,MATCH('Design Fee'!DO$8,'MEP | Drawing List'!$L$1:$X$1,0)),1)</f>
        <v>0</v>
      </c>
      <c r="DP59" s="198"/>
      <c r="DQ59" s="191">
        <f>COUNTIFS('MEP | Drawing List'!$I:$I,$B59,INDEX('MEP | Drawing List'!$L:$X,,MATCH('Design Fee'!DQ$8,'MEP | Drawing List'!$L$1:$X$1,0)),1)</f>
        <v>0</v>
      </c>
      <c r="DR59" s="191">
        <f>COUNTIFS('MEP | Drawing List'!$I:$I,$B59,INDEX('MEP | Drawing List'!$L:$X,,MATCH('Design Fee'!DR$8,'MEP | Drawing List'!$L$1:$X$1,0)),1)</f>
        <v>0</v>
      </c>
      <c r="DS59" s="191">
        <f>COUNTIFS('MEP | Drawing List'!$I:$I,$B59,INDEX('MEP | Drawing List'!$L:$X,,MATCH('Design Fee'!DS$8,'MEP | Drawing List'!$L$1:$X$1,0)),1)</f>
        <v>0</v>
      </c>
      <c r="DT59" s="191">
        <f>COUNTIFS('MEP | Drawing List'!$I:$I,$B59,INDEX('MEP | Drawing List'!$L:$X,,MATCH('Design Fee'!DT$8,'MEP | Drawing List'!$L$1:$X$1,0)),1)</f>
        <v>0</v>
      </c>
      <c r="DU59" s="191">
        <f>COUNTIFS('MEP | Drawing List'!$I:$I,$B59,INDEX('MEP | Drawing List'!$L:$X,,MATCH('Design Fee'!DU$8,'MEP | Drawing List'!$L$1:$X$1,0)),1)</f>
        <v>0</v>
      </c>
      <c r="DV59" s="207"/>
      <c r="DX59" s="239">
        <v>0</v>
      </c>
      <c r="DY59" s="222"/>
      <c r="DZ59" s="253"/>
      <c r="EA59" s="253">
        <f t="shared" si="171"/>
        <v>0</v>
      </c>
      <c r="EB59" s="254">
        <f t="shared" si="213"/>
        <v>0</v>
      </c>
      <c r="EC59" s="255">
        <f t="shared" si="214"/>
        <v>0</v>
      </c>
      <c r="ED59" s="255">
        <f t="shared" si="215"/>
        <v>0</v>
      </c>
      <c r="EE59" s="255">
        <f t="shared" si="216"/>
        <v>0</v>
      </c>
      <c r="EF59" s="255">
        <f t="shared" si="217"/>
        <v>0</v>
      </c>
      <c r="EG59" s="255">
        <f t="shared" si="218"/>
        <v>0</v>
      </c>
      <c r="EH59" s="256"/>
      <c r="EI59" s="255">
        <f t="shared" si="219"/>
        <v>0</v>
      </c>
      <c r="EJ59" s="255">
        <f t="shared" si="220"/>
        <v>0</v>
      </c>
      <c r="EK59" s="255">
        <f t="shared" si="221"/>
        <v>0</v>
      </c>
      <c r="EL59" s="255">
        <f t="shared" si="222"/>
        <v>0</v>
      </c>
      <c r="EM59" s="255">
        <f t="shared" si="223"/>
        <v>0</v>
      </c>
      <c r="EN59" s="183"/>
      <c r="EO59" s="300">
        <f t="shared" si="224"/>
        <v>0</v>
      </c>
      <c r="EP59" s="300">
        <f t="shared" si="225"/>
        <v>0</v>
      </c>
      <c r="EQ59" s="300">
        <f t="shared" si="226"/>
        <v>0</v>
      </c>
      <c r="ER59" s="228"/>
      <c r="ES59" s="297">
        <f>COUNTIF('LS | Drawing List'!$H:$H,$B59)</f>
        <v>0</v>
      </c>
      <c r="ET59" s="191">
        <f>COUNTIFS('LS | Drawing List'!$H:$H,$B59,INDEX('LS | Drawing List'!$A:$V,,MATCH('Design Fee'!ET$8,'LS | Drawing List'!$A$1:$V$1,0)),1)</f>
        <v>0</v>
      </c>
      <c r="EU59" s="191">
        <f>COUNTIFS('LS | Drawing List'!$H:$H,$B59,INDEX('LS | Drawing List'!$K:$V,,MATCH('Design Fee'!EU$8,'LS | Drawing List'!$K$1:$V$1,0)),1)</f>
        <v>0</v>
      </c>
      <c r="EV59" s="191">
        <f>COUNTIFS('LS | Drawing List'!$H:$H,$B59,INDEX('LS | Drawing List'!$K:$V,,MATCH('Design Fee'!EV$8,'LS | Drawing List'!$K$1:$V$1,0)),1)</f>
        <v>0</v>
      </c>
      <c r="EW59" s="191">
        <f>COUNTIFS('LS | Drawing List'!$H:$H,$B59,INDEX('LS | Drawing List'!$K:$V,,MATCH('Design Fee'!EW$8,'LS | Drawing List'!$K$1:$V$1,0)),1)</f>
        <v>0</v>
      </c>
      <c r="EX59" s="191">
        <f>COUNTIFS('LS | Drawing List'!$H:$H,$B59,INDEX('LS | Drawing List'!$K:$V,,MATCH('Design Fee'!EX$8,'LS | Drawing List'!$K$1:$V$1,0)),1)</f>
        <v>0</v>
      </c>
      <c r="EY59" s="191">
        <f>COUNTIFS('LS | Drawing List'!$H:$H,$B59,INDEX('LS | Drawing List'!$K:$V,,MATCH('Design Fee'!EY$8,'LS | Drawing List'!$K$1:$V$1,0)),1)</f>
        <v>0</v>
      </c>
      <c r="EZ59" s="198"/>
      <c r="FA59" s="191">
        <f>COUNTIFS('LS | Drawing List'!$H:$H,$B59,INDEX('LS | Drawing List'!$K:$V,,MATCH('Design Fee'!FA$8,'LS | Drawing List'!$K$1:$V$1,0)),1)</f>
        <v>0</v>
      </c>
      <c r="FB59" s="191">
        <f>COUNTIFS('LS | Drawing List'!$H:$H,$B59,INDEX('LS | Drawing List'!$K:$V,,MATCH('Design Fee'!FB$8,'LS | Drawing List'!$K$1:$V$1,0)),1)</f>
        <v>0</v>
      </c>
      <c r="FC59" s="191">
        <f>COUNTIFS('LS | Drawing List'!$H:$H,$B59,INDEX('LS | Drawing List'!$K:$V,,MATCH('Design Fee'!FC$8,'LS | Drawing List'!$K$1:$V$1,0)),1)</f>
        <v>0</v>
      </c>
      <c r="FD59" s="191">
        <f>COUNTIFS('LS | Drawing List'!$H:$H,$B59,INDEX('LS | Drawing List'!$K:$V,,MATCH('Design Fee'!FD$8,'LS | Drawing List'!$K$1:$V$1,0)),1)</f>
        <v>0</v>
      </c>
      <c r="FE59" s="191">
        <f>COUNTIFS('LS | Drawing List'!$H:$H,$B59,INDEX('LS | Drawing List'!$K:$V,,MATCH('Design Fee'!FE$8,'LS | Drawing List'!$K$1:$V$1,0)),1)</f>
        <v>0</v>
      </c>
      <c r="FF59" s="207"/>
    </row>
    <row r="60" spans="2:162" ht="11.85" customHeight="1" outlineLevel="2">
      <c r="B60" s="459" t="s">
        <v>153</v>
      </c>
      <c r="C60" s="280" t="s">
        <v>154</v>
      </c>
      <c r="E60" s="253">
        <f t="shared" si="143"/>
        <v>0.99444700000000008</v>
      </c>
      <c r="F60" s="253">
        <f t="shared" si="144"/>
        <v>0.51252200000000003</v>
      </c>
      <c r="G60" s="254">
        <f t="shared" si="176"/>
        <v>0.48192500000000005</v>
      </c>
      <c r="H60" s="254">
        <f t="shared" si="146"/>
        <v>0.51252200000000003</v>
      </c>
      <c r="I60" s="253">
        <f t="shared" si="147"/>
        <v>0.48192500000000005</v>
      </c>
      <c r="J60" s="253">
        <f t="shared" si="148"/>
        <v>0.48192500000000005</v>
      </c>
      <c r="K60" s="253">
        <f t="shared" si="149"/>
        <v>0</v>
      </c>
      <c r="L60" s="253">
        <f t="shared" si="150"/>
        <v>0</v>
      </c>
      <c r="M60" s="253">
        <f t="shared" si="151"/>
        <v>0</v>
      </c>
      <c r="N60" s="256"/>
      <c r="O60" s="253">
        <f t="shared" si="152"/>
        <v>0</v>
      </c>
      <c r="P60" s="253">
        <f t="shared" si="153"/>
        <v>0</v>
      </c>
      <c r="Q60" s="253">
        <f t="shared" si="154"/>
        <v>0</v>
      </c>
      <c r="R60" s="253">
        <f t="shared" si="155"/>
        <v>0</v>
      </c>
      <c r="S60" s="253">
        <f t="shared" si="156"/>
        <v>0</v>
      </c>
      <c r="T60" s="169"/>
      <c r="U60" s="183"/>
      <c r="V60" s="232">
        <v>0.05</v>
      </c>
      <c r="W60" s="222"/>
      <c r="X60" s="253">
        <f t="shared" si="227"/>
        <v>0.48192500000000005</v>
      </c>
      <c r="Y60" s="253">
        <f t="shared" si="157"/>
        <v>0</v>
      </c>
      <c r="Z60" s="254">
        <f t="shared" si="228"/>
        <v>0</v>
      </c>
      <c r="AA60" s="255">
        <f t="shared" si="229"/>
        <v>0.48192500000000005</v>
      </c>
      <c r="AB60" s="255">
        <f t="shared" si="177"/>
        <v>0.48192500000000005</v>
      </c>
      <c r="AC60" s="255">
        <f t="shared" si="178"/>
        <v>0</v>
      </c>
      <c r="AD60" s="255">
        <f t="shared" si="179"/>
        <v>0</v>
      </c>
      <c r="AE60" s="255">
        <f t="shared" si="180"/>
        <v>0</v>
      </c>
      <c r="AF60" s="256"/>
      <c r="AG60" s="255">
        <f t="shared" si="181"/>
        <v>0</v>
      </c>
      <c r="AH60" s="255">
        <f t="shared" si="182"/>
        <v>0</v>
      </c>
      <c r="AI60" s="255">
        <f t="shared" si="230"/>
        <v>0</v>
      </c>
      <c r="AJ60" s="255">
        <f t="shared" si="231"/>
        <v>0</v>
      </c>
      <c r="AK60" s="255">
        <f t="shared" si="183"/>
        <v>0</v>
      </c>
      <c r="AL60" s="169"/>
      <c r="AM60" s="279">
        <f t="shared" si="184"/>
        <v>0.83333333333333337</v>
      </c>
      <c r="AN60" s="279">
        <f t="shared" si="185"/>
        <v>0.16666666666666666</v>
      </c>
      <c r="AO60" s="279">
        <f t="shared" si="186"/>
        <v>0</v>
      </c>
      <c r="AP60" s="228"/>
      <c r="AQ60" s="364">
        <f>COUNTIF('AR | Drawing List'!$H:$H,$B60)</f>
        <v>6</v>
      </c>
      <c r="AR60" s="365">
        <f>COUNTIFS('AR | Drawing List'!$H:$H,$B60,INDEX('AR | Drawing List'!$A:$AT,,MATCH('Design Fee'!AR$8,'AR | Drawing List'!$A$1:$AT$1,0)),1)</f>
        <v>5</v>
      </c>
      <c r="AS60" s="365">
        <f>COUNTIFS('AR | Drawing List'!$H:$H,$B60,INDEX('AR | Drawing List'!$K:$AT,,MATCH('Design Fee'!AS$8,'AR | Drawing List'!$K$1:$AT$1,0)),1)</f>
        <v>1</v>
      </c>
      <c r="AT60" s="365">
        <f>COUNTIFS('AR | Drawing List'!$H:$H,$B60,INDEX('AR | Drawing List'!$K:$AT,,MATCH('Design Fee'!AT$8,'AR | Drawing List'!$K$1:$AT$1,0)),1)</f>
        <v>1</v>
      </c>
      <c r="AU60" s="365">
        <f>COUNTIFS('AR | Drawing List'!$H:$H,$B60,INDEX('AR | Drawing List'!$K:$AT,,MATCH('Design Fee'!AU$8,'AR | Drawing List'!$K$1:$AT$1,0)),1)</f>
        <v>0</v>
      </c>
      <c r="AV60" s="365">
        <f>COUNTIFS('AR | Drawing List'!$H:$H,$B60,INDEX('AR | Drawing List'!$K:$AT,,MATCH('Design Fee'!AV$8,'AR | Drawing List'!$K$1:$AT$1,0)),1)</f>
        <v>0</v>
      </c>
      <c r="AW60" s="365">
        <f>COUNTIFS('AR | Drawing List'!$H:$H,$B60,INDEX('AR | Drawing List'!$K:$AT,,MATCH('Design Fee'!AW$8,'AR | Drawing List'!$K$1:$AT$1,0)),1)</f>
        <v>0</v>
      </c>
      <c r="AX60" s="198"/>
      <c r="AY60" s="365">
        <f>COUNTIFS('AR | Drawing List'!$H:$H,$B60,INDEX('AR | Drawing List'!$K:$AT,,MATCH('Design Fee'!AY$8,'AR | Drawing List'!$K$1:$AT$1,0)),1)</f>
        <v>0</v>
      </c>
      <c r="AZ60" s="365">
        <f>COUNTIFS('AR | Drawing List'!$H:$H,$B60,INDEX('AR | Drawing List'!$K:$AT,,MATCH('Design Fee'!AZ$8,'AR | Drawing List'!$K$1:$AT$1,0)),1)</f>
        <v>0</v>
      </c>
      <c r="BA60" s="365">
        <f>COUNTIFS('AR | Drawing List'!$H:$H,$B60,INDEX('AR | Drawing List'!$K:$AT,,MATCH('Design Fee'!BA$8,'AR | Drawing List'!$K$1:$AT$1,0)),1)</f>
        <v>0</v>
      </c>
      <c r="BB60" s="365">
        <f>COUNTIFS('AR | Drawing List'!$H:$H,$B60,INDEX('AR | Drawing List'!$K:$AT,,MATCH('Design Fee'!BB$8,'AR | Drawing List'!$K$1:$AT$1,0)),1)</f>
        <v>0</v>
      </c>
      <c r="BC60" s="365">
        <f>COUNTIFS('AR | Drawing List'!$H:$H,$B60,INDEX('AR | Drawing List'!$K:$AT,,MATCH('Design Fee'!BC$8,'AR | Drawing List'!$K$1:$AT$1,0)),1)</f>
        <v>0</v>
      </c>
      <c r="BE60" s="239">
        <v>0.1</v>
      </c>
      <c r="BF60" s="222"/>
      <c r="BG60" s="253">
        <f t="shared" si="232"/>
        <v>0.39820200000000006</v>
      </c>
      <c r="BH60" s="253">
        <f t="shared" si="161"/>
        <v>0.39820200000000006</v>
      </c>
      <c r="BI60" s="254">
        <f t="shared" si="187"/>
        <v>0.39820200000000006</v>
      </c>
      <c r="BJ60" s="255">
        <f t="shared" si="188"/>
        <v>0</v>
      </c>
      <c r="BK60" s="255">
        <f t="shared" si="189"/>
        <v>0</v>
      </c>
      <c r="BL60" s="255">
        <f t="shared" si="190"/>
        <v>0</v>
      </c>
      <c r="BM60" s="255">
        <f t="shared" si="191"/>
        <v>0</v>
      </c>
      <c r="BN60" s="255">
        <f t="shared" si="192"/>
        <v>0</v>
      </c>
      <c r="BO60" s="256"/>
      <c r="BP60" s="255">
        <f t="shared" si="193"/>
        <v>0</v>
      </c>
      <c r="BQ60" s="255">
        <f t="shared" si="194"/>
        <v>0</v>
      </c>
      <c r="BR60" s="255">
        <f t="shared" si="195"/>
        <v>0</v>
      </c>
      <c r="BS60" s="255">
        <f t="shared" si="196"/>
        <v>0</v>
      </c>
      <c r="BT60" s="255">
        <f t="shared" si="197"/>
        <v>0</v>
      </c>
      <c r="BU60" s="169"/>
      <c r="BV60" s="279">
        <f t="shared" si="198"/>
        <v>1</v>
      </c>
      <c r="BW60" s="279">
        <f t="shared" si="199"/>
        <v>0</v>
      </c>
      <c r="BX60" s="279">
        <f t="shared" si="233"/>
        <v>0</v>
      </c>
      <c r="BZ60" s="297">
        <f>COUNTIF('ST | Drawing List'!$G:$G,$B60)</f>
        <v>21</v>
      </c>
      <c r="CA60" s="191">
        <f>COUNTIFS('ST | Drawing List'!$G:$G,$B60,INDEX('ST | Drawing List'!$A:$U,,MATCH('Design Fee'!CA$8,'ST | Drawing List'!$A$1:$U$1,0)),1)</f>
        <v>21</v>
      </c>
      <c r="CB60" s="191">
        <f>COUNTIFS('ST | Drawing List'!$G:$G,$B60,INDEX('ST | Drawing List'!$J:$U,,MATCH('Design Fee'!CB$8,'ST | Drawing List'!$J$1:$U$1,0)),1)</f>
        <v>0</v>
      </c>
      <c r="CC60" s="191">
        <f>COUNTIFS('ST | Drawing List'!$G:$G,$B60,INDEX('ST | Drawing List'!$J:$U,,MATCH('Design Fee'!CC$8,'ST | Drawing List'!$J$1:$U$1,0)),1)</f>
        <v>0</v>
      </c>
      <c r="CD60" s="191">
        <f>COUNTIFS('ST | Drawing List'!$G:$G,$B60,INDEX('ST | Drawing List'!$J:$U,,MATCH('Design Fee'!CD$8,'ST | Drawing List'!$J$1:$U$1,0)),1)</f>
        <v>0</v>
      </c>
      <c r="CE60" s="191">
        <f>COUNTIFS('ST | Drawing List'!$G:$G,$B60,INDEX('ST | Drawing List'!$J:$U,,MATCH('Design Fee'!CE$8,'ST | Drawing List'!$J$1:$U$1,0)),1)</f>
        <v>0</v>
      </c>
      <c r="CF60" s="191">
        <f>COUNTIFS('ST | Drawing List'!$G:$G,$B60,INDEX('ST | Drawing List'!$J:$U,,MATCH('Design Fee'!CF$8,'ST | Drawing List'!$J$1:$U$1,0)),1)</f>
        <v>0</v>
      </c>
      <c r="CG60" s="198"/>
      <c r="CH60" s="191">
        <f>COUNTIFS('ST | Drawing List'!$G:$G,$B60,INDEX('ST | Drawing List'!$J:$U,,MATCH('Design Fee'!CH$8,'ST | Drawing List'!$J$1:$U$1,0)),1)</f>
        <v>0</v>
      </c>
      <c r="CI60" s="191">
        <f>COUNTIFS('ST | Drawing List'!$G:$G,$B60,INDEX('ST | Drawing List'!$J:$U,,MATCH('Design Fee'!CI$8,'ST | Drawing List'!$J$1:$U$1,0)),1)</f>
        <v>0</v>
      </c>
      <c r="CJ60" s="191">
        <f>COUNTIFS('ST | Drawing List'!$G:$G,$B60,INDEX('ST | Drawing List'!$J:$U,,MATCH('Design Fee'!CJ$8,'ST | Drawing List'!$J$1:$U$1,0)),1)</f>
        <v>0</v>
      </c>
      <c r="CK60" s="191">
        <f>COUNTIFS('ST | Drawing List'!$G:$G,$B60,INDEX('ST | Drawing List'!$J:$U,,MATCH('Design Fee'!CK$8,'ST | Drawing List'!$J$1:$U$1,0)),1)</f>
        <v>0</v>
      </c>
      <c r="CL60" s="191">
        <f>COUNTIFS('ST | Drawing List'!$G:$G,$B60,INDEX('ST | Drawing List'!$J:$U,,MATCH('Design Fee'!CL$8,'ST | Drawing List'!$J$1:$U$1,0)),1)</f>
        <v>0</v>
      </c>
      <c r="CN60" s="239">
        <v>0.2</v>
      </c>
      <c r="CO60" s="222"/>
      <c r="CP60" s="253">
        <f t="shared" si="234"/>
        <v>0.11432</v>
      </c>
      <c r="CQ60" s="253">
        <f t="shared" si="166"/>
        <v>0.11432</v>
      </c>
      <c r="CR60" s="254">
        <f t="shared" si="200"/>
        <v>0.11432</v>
      </c>
      <c r="CS60" s="255">
        <f t="shared" si="201"/>
        <v>0</v>
      </c>
      <c r="CT60" s="255">
        <f t="shared" si="202"/>
        <v>0</v>
      </c>
      <c r="CU60" s="255">
        <f t="shared" si="203"/>
        <v>0</v>
      </c>
      <c r="CV60" s="255">
        <f t="shared" si="204"/>
        <v>0</v>
      </c>
      <c r="CW60" s="255">
        <f t="shared" si="205"/>
        <v>0</v>
      </c>
      <c r="CX60" s="256"/>
      <c r="CY60" s="255">
        <f t="shared" si="206"/>
        <v>0</v>
      </c>
      <c r="CZ60" s="255">
        <f t="shared" si="207"/>
        <v>0</v>
      </c>
      <c r="DA60" s="255">
        <f t="shared" si="208"/>
        <v>0</v>
      </c>
      <c r="DB60" s="255">
        <f t="shared" si="209"/>
        <v>0</v>
      </c>
      <c r="DC60" s="255">
        <f t="shared" si="210"/>
        <v>0</v>
      </c>
      <c r="DD60" s="183"/>
      <c r="DE60" s="300">
        <f t="shared" si="211"/>
        <v>1</v>
      </c>
      <c r="DF60" s="300">
        <f t="shared" si="212"/>
        <v>0</v>
      </c>
      <c r="DG60" s="300">
        <f t="shared" si="235"/>
        <v>0</v>
      </c>
      <c r="DH60" s="228"/>
      <c r="DI60" s="297">
        <f>COUNTIF('MEP | Drawing List'!$I:$I,$B60)</f>
        <v>50</v>
      </c>
      <c r="DJ60" s="191">
        <f>COUNTIFS('MEP | Drawing List'!$I:$I,$B60,INDEX('MEP | Drawing List'!$B:$X,,MATCH('Design Fee'!DJ$8,'MEP | Drawing List'!$B$1:$X$1,0)),1)</f>
        <v>50</v>
      </c>
      <c r="DK60" s="191">
        <f>COUNTIFS('MEP | Drawing List'!$I:$I,$B60,INDEX('MEP | Drawing List'!$L:$X,,MATCH('Design Fee'!DK$8,'MEP | Drawing List'!$L$1:$X$1,0)),1)</f>
        <v>0</v>
      </c>
      <c r="DL60" s="191">
        <f>COUNTIFS('MEP | Drawing List'!$I:$I,$B60,INDEX('MEP | Drawing List'!$L:$X,,MATCH('Design Fee'!DL$8,'MEP | Drawing List'!$L$1:$X$1,0)),1)</f>
        <v>0</v>
      </c>
      <c r="DM60" s="191">
        <f>COUNTIFS('MEP | Drawing List'!$I:$I,$B60,INDEX('MEP | Drawing List'!$L:$X,,MATCH('Design Fee'!DM$8,'MEP | Drawing List'!$L$1:$X$1,0)),1)</f>
        <v>0</v>
      </c>
      <c r="DN60" s="191">
        <f>COUNTIFS('MEP | Drawing List'!$I:$I,$B60,INDEX('MEP | Drawing List'!$L:$X,,MATCH('Design Fee'!DN$8,'MEP | Drawing List'!$L$1:$X$1,0)),1)</f>
        <v>0</v>
      </c>
      <c r="DO60" s="191">
        <f>COUNTIFS('MEP | Drawing List'!$I:$I,$B60,INDEX('MEP | Drawing List'!$L:$X,,MATCH('Design Fee'!DO$8,'MEP | Drawing List'!$L$1:$X$1,0)),1)</f>
        <v>0</v>
      </c>
      <c r="DP60" s="198"/>
      <c r="DQ60" s="191">
        <f>COUNTIFS('MEP | Drawing List'!$I:$I,$B60,INDEX('MEP | Drawing List'!$L:$X,,MATCH('Design Fee'!DQ$8,'MEP | Drawing List'!$L$1:$X$1,0)),1)</f>
        <v>0</v>
      </c>
      <c r="DR60" s="191">
        <f>COUNTIFS('MEP | Drawing List'!$I:$I,$B60,INDEX('MEP | Drawing List'!$L:$X,,MATCH('Design Fee'!DR$8,'MEP | Drawing List'!$L$1:$X$1,0)),1)</f>
        <v>0</v>
      </c>
      <c r="DS60" s="191">
        <f>COUNTIFS('MEP | Drawing List'!$I:$I,$B60,INDEX('MEP | Drawing List'!$L:$X,,MATCH('Design Fee'!DS$8,'MEP | Drawing List'!$L$1:$X$1,0)),1)</f>
        <v>0</v>
      </c>
      <c r="DT60" s="191">
        <f>COUNTIFS('MEP | Drawing List'!$I:$I,$B60,INDEX('MEP | Drawing List'!$L:$X,,MATCH('Design Fee'!DT$8,'MEP | Drawing List'!$L$1:$X$1,0)),1)</f>
        <v>0</v>
      </c>
      <c r="DU60" s="191">
        <f>COUNTIFS('MEP | Drawing List'!$I:$I,$B60,INDEX('MEP | Drawing List'!$L:$X,,MATCH('Design Fee'!DU$8,'MEP | Drawing List'!$L$1:$X$1,0)),1)</f>
        <v>0</v>
      </c>
      <c r="DV60" s="207"/>
      <c r="DX60" s="239">
        <v>0</v>
      </c>
      <c r="DY60" s="222"/>
      <c r="DZ60" s="253"/>
      <c r="EA60" s="253">
        <f t="shared" si="171"/>
        <v>0</v>
      </c>
      <c r="EB60" s="254">
        <f t="shared" si="213"/>
        <v>0</v>
      </c>
      <c r="EC60" s="255">
        <f t="shared" si="214"/>
        <v>0</v>
      </c>
      <c r="ED60" s="255">
        <f t="shared" si="215"/>
        <v>0</v>
      </c>
      <c r="EE60" s="255">
        <f t="shared" si="216"/>
        <v>0</v>
      </c>
      <c r="EF60" s="255">
        <f t="shared" si="217"/>
        <v>0</v>
      </c>
      <c r="EG60" s="255">
        <f t="shared" si="218"/>
        <v>0</v>
      </c>
      <c r="EH60" s="256"/>
      <c r="EI60" s="255">
        <f t="shared" si="219"/>
        <v>0</v>
      </c>
      <c r="EJ60" s="255">
        <f t="shared" si="220"/>
        <v>0</v>
      </c>
      <c r="EK60" s="255">
        <f t="shared" si="221"/>
        <v>0</v>
      </c>
      <c r="EL60" s="255">
        <f t="shared" si="222"/>
        <v>0</v>
      </c>
      <c r="EM60" s="255">
        <f t="shared" si="223"/>
        <v>0</v>
      </c>
      <c r="EN60" s="183"/>
      <c r="EO60" s="300">
        <f t="shared" si="224"/>
        <v>0</v>
      </c>
      <c r="EP60" s="300">
        <f t="shared" si="225"/>
        <v>0</v>
      </c>
      <c r="EQ60" s="300">
        <f t="shared" si="226"/>
        <v>0</v>
      </c>
      <c r="ER60" s="228"/>
      <c r="ES60" s="297">
        <f>COUNTIF('LS | Drawing List'!$H:$H,$B60)</f>
        <v>0</v>
      </c>
      <c r="ET60" s="191">
        <f>COUNTIFS('LS | Drawing List'!$H:$H,$B60,INDEX('LS | Drawing List'!$A:$V,,MATCH('Design Fee'!ET$8,'LS | Drawing List'!$A$1:$V$1,0)),1)</f>
        <v>0</v>
      </c>
      <c r="EU60" s="191">
        <f>COUNTIFS('LS | Drawing List'!$H:$H,$B60,INDEX('LS | Drawing List'!$K:$V,,MATCH('Design Fee'!EU$8,'LS | Drawing List'!$K$1:$V$1,0)),1)</f>
        <v>0</v>
      </c>
      <c r="EV60" s="191">
        <f>COUNTIFS('LS | Drawing List'!$H:$H,$B60,INDEX('LS | Drawing List'!$K:$V,,MATCH('Design Fee'!EV$8,'LS | Drawing List'!$K$1:$V$1,0)),1)</f>
        <v>0</v>
      </c>
      <c r="EW60" s="191">
        <f>COUNTIFS('LS | Drawing List'!$H:$H,$B60,INDEX('LS | Drawing List'!$K:$V,,MATCH('Design Fee'!EW$8,'LS | Drawing List'!$K$1:$V$1,0)),1)</f>
        <v>0</v>
      </c>
      <c r="EX60" s="191">
        <f>COUNTIFS('LS | Drawing List'!$H:$H,$B60,INDEX('LS | Drawing List'!$K:$V,,MATCH('Design Fee'!EX$8,'LS | Drawing List'!$K$1:$V$1,0)),1)</f>
        <v>0</v>
      </c>
      <c r="EY60" s="191">
        <f>COUNTIFS('LS | Drawing List'!$H:$H,$B60,INDEX('LS | Drawing List'!$K:$V,,MATCH('Design Fee'!EY$8,'LS | Drawing List'!$K$1:$V$1,0)),1)</f>
        <v>0</v>
      </c>
      <c r="EZ60" s="198"/>
      <c r="FA60" s="191">
        <f>COUNTIFS('LS | Drawing List'!$H:$H,$B60,INDEX('LS | Drawing List'!$K:$V,,MATCH('Design Fee'!FA$8,'LS | Drawing List'!$K$1:$V$1,0)),1)</f>
        <v>0</v>
      </c>
      <c r="FB60" s="191">
        <f>COUNTIFS('LS | Drawing List'!$H:$H,$B60,INDEX('LS | Drawing List'!$K:$V,,MATCH('Design Fee'!FB$8,'LS | Drawing List'!$K$1:$V$1,0)),1)</f>
        <v>0</v>
      </c>
      <c r="FC60" s="191">
        <f>COUNTIFS('LS | Drawing List'!$H:$H,$B60,INDEX('LS | Drawing List'!$K:$V,,MATCH('Design Fee'!FC$8,'LS | Drawing List'!$K$1:$V$1,0)),1)</f>
        <v>0</v>
      </c>
      <c r="FD60" s="191">
        <f>COUNTIFS('LS | Drawing List'!$H:$H,$B60,INDEX('LS | Drawing List'!$K:$V,,MATCH('Design Fee'!FD$8,'LS | Drawing List'!$K$1:$V$1,0)),1)</f>
        <v>0</v>
      </c>
      <c r="FE60" s="191">
        <f>COUNTIFS('LS | Drawing List'!$H:$H,$B60,INDEX('LS | Drawing List'!$K:$V,,MATCH('Design Fee'!FE$8,'LS | Drawing List'!$K$1:$V$1,0)),1)</f>
        <v>0</v>
      </c>
      <c r="FF60" s="207"/>
    </row>
    <row r="61" spans="2:162" ht="11.85" customHeight="1" outlineLevel="2">
      <c r="B61" s="459" t="s">
        <v>155</v>
      </c>
      <c r="C61" s="280" t="s">
        <v>59</v>
      </c>
      <c r="E61" s="253">
        <f t="shared" si="143"/>
        <v>0.44006350000000005</v>
      </c>
      <c r="F61" s="253">
        <f t="shared" si="144"/>
        <v>0.44006350000000005</v>
      </c>
      <c r="G61" s="254">
        <f t="shared" si="176"/>
        <v>0</v>
      </c>
      <c r="H61" s="254">
        <f t="shared" si="146"/>
        <v>0.44006350000000005</v>
      </c>
      <c r="I61" s="253">
        <f t="shared" si="147"/>
        <v>0</v>
      </c>
      <c r="J61" s="254">
        <f t="shared" si="148"/>
        <v>0</v>
      </c>
      <c r="K61" s="254">
        <f t="shared" si="149"/>
        <v>0</v>
      </c>
      <c r="L61" s="253">
        <f t="shared" si="150"/>
        <v>0</v>
      </c>
      <c r="M61" s="253">
        <f t="shared" si="151"/>
        <v>0</v>
      </c>
      <c r="N61" s="256"/>
      <c r="O61" s="253">
        <f t="shared" si="152"/>
        <v>0</v>
      </c>
      <c r="P61" s="253">
        <f t="shared" si="153"/>
        <v>0</v>
      </c>
      <c r="Q61" s="253">
        <f t="shared" si="154"/>
        <v>0</v>
      </c>
      <c r="R61" s="253">
        <f t="shared" si="155"/>
        <v>0</v>
      </c>
      <c r="S61" s="253">
        <f t="shared" si="156"/>
        <v>0</v>
      </c>
      <c r="T61" s="169"/>
      <c r="U61" s="183"/>
      <c r="V61" s="232">
        <v>2.5000000000000001E-2</v>
      </c>
      <c r="W61" s="222"/>
      <c r="X61" s="253">
        <f t="shared" si="227"/>
        <v>0.24096250000000002</v>
      </c>
      <c r="Y61" s="253">
        <f t="shared" si="157"/>
        <v>0.24096250000000002</v>
      </c>
      <c r="Z61" s="254">
        <f t="shared" si="228"/>
        <v>0.24096250000000002</v>
      </c>
      <c r="AA61" s="255">
        <f t="shared" si="229"/>
        <v>0</v>
      </c>
      <c r="AB61" s="255">
        <f t="shared" si="177"/>
        <v>0</v>
      </c>
      <c r="AC61" s="255">
        <f t="shared" si="178"/>
        <v>0</v>
      </c>
      <c r="AD61" s="255">
        <f t="shared" si="179"/>
        <v>0</v>
      </c>
      <c r="AE61" s="255">
        <f t="shared" si="180"/>
        <v>0</v>
      </c>
      <c r="AF61" s="256"/>
      <c r="AG61" s="255">
        <f t="shared" si="181"/>
        <v>0</v>
      </c>
      <c r="AH61" s="255">
        <f t="shared" si="182"/>
        <v>0</v>
      </c>
      <c r="AI61" s="255">
        <f t="shared" si="230"/>
        <v>0</v>
      </c>
      <c r="AJ61" s="255">
        <f t="shared" si="231"/>
        <v>0</v>
      </c>
      <c r="AK61" s="255">
        <f t="shared" si="183"/>
        <v>0</v>
      </c>
      <c r="AL61" s="169"/>
      <c r="AM61" s="279">
        <f t="shared" si="184"/>
        <v>1</v>
      </c>
      <c r="AN61" s="279">
        <f t="shared" si="185"/>
        <v>0</v>
      </c>
      <c r="AO61" s="279">
        <f t="shared" si="186"/>
        <v>0</v>
      </c>
      <c r="AP61" s="228"/>
      <c r="AQ61" s="364">
        <f>COUNTIF('AR | Drawing List'!$H:$H,$B61)</f>
        <v>1</v>
      </c>
      <c r="AR61" s="365">
        <f>COUNTIFS('AR | Drawing List'!$H:$H,$B61,INDEX('AR | Drawing List'!$A:$AT,,MATCH('Design Fee'!AR$8,'AR | Drawing List'!$A$1:$AT$1,0)),1)</f>
        <v>1</v>
      </c>
      <c r="AS61" s="365">
        <f>COUNTIFS('AR | Drawing List'!$H:$H,$B61,INDEX('AR | Drawing List'!$K:$AT,,MATCH('Design Fee'!AS$8,'AR | Drawing List'!$K$1:$AT$1,0)),1)</f>
        <v>0</v>
      </c>
      <c r="AT61" s="365">
        <f>COUNTIFS('AR | Drawing List'!$H:$H,$B61,INDEX('AR | Drawing List'!$K:$AT,,MATCH('Design Fee'!AT$8,'AR | Drawing List'!$K$1:$AT$1,0)),1)</f>
        <v>0</v>
      </c>
      <c r="AU61" s="365">
        <f>COUNTIFS('AR | Drawing List'!$H:$H,$B61,INDEX('AR | Drawing List'!$K:$AT,,MATCH('Design Fee'!AU$8,'AR | Drawing List'!$K$1:$AT$1,0)),1)</f>
        <v>0</v>
      </c>
      <c r="AV61" s="365">
        <f>COUNTIFS('AR | Drawing List'!$H:$H,$B61,INDEX('AR | Drawing List'!$K:$AT,,MATCH('Design Fee'!AV$8,'AR | Drawing List'!$K$1:$AT$1,0)),1)</f>
        <v>0</v>
      </c>
      <c r="AW61" s="365">
        <f>COUNTIFS('AR | Drawing List'!$H:$H,$B61,INDEX('AR | Drawing List'!$K:$AT,,MATCH('Design Fee'!AW$8,'AR | Drawing List'!$K$1:$AT$1,0)),1)</f>
        <v>0</v>
      </c>
      <c r="AX61" s="198"/>
      <c r="AY61" s="365">
        <f>COUNTIFS('AR | Drawing List'!$H:$H,$B61,INDEX('AR | Drawing List'!$K:$AT,,MATCH('Design Fee'!AY$8,'AR | Drawing List'!$K$1:$AT$1,0)),1)</f>
        <v>0</v>
      </c>
      <c r="AZ61" s="365">
        <f>COUNTIFS('AR | Drawing List'!$H:$H,$B61,INDEX('AR | Drawing List'!$K:$AT,,MATCH('Design Fee'!AZ$8,'AR | Drawing List'!$K$1:$AT$1,0)),1)</f>
        <v>0</v>
      </c>
      <c r="BA61" s="365">
        <f>COUNTIFS('AR | Drawing List'!$H:$H,$B61,INDEX('AR | Drawing List'!$K:$AT,,MATCH('Design Fee'!BA$8,'AR | Drawing List'!$K$1:$AT$1,0)),1)</f>
        <v>0</v>
      </c>
      <c r="BB61" s="365">
        <f>COUNTIFS('AR | Drawing List'!$H:$H,$B61,INDEX('AR | Drawing List'!$K:$AT,,MATCH('Design Fee'!BB$8,'AR | Drawing List'!$K$1:$AT$1,0)),1)</f>
        <v>0</v>
      </c>
      <c r="BC61" s="365">
        <f>COUNTIFS('AR | Drawing List'!$H:$H,$B61,INDEX('AR | Drawing List'!$K:$AT,,MATCH('Design Fee'!BC$8,'AR | Drawing List'!$K$1:$AT$1,0)),1)</f>
        <v>0</v>
      </c>
      <c r="BD61" s="198"/>
      <c r="BE61" s="239">
        <v>0.05</v>
      </c>
      <c r="BF61" s="222"/>
      <c r="BG61" s="253">
        <f t="shared" si="232"/>
        <v>0.19910100000000003</v>
      </c>
      <c r="BH61" s="253">
        <f t="shared" si="161"/>
        <v>0.19910100000000003</v>
      </c>
      <c r="BI61" s="254">
        <f t="shared" si="187"/>
        <v>0.19910100000000003</v>
      </c>
      <c r="BJ61" s="255">
        <f t="shared" si="188"/>
        <v>0</v>
      </c>
      <c r="BK61" s="255">
        <f t="shared" si="189"/>
        <v>0</v>
      </c>
      <c r="BL61" s="255">
        <f t="shared" si="190"/>
        <v>0</v>
      </c>
      <c r="BM61" s="255">
        <f t="shared" si="191"/>
        <v>0</v>
      </c>
      <c r="BN61" s="255">
        <f t="shared" si="192"/>
        <v>0</v>
      </c>
      <c r="BO61" s="256"/>
      <c r="BP61" s="255">
        <f t="shared" si="193"/>
        <v>0</v>
      </c>
      <c r="BQ61" s="255">
        <f t="shared" si="194"/>
        <v>0</v>
      </c>
      <c r="BR61" s="255">
        <f t="shared" si="195"/>
        <v>0</v>
      </c>
      <c r="BS61" s="255">
        <f t="shared" si="196"/>
        <v>0</v>
      </c>
      <c r="BT61" s="255">
        <f t="shared" si="197"/>
        <v>0</v>
      </c>
      <c r="BU61" s="169"/>
      <c r="BV61" s="279">
        <f t="shared" si="198"/>
        <v>1</v>
      </c>
      <c r="BW61" s="279">
        <f t="shared" si="199"/>
        <v>0</v>
      </c>
      <c r="BX61" s="279">
        <f t="shared" si="233"/>
        <v>0</v>
      </c>
      <c r="BZ61" s="297">
        <f>COUNTIF('ST | Drawing List'!$G:$G,$B61)</f>
        <v>92</v>
      </c>
      <c r="CA61" s="191">
        <f>COUNTIFS('ST | Drawing List'!$G:$G,$B61,INDEX('ST | Drawing List'!$A:$U,,MATCH('Design Fee'!CA$8,'ST | Drawing List'!$A$1:$U$1,0)),1)</f>
        <v>92</v>
      </c>
      <c r="CB61" s="191">
        <f>COUNTIFS('ST | Drawing List'!$G:$G,$B61,INDEX('ST | Drawing List'!$J:$U,,MATCH('Design Fee'!CB$8,'ST | Drawing List'!$J$1:$U$1,0)),1)</f>
        <v>0</v>
      </c>
      <c r="CC61" s="191">
        <f>COUNTIFS('ST | Drawing List'!$G:$G,$B61,INDEX('ST | Drawing List'!$J:$U,,MATCH('Design Fee'!CC$8,'ST | Drawing List'!$J$1:$U$1,0)),1)</f>
        <v>0</v>
      </c>
      <c r="CD61" s="191">
        <f>COUNTIFS('ST | Drawing List'!$G:$G,$B61,INDEX('ST | Drawing List'!$J:$U,,MATCH('Design Fee'!CD$8,'ST | Drawing List'!$J$1:$U$1,0)),1)</f>
        <v>0</v>
      </c>
      <c r="CE61" s="191">
        <f>COUNTIFS('ST | Drawing List'!$G:$G,$B61,INDEX('ST | Drawing List'!$J:$U,,MATCH('Design Fee'!CE$8,'ST | Drawing List'!$J$1:$U$1,0)),1)</f>
        <v>0</v>
      </c>
      <c r="CF61" s="191">
        <f>COUNTIFS('ST | Drawing List'!$G:$G,$B61,INDEX('ST | Drawing List'!$J:$U,,MATCH('Design Fee'!CF$8,'ST | Drawing List'!$J$1:$U$1,0)),1)</f>
        <v>0</v>
      </c>
      <c r="CG61" s="198"/>
      <c r="CH61" s="191">
        <f>COUNTIFS('ST | Drawing List'!$G:$G,$B61,INDEX('ST | Drawing List'!$J:$U,,MATCH('Design Fee'!CH$8,'ST | Drawing List'!$J$1:$U$1,0)),1)</f>
        <v>0</v>
      </c>
      <c r="CI61" s="191">
        <f>COUNTIFS('ST | Drawing List'!$G:$G,$B61,INDEX('ST | Drawing List'!$J:$U,,MATCH('Design Fee'!CI$8,'ST | Drawing List'!$J$1:$U$1,0)),1)</f>
        <v>0</v>
      </c>
      <c r="CJ61" s="191">
        <f>COUNTIFS('ST | Drawing List'!$G:$G,$B61,INDEX('ST | Drawing List'!$J:$U,,MATCH('Design Fee'!CJ$8,'ST | Drawing List'!$J$1:$U$1,0)),1)</f>
        <v>0</v>
      </c>
      <c r="CK61" s="191">
        <f>COUNTIFS('ST | Drawing List'!$G:$G,$B61,INDEX('ST | Drawing List'!$J:$U,,MATCH('Design Fee'!CK$8,'ST | Drawing List'!$J$1:$U$1,0)),1)</f>
        <v>0</v>
      </c>
      <c r="CL61" s="191">
        <f>COUNTIFS('ST | Drawing List'!$G:$G,$B61,INDEX('ST | Drawing List'!$J:$U,,MATCH('Design Fee'!CL$8,'ST | Drawing List'!$J$1:$U$1,0)),1)</f>
        <v>0</v>
      </c>
      <c r="CM61" s="198"/>
      <c r="CN61" s="239">
        <v>0</v>
      </c>
      <c r="CO61" s="222"/>
      <c r="CP61" s="253">
        <f t="shared" si="234"/>
        <v>0</v>
      </c>
      <c r="CQ61" s="253">
        <f t="shared" si="166"/>
        <v>0</v>
      </c>
      <c r="CR61" s="254">
        <f t="shared" si="200"/>
        <v>0</v>
      </c>
      <c r="CS61" s="255">
        <f t="shared" si="201"/>
        <v>0</v>
      </c>
      <c r="CT61" s="255">
        <f t="shared" si="202"/>
        <v>0</v>
      </c>
      <c r="CU61" s="255">
        <f t="shared" si="203"/>
        <v>0</v>
      </c>
      <c r="CV61" s="255">
        <f t="shared" si="204"/>
        <v>0</v>
      </c>
      <c r="CW61" s="255">
        <f t="shared" si="205"/>
        <v>0</v>
      </c>
      <c r="CX61" s="256"/>
      <c r="CY61" s="255">
        <f t="shared" si="206"/>
        <v>0</v>
      </c>
      <c r="CZ61" s="255">
        <f t="shared" si="207"/>
        <v>0</v>
      </c>
      <c r="DA61" s="255">
        <f t="shared" si="208"/>
        <v>0</v>
      </c>
      <c r="DB61" s="255">
        <f t="shared" si="209"/>
        <v>0</v>
      </c>
      <c r="DC61" s="255">
        <f t="shared" si="210"/>
        <v>0</v>
      </c>
      <c r="DD61" s="183"/>
      <c r="DE61" s="300">
        <f t="shared" si="211"/>
        <v>0</v>
      </c>
      <c r="DF61" s="300">
        <f t="shared" si="212"/>
        <v>0</v>
      </c>
      <c r="DG61" s="300">
        <f t="shared" si="235"/>
        <v>0</v>
      </c>
      <c r="DH61" s="228"/>
      <c r="DI61" s="297">
        <f>COUNTIF('MEP | Drawing List'!$I:$I,$B61)</f>
        <v>0</v>
      </c>
      <c r="DJ61" s="191">
        <f>COUNTIFS('MEP | Drawing List'!$I:$I,$B61,INDEX('MEP | Drawing List'!$B:$X,,MATCH('Design Fee'!DJ$8,'MEP | Drawing List'!$B$1:$X$1,0)),1)</f>
        <v>0</v>
      </c>
      <c r="DK61" s="191">
        <f>COUNTIFS('MEP | Drawing List'!$I:$I,$B61,INDEX('MEP | Drawing List'!$L:$X,,MATCH('Design Fee'!DK$8,'MEP | Drawing List'!$L$1:$X$1,0)),1)</f>
        <v>0</v>
      </c>
      <c r="DL61" s="191">
        <f>COUNTIFS('MEP | Drawing List'!$I:$I,$B61,INDEX('MEP | Drawing List'!$L:$X,,MATCH('Design Fee'!DL$8,'MEP | Drawing List'!$L$1:$X$1,0)),1)</f>
        <v>0</v>
      </c>
      <c r="DM61" s="191">
        <f>COUNTIFS('MEP | Drawing List'!$I:$I,$B61,INDEX('MEP | Drawing List'!$L:$X,,MATCH('Design Fee'!DM$8,'MEP | Drawing List'!$L$1:$X$1,0)),1)</f>
        <v>0</v>
      </c>
      <c r="DN61" s="191">
        <f>COUNTIFS('MEP | Drawing List'!$I:$I,$B61,INDEX('MEP | Drawing List'!$L:$X,,MATCH('Design Fee'!DN$8,'MEP | Drawing List'!$L$1:$X$1,0)),1)</f>
        <v>0</v>
      </c>
      <c r="DO61" s="191">
        <f>COUNTIFS('MEP | Drawing List'!$I:$I,$B61,INDEX('MEP | Drawing List'!$L:$X,,MATCH('Design Fee'!DO$8,'MEP | Drawing List'!$L$1:$X$1,0)),1)</f>
        <v>0</v>
      </c>
      <c r="DP61" s="198"/>
      <c r="DQ61" s="191">
        <f>COUNTIFS('MEP | Drawing List'!$I:$I,$B61,INDEX('MEP | Drawing List'!$L:$X,,MATCH('Design Fee'!DQ$8,'MEP | Drawing List'!$L$1:$X$1,0)),1)</f>
        <v>0</v>
      </c>
      <c r="DR61" s="191">
        <f>COUNTIFS('MEP | Drawing List'!$I:$I,$B61,INDEX('MEP | Drawing List'!$L:$X,,MATCH('Design Fee'!DR$8,'MEP | Drawing List'!$L$1:$X$1,0)),1)</f>
        <v>0</v>
      </c>
      <c r="DS61" s="191">
        <f>COUNTIFS('MEP | Drawing List'!$I:$I,$B61,INDEX('MEP | Drawing List'!$L:$X,,MATCH('Design Fee'!DS$8,'MEP | Drawing List'!$L$1:$X$1,0)),1)</f>
        <v>0</v>
      </c>
      <c r="DT61" s="191">
        <f>COUNTIFS('MEP | Drawing List'!$I:$I,$B61,INDEX('MEP | Drawing List'!$L:$X,,MATCH('Design Fee'!DT$8,'MEP | Drawing List'!$L$1:$X$1,0)),1)</f>
        <v>0</v>
      </c>
      <c r="DU61" s="191">
        <f>COUNTIFS('MEP | Drawing List'!$I:$I,$B61,INDEX('MEP | Drawing List'!$L:$X,,MATCH('Design Fee'!DU$8,'MEP | Drawing List'!$L$1:$X$1,0)),1)</f>
        <v>0</v>
      </c>
      <c r="DV61" s="207"/>
      <c r="DW61" s="198"/>
      <c r="DX61" s="239">
        <v>0</v>
      </c>
      <c r="DY61" s="222"/>
      <c r="DZ61" s="253"/>
      <c r="EA61" s="253">
        <f t="shared" si="171"/>
        <v>0</v>
      </c>
      <c r="EB61" s="254">
        <f t="shared" si="213"/>
        <v>0</v>
      </c>
      <c r="EC61" s="255">
        <f t="shared" si="214"/>
        <v>0</v>
      </c>
      <c r="ED61" s="255">
        <f t="shared" si="215"/>
        <v>0</v>
      </c>
      <c r="EE61" s="255">
        <f t="shared" si="216"/>
        <v>0</v>
      </c>
      <c r="EF61" s="255">
        <f t="shared" si="217"/>
        <v>0</v>
      </c>
      <c r="EG61" s="255">
        <f t="shared" si="218"/>
        <v>0</v>
      </c>
      <c r="EH61" s="256"/>
      <c r="EI61" s="255">
        <f t="shared" si="219"/>
        <v>0</v>
      </c>
      <c r="EJ61" s="255">
        <f t="shared" si="220"/>
        <v>0</v>
      </c>
      <c r="EK61" s="255">
        <f t="shared" si="221"/>
        <v>0</v>
      </c>
      <c r="EL61" s="255">
        <f t="shared" si="222"/>
        <v>0</v>
      </c>
      <c r="EM61" s="255">
        <f t="shared" si="223"/>
        <v>0</v>
      </c>
      <c r="EN61" s="183"/>
      <c r="EO61" s="300">
        <f t="shared" si="224"/>
        <v>0</v>
      </c>
      <c r="EP61" s="300">
        <f t="shared" si="225"/>
        <v>0</v>
      </c>
      <c r="EQ61" s="300">
        <f t="shared" si="226"/>
        <v>0</v>
      </c>
      <c r="ER61" s="228"/>
      <c r="ES61" s="297">
        <f>COUNTIF('LS | Drawing List'!$H:$H,$B61)</f>
        <v>0</v>
      </c>
      <c r="ET61" s="191">
        <f>COUNTIFS('LS | Drawing List'!$H:$H,$B61,INDEX('LS | Drawing List'!$A:$V,,MATCH('Design Fee'!ET$8,'LS | Drawing List'!$A$1:$V$1,0)),1)</f>
        <v>0</v>
      </c>
      <c r="EU61" s="191">
        <f>COUNTIFS('LS | Drawing List'!$H:$H,$B61,INDEX('LS | Drawing List'!$K:$V,,MATCH('Design Fee'!EU$8,'LS | Drawing List'!$K$1:$V$1,0)),1)</f>
        <v>0</v>
      </c>
      <c r="EV61" s="191">
        <f>COUNTIFS('LS | Drawing List'!$H:$H,$B61,INDEX('LS | Drawing List'!$K:$V,,MATCH('Design Fee'!EV$8,'LS | Drawing List'!$K$1:$V$1,0)),1)</f>
        <v>0</v>
      </c>
      <c r="EW61" s="191">
        <f>COUNTIFS('LS | Drawing List'!$H:$H,$B61,INDEX('LS | Drawing List'!$K:$V,,MATCH('Design Fee'!EW$8,'LS | Drawing List'!$K$1:$V$1,0)),1)</f>
        <v>0</v>
      </c>
      <c r="EX61" s="191">
        <f>COUNTIFS('LS | Drawing List'!$H:$H,$B61,INDEX('LS | Drawing List'!$K:$V,,MATCH('Design Fee'!EX$8,'LS | Drawing List'!$K$1:$V$1,0)),1)</f>
        <v>0</v>
      </c>
      <c r="EY61" s="191">
        <f>COUNTIFS('LS | Drawing List'!$H:$H,$B61,INDEX('LS | Drawing List'!$K:$V,,MATCH('Design Fee'!EY$8,'LS | Drawing List'!$K$1:$V$1,0)),1)</f>
        <v>0</v>
      </c>
      <c r="EZ61" s="198"/>
      <c r="FA61" s="191">
        <f>COUNTIFS('LS | Drawing List'!$H:$H,$B61,INDEX('LS | Drawing List'!$K:$V,,MATCH('Design Fee'!FA$8,'LS | Drawing List'!$K$1:$V$1,0)),1)</f>
        <v>0</v>
      </c>
      <c r="FB61" s="191">
        <f>COUNTIFS('LS | Drawing List'!$H:$H,$B61,INDEX('LS | Drawing List'!$K:$V,,MATCH('Design Fee'!FB$8,'LS | Drawing List'!$K$1:$V$1,0)),1)</f>
        <v>0</v>
      </c>
      <c r="FC61" s="191">
        <f>COUNTIFS('LS | Drawing List'!$H:$H,$B61,INDEX('LS | Drawing List'!$K:$V,,MATCH('Design Fee'!FC$8,'LS | Drawing List'!$K$1:$V$1,0)),1)</f>
        <v>0</v>
      </c>
      <c r="FD61" s="191">
        <f>COUNTIFS('LS | Drawing List'!$H:$H,$B61,INDEX('LS | Drawing List'!$K:$V,,MATCH('Design Fee'!FD$8,'LS | Drawing List'!$K$1:$V$1,0)),1)</f>
        <v>0</v>
      </c>
      <c r="FE61" s="191">
        <f>COUNTIFS('LS | Drawing List'!$H:$H,$B61,INDEX('LS | Drawing List'!$K:$V,,MATCH('Design Fee'!FE$8,'LS | Drawing List'!$K$1:$V$1,0)),1)</f>
        <v>0</v>
      </c>
      <c r="FF61" s="207"/>
    </row>
    <row r="62" spans="2:162" ht="11.85" customHeight="1" outlineLevel="2">
      <c r="B62" s="459" t="s">
        <v>156</v>
      </c>
      <c r="C62" s="280" t="s">
        <v>61</v>
      </c>
      <c r="E62" s="253">
        <f t="shared" si="143"/>
        <v>0.44006350000000005</v>
      </c>
      <c r="F62" s="253">
        <f t="shared" si="144"/>
        <v>0.44006350000000005</v>
      </c>
      <c r="G62" s="254">
        <f t="shared" si="176"/>
        <v>0</v>
      </c>
      <c r="H62" s="254">
        <f t="shared" si="146"/>
        <v>0.19910100000000003</v>
      </c>
      <c r="I62" s="253">
        <f t="shared" si="147"/>
        <v>0.24096250000000002</v>
      </c>
      <c r="J62" s="254">
        <f t="shared" si="148"/>
        <v>0.24096250000000002</v>
      </c>
      <c r="K62" s="254">
        <f t="shared" si="149"/>
        <v>0</v>
      </c>
      <c r="L62" s="253">
        <f t="shared" si="150"/>
        <v>0</v>
      </c>
      <c r="M62" s="253">
        <f t="shared" si="151"/>
        <v>0</v>
      </c>
      <c r="N62" s="256"/>
      <c r="O62" s="253">
        <f t="shared" si="152"/>
        <v>0.24096250000000002</v>
      </c>
      <c r="P62" s="253">
        <f t="shared" si="153"/>
        <v>0</v>
      </c>
      <c r="Q62" s="253">
        <f t="shared" si="154"/>
        <v>0.24096250000000002</v>
      </c>
      <c r="R62" s="253">
        <f t="shared" si="155"/>
        <v>0</v>
      </c>
      <c r="S62" s="253">
        <f t="shared" si="156"/>
        <v>0</v>
      </c>
      <c r="T62" s="169"/>
      <c r="U62" s="183"/>
      <c r="V62" s="232">
        <v>2.5000000000000001E-2</v>
      </c>
      <c r="W62" s="222"/>
      <c r="X62" s="253">
        <f t="shared" si="227"/>
        <v>0.24096250000000002</v>
      </c>
      <c r="Y62" s="253">
        <f>Z62+AG62</f>
        <v>0.24096250000000002</v>
      </c>
      <c r="Z62" s="254">
        <f>IFERROR(IF(AM62=100%,$X62,0),0)</f>
        <v>0</v>
      </c>
      <c r="AA62" s="255">
        <f t="shared" si="229"/>
        <v>0.24096250000000002</v>
      </c>
      <c r="AB62" s="255">
        <f t="shared" si="177"/>
        <v>0.24096250000000002</v>
      </c>
      <c r="AC62" s="255">
        <f t="shared" si="178"/>
        <v>0</v>
      </c>
      <c r="AD62" s="255">
        <f t="shared" si="179"/>
        <v>0</v>
      </c>
      <c r="AE62" s="255">
        <f t="shared" si="180"/>
        <v>0</v>
      </c>
      <c r="AF62" s="256"/>
      <c r="AG62" s="255">
        <f t="shared" si="181"/>
        <v>0.24096250000000002</v>
      </c>
      <c r="AH62" s="255">
        <f t="shared" si="182"/>
        <v>0</v>
      </c>
      <c r="AI62" s="255">
        <f t="shared" si="230"/>
        <v>0.24096250000000002</v>
      </c>
      <c r="AJ62" s="255">
        <f t="shared" si="231"/>
        <v>0</v>
      </c>
      <c r="AK62" s="255">
        <f t="shared" si="183"/>
        <v>0</v>
      </c>
      <c r="AL62" s="169"/>
      <c r="AM62" s="279">
        <f t="shared" si="184"/>
        <v>0.83720930232558144</v>
      </c>
      <c r="AN62" s="279">
        <f t="shared" si="185"/>
        <v>0.16279069767441862</v>
      </c>
      <c r="AO62" s="279">
        <f t="shared" si="186"/>
        <v>0.16279069767441862</v>
      </c>
      <c r="AP62" s="228"/>
      <c r="AQ62" s="364">
        <f>COUNTIF('AR | Drawing List'!$H:$H,$B62)</f>
        <v>43</v>
      </c>
      <c r="AR62" s="365">
        <f>COUNTIFS('AR | Drawing List'!$H:$H,$B62,INDEX('AR | Drawing List'!$A:$AT,,MATCH('Design Fee'!AR$8,'AR | Drawing List'!$A$1:$AT$1,0)),1)</f>
        <v>36</v>
      </c>
      <c r="AS62" s="365">
        <f>COUNTIFS('AR | Drawing List'!$H:$H,$B62,INDEX('AR | Drawing List'!$K:$AT,,MATCH('Design Fee'!AS$8,'AR | Drawing List'!$K$1:$AT$1,0)),1)</f>
        <v>7</v>
      </c>
      <c r="AT62" s="365">
        <f>COUNTIFS('AR | Drawing List'!$H:$H,$B62,INDEX('AR | Drawing List'!$K:$AT,,MATCH('Design Fee'!AT$8,'AR | Drawing List'!$K$1:$AT$1,0)),1)</f>
        <v>7</v>
      </c>
      <c r="AU62" s="365">
        <f>COUNTIFS('AR | Drawing List'!$H:$H,$B62,INDEX('AR | Drawing List'!$K:$AT,,MATCH('Design Fee'!AU$8,'AR | Drawing List'!$K$1:$AT$1,0)),1)</f>
        <v>0</v>
      </c>
      <c r="AV62" s="365">
        <f>COUNTIFS('AR | Drawing List'!$H:$H,$B62,INDEX('AR | Drawing List'!$K:$AT,,MATCH('Design Fee'!AV$8,'AR | Drawing List'!$K$1:$AT$1,0)),1)</f>
        <v>0</v>
      </c>
      <c r="AW62" s="365">
        <f>COUNTIFS('AR | Drawing List'!$H:$H,$B62,INDEX('AR | Drawing List'!$K:$AT,,MATCH('Design Fee'!AW$8,'AR | Drawing List'!$K$1:$AT$1,0)),1)</f>
        <v>0</v>
      </c>
      <c r="AX62" s="198"/>
      <c r="AY62" s="365">
        <f>COUNTIFS('AR | Drawing List'!$H:$H,$B62,INDEX('AR | Drawing List'!$K:$AT,,MATCH('Design Fee'!AY$8,'AR | Drawing List'!$K$1:$AT$1,0)),1)</f>
        <v>7</v>
      </c>
      <c r="AZ62" s="365">
        <f>COUNTIFS('AR | Drawing List'!$H:$H,$B62,INDEX('AR | Drawing List'!$K:$AT,,MATCH('Design Fee'!AZ$8,'AR | Drawing List'!$K$1:$AT$1,0)),1)</f>
        <v>0</v>
      </c>
      <c r="BA62" s="365">
        <f>COUNTIFS('AR | Drawing List'!$H:$H,$B62,INDEX('AR | Drawing List'!$K:$AT,,MATCH('Design Fee'!BA$8,'AR | Drawing List'!$K$1:$AT$1,0)),1)</f>
        <v>7</v>
      </c>
      <c r="BB62" s="365">
        <f>COUNTIFS('AR | Drawing List'!$H:$H,$B62,INDEX('AR | Drawing List'!$K:$AT,,MATCH('Design Fee'!BB$8,'AR | Drawing List'!$K$1:$AT$1,0)),1)</f>
        <v>0</v>
      </c>
      <c r="BC62" s="365">
        <f>COUNTIFS('AR | Drawing List'!$H:$H,$B62,INDEX('AR | Drawing List'!$K:$AT,,MATCH('Design Fee'!BC$8,'AR | Drawing List'!$K$1:$AT$1,0)),1)</f>
        <v>0</v>
      </c>
      <c r="BD62" s="198"/>
      <c r="BE62" s="239">
        <v>0.05</v>
      </c>
      <c r="BF62" s="222"/>
      <c r="BG62" s="253">
        <f t="shared" si="232"/>
        <v>0.19910100000000003</v>
      </c>
      <c r="BH62" s="253">
        <f t="shared" si="161"/>
        <v>0.19910100000000003</v>
      </c>
      <c r="BI62" s="254">
        <f t="shared" si="187"/>
        <v>0.19910100000000003</v>
      </c>
      <c r="BJ62" s="255">
        <f t="shared" si="188"/>
        <v>0</v>
      </c>
      <c r="BK62" s="255">
        <f t="shared" si="189"/>
        <v>0</v>
      </c>
      <c r="BL62" s="255">
        <f t="shared" si="190"/>
        <v>0</v>
      </c>
      <c r="BM62" s="255">
        <f t="shared" si="191"/>
        <v>0</v>
      </c>
      <c r="BN62" s="255">
        <f t="shared" si="192"/>
        <v>0</v>
      </c>
      <c r="BO62" s="256"/>
      <c r="BP62" s="255">
        <f t="shared" si="193"/>
        <v>0</v>
      </c>
      <c r="BQ62" s="255">
        <f t="shared" si="194"/>
        <v>0</v>
      </c>
      <c r="BR62" s="255">
        <f t="shared" si="195"/>
        <v>0</v>
      </c>
      <c r="BS62" s="255">
        <f t="shared" si="196"/>
        <v>0</v>
      </c>
      <c r="BT62" s="255">
        <f t="shared" si="197"/>
        <v>0</v>
      </c>
      <c r="BU62" s="169"/>
      <c r="BV62" s="279">
        <f t="shared" si="198"/>
        <v>1</v>
      </c>
      <c r="BW62" s="279">
        <f t="shared" si="199"/>
        <v>0</v>
      </c>
      <c r="BX62" s="279">
        <f t="shared" si="233"/>
        <v>0</v>
      </c>
      <c r="BZ62" s="297">
        <f>COUNTIF('ST | Drawing List'!$G:$G,$B62)</f>
        <v>47</v>
      </c>
      <c r="CA62" s="191">
        <f>COUNTIFS('ST | Drawing List'!$G:$G,$B62,INDEX('ST | Drawing List'!$A:$U,,MATCH('Design Fee'!CA$8,'ST | Drawing List'!$A$1:$U$1,0)),1)</f>
        <v>47</v>
      </c>
      <c r="CB62" s="191">
        <f>COUNTIFS('ST | Drawing List'!$G:$G,$B62,INDEX('ST | Drawing List'!$J:$U,,MATCH('Design Fee'!CB$8,'ST | Drawing List'!$J$1:$U$1,0)),1)</f>
        <v>0</v>
      </c>
      <c r="CC62" s="191">
        <f>COUNTIFS('ST | Drawing List'!$G:$G,$B62,INDEX('ST | Drawing List'!$J:$U,,MATCH('Design Fee'!CC$8,'ST | Drawing List'!$J$1:$U$1,0)),1)</f>
        <v>0</v>
      </c>
      <c r="CD62" s="191">
        <f>COUNTIFS('ST | Drawing List'!$G:$G,$B62,INDEX('ST | Drawing List'!$J:$U,,MATCH('Design Fee'!CD$8,'ST | Drawing List'!$J$1:$U$1,0)),1)</f>
        <v>0</v>
      </c>
      <c r="CE62" s="191">
        <f>COUNTIFS('ST | Drawing List'!$G:$G,$B62,INDEX('ST | Drawing List'!$J:$U,,MATCH('Design Fee'!CE$8,'ST | Drawing List'!$J$1:$U$1,0)),1)</f>
        <v>0</v>
      </c>
      <c r="CF62" s="191">
        <f>COUNTIFS('ST | Drawing List'!$G:$G,$B62,INDEX('ST | Drawing List'!$J:$U,,MATCH('Design Fee'!CF$8,'ST | Drawing List'!$J$1:$U$1,0)),1)</f>
        <v>0</v>
      </c>
      <c r="CG62" s="198"/>
      <c r="CH62" s="191">
        <f>COUNTIFS('ST | Drawing List'!$G:$G,$B62,INDEX('ST | Drawing List'!$J:$U,,MATCH('Design Fee'!CH$8,'ST | Drawing List'!$J$1:$U$1,0)),1)</f>
        <v>0</v>
      </c>
      <c r="CI62" s="191">
        <f>COUNTIFS('ST | Drawing List'!$G:$G,$B62,INDEX('ST | Drawing List'!$J:$U,,MATCH('Design Fee'!CI$8,'ST | Drawing List'!$J$1:$U$1,0)),1)</f>
        <v>0</v>
      </c>
      <c r="CJ62" s="191">
        <f>COUNTIFS('ST | Drawing List'!$G:$G,$B62,INDEX('ST | Drawing List'!$J:$U,,MATCH('Design Fee'!CJ$8,'ST | Drawing List'!$J$1:$U$1,0)),1)</f>
        <v>0</v>
      </c>
      <c r="CK62" s="191">
        <f>COUNTIFS('ST | Drawing List'!$G:$G,$B62,INDEX('ST | Drawing List'!$J:$U,,MATCH('Design Fee'!CK$8,'ST | Drawing List'!$J$1:$U$1,0)),1)</f>
        <v>0</v>
      </c>
      <c r="CL62" s="191">
        <f>COUNTIFS('ST | Drawing List'!$G:$G,$B62,INDEX('ST | Drawing List'!$J:$U,,MATCH('Design Fee'!CL$8,'ST | Drawing List'!$J$1:$U$1,0)),1)</f>
        <v>0</v>
      </c>
      <c r="CM62" s="198"/>
      <c r="CN62" s="239">
        <v>0</v>
      </c>
      <c r="CO62" s="222"/>
      <c r="CP62" s="253">
        <f t="shared" si="234"/>
        <v>0</v>
      </c>
      <c r="CQ62" s="253">
        <f t="shared" si="166"/>
        <v>0</v>
      </c>
      <c r="CR62" s="254">
        <f t="shared" si="200"/>
        <v>0</v>
      </c>
      <c r="CS62" s="255">
        <f t="shared" si="201"/>
        <v>0</v>
      </c>
      <c r="CT62" s="255">
        <f t="shared" si="202"/>
        <v>0</v>
      </c>
      <c r="CU62" s="255">
        <f t="shared" si="203"/>
        <v>0</v>
      </c>
      <c r="CV62" s="255">
        <f t="shared" si="204"/>
        <v>0</v>
      </c>
      <c r="CW62" s="255">
        <f t="shared" si="205"/>
        <v>0</v>
      </c>
      <c r="CX62" s="256"/>
      <c r="CY62" s="255">
        <f t="shared" si="206"/>
        <v>0</v>
      </c>
      <c r="CZ62" s="255">
        <f t="shared" si="207"/>
        <v>0</v>
      </c>
      <c r="DA62" s="255">
        <f t="shared" si="208"/>
        <v>0</v>
      </c>
      <c r="DB62" s="255">
        <f t="shared" si="209"/>
        <v>0</v>
      </c>
      <c r="DC62" s="255">
        <f t="shared" si="210"/>
        <v>0</v>
      </c>
      <c r="DD62" s="183"/>
      <c r="DE62" s="300">
        <f t="shared" si="211"/>
        <v>0</v>
      </c>
      <c r="DF62" s="300">
        <f t="shared" si="212"/>
        <v>0</v>
      </c>
      <c r="DG62" s="300">
        <f t="shared" si="235"/>
        <v>0</v>
      </c>
      <c r="DH62" s="228"/>
      <c r="DI62" s="297">
        <f>COUNTIF('MEP | Drawing List'!$I:$I,$B62)</f>
        <v>0</v>
      </c>
      <c r="DJ62" s="191">
        <f>COUNTIFS('MEP | Drawing List'!$I:$I,$B62,INDEX('MEP | Drawing List'!$B:$X,,MATCH('Design Fee'!DJ$8,'MEP | Drawing List'!$B$1:$X$1,0)),1)</f>
        <v>0</v>
      </c>
      <c r="DK62" s="191">
        <f>COUNTIFS('MEP | Drawing List'!$I:$I,$B62,INDEX('MEP | Drawing List'!$L:$X,,MATCH('Design Fee'!DK$8,'MEP | Drawing List'!$L$1:$X$1,0)),1)</f>
        <v>0</v>
      </c>
      <c r="DL62" s="191">
        <f>COUNTIFS('MEP | Drawing List'!$I:$I,$B62,INDEX('MEP | Drawing List'!$L:$X,,MATCH('Design Fee'!DL$8,'MEP | Drawing List'!$L$1:$X$1,0)),1)</f>
        <v>0</v>
      </c>
      <c r="DM62" s="191">
        <f>COUNTIFS('MEP | Drawing List'!$I:$I,$B62,INDEX('MEP | Drawing List'!$L:$X,,MATCH('Design Fee'!DM$8,'MEP | Drawing List'!$L$1:$X$1,0)),1)</f>
        <v>0</v>
      </c>
      <c r="DN62" s="191">
        <f>COUNTIFS('MEP | Drawing List'!$I:$I,$B62,INDEX('MEP | Drawing List'!$L:$X,,MATCH('Design Fee'!DN$8,'MEP | Drawing List'!$L$1:$X$1,0)),1)</f>
        <v>0</v>
      </c>
      <c r="DO62" s="191">
        <f>COUNTIFS('MEP | Drawing List'!$I:$I,$B62,INDEX('MEP | Drawing List'!$L:$X,,MATCH('Design Fee'!DO$8,'MEP | Drawing List'!$L$1:$X$1,0)),1)</f>
        <v>0</v>
      </c>
      <c r="DP62" s="198"/>
      <c r="DQ62" s="191">
        <f>COUNTIFS('MEP | Drawing List'!$I:$I,$B62,INDEX('MEP | Drawing List'!$L:$X,,MATCH('Design Fee'!DQ$8,'MEP | Drawing List'!$L$1:$X$1,0)),1)</f>
        <v>0</v>
      </c>
      <c r="DR62" s="191">
        <f>COUNTIFS('MEP | Drawing List'!$I:$I,$B62,INDEX('MEP | Drawing List'!$L:$X,,MATCH('Design Fee'!DR$8,'MEP | Drawing List'!$L$1:$X$1,0)),1)</f>
        <v>0</v>
      </c>
      <c r="DS62" s="191">
        <f>COUNTIFS('MEP | Drawing List'!$I:$I,$B62,INDEX('MEP | Drawing List'!$L:$X,,MATCH('Design Fee'!DS$8,'MEP | Drawing List'!$L$1:$X$1,0)),1)</f>
        <v>0</v>
      </c>
      <c r="DT62" s="191">
        <f>COUNTIFS('MEP | Drawing List'!$I:$I,$B62,INDEX('MEP | Drawing List'!$L:$X,,MATCH('Design Fee'!DT$8,'MEP | Drawing List'!$L$1:$X$1,0)),1)</f>
        <v>0</v>
      </c>
      <c r="DU62" s="191">
        <f>COUNTIFS('MEP | Drawing List'!$I:$I,$B62,INDEX('MEP | Drawing List'!$L:$X,,MATCH('Design Fee'!DU$8,'MEP | Drawing List'!$L$1:$X$1,0)),1)</f>
        <v>0</v>
      </c>
      <c r="DV62" s="207"/>
      <c r="DW62" s="198"/>
      <c r="DX62" s="239">
        <v>0</v>
      </c>
      <c r="DY62" s="222"/>
      <c r="DZ62" s="253"/>
      <c r="EA62" s="253">
        <f t="shared" si="171"/>
        <v>0</v>
      </c>
      <c r="EB62" s="254">
        <f t="shared" si="213"/>
        <v>0</v>
      </c>
      <c r="EC62" s="255">
        <f t="shared" si="214"/>
        <v>0</v>
      </c>
      <c r="ED62" s="255">
        <f t="shared" si="215"/>
        <v>0</v>
      </c>
      <c r="EE62" s="255">
        <f t="shared" si="216"/>
        <v>0</v>
      </c>
      <c r="EF62" s="255">
        <f t="shared" si="217"/>
        <v>0</v>
      </c>
      <c r="EG62" s="255">
        <f t="shared" si="218"/>
        <v>0</v>
      </c>
      <c r="EH62" s="256"/>
      <c r="EI62" s="255">
        <f t="shared" si="219"/>
        <v>0</v>
      </c>
      <c r="EJ62" s="255">
        <f t="shared" si="220"/>
        <v>0</v>
      </c>
      <c r="EK62" s="255">
        <f t="shared" si="221"/>
        <v>0</v>
      </c>
      <c r="EL62" s="255">
        <f t="shared" si="222"/>
        <v>0</v>
      </c>
      <c r="EM62" s="255">
        <f t="shared" si="223"/>
        <v>0</v>
      </c>
      <c r="EN62" s="183"/>
      <c r="EO62" s="300">
        <f t="shared" si="224"/>
        <v>0</v>
      </c>
      <c r="EP62" s="300">
        <f t="shared" si="225"/>
        <v>0</v>
      </c>
      <c r="EQ62" s="300">
        <f t="shared" si="226"/>
        <v>0</v>
      </c>
      <c r="ER62" s="228"/>
      <c r="ES62" s="297">
        <f>COUNTIF('LS | Drawing List'!$H:$H,$B62)</f>
        <v>0</v>
      </c>
      <c r="ET62" s="191">
        <f>COUNTIFS('LS | Drawing List'!$H:$H,$B62,INDEX('LS | Drawing List'!$A:$V,,MATCH('Design Fee'!ET$8,'LS | Drawing List'!$A$1:$V$1,0)),1)</f>
        <v>0</v>
      </c>
      <c r="EU62" s="191">
        <f>COUNTIFS('LS | Drawing List'!$H:$H,$B62,INDEX('LS | Drawing List'!$K:$V,,MATCH('Design Fee'!EU$8,'LS | Drawing List'!$K$1:$V$1,0)),1)</f>
        <v>0</v>
      </c>
      <c r="EV62" s="191">
        <f>COUNTIFS('LS | Drawing List'!$H:$H,$B62,INDEX('LS | Drawing List'!$K:$V,,MATCH('Design Fee'!EV$8,'LS | Drawing List'!$K$1:$V$1,0)),1)</f>
        <v>0</v>
      </c>
      <c r="EW62" s="191">
        <f>COUNTIFS('LS | Drawing List'!$H:$H,$B62,INDEX('LS | Drawing List'!$K:$V,,MATCH('Design Fee'!EW$8,'LS | Drawing List'!$K$1:$V$1,0)),1)</f>
        <v>0</v>
      </c>
      <c r="EX62" s="191">
        <f>COUNTIFS('LS | Drawing List'!$H:$H,$B62,INDEX('LS | Drawing List'!$K:$V,,MATCH('Design Fee'!EX$8,'LS | Drawing List'!$K$1:$V$1,0)),1)</f>
        <v>0</v>
      </c>
      <c r="EY62" s="191">
        <f>COUNTIFS('LS | Drawing List'!$H:$H,$B62,INDEX('LS | Drawing List'!$K:$V,,MATCH('Design Fee'!EY$8,'LS | Drawing List'!$K$1:$V$1,0)),1)</f>
        <v>0</v>
      </c>
      <c r="EZ62" s="198"/>
      <c r="FA62" s="191">
        <f>COUNTIFS('LS | Drawing List'!$H:$H,$B62,INDEX('LS | Drawing List'!$K:$V,,MATCH('Design Fee'!FA$8,'LS | Drawing List'!$K$1:$V$1,0)),1)</f>
        <v>0</v>
      </c>
      <c r="FB62" s="191">
        <f>COUNTIFS('LS | Drawing List'!$H:$H,$B62,INDEX('LS | Drawing List'!$K:$V,,MATCH('Design Fee'!FB$8,'LS | Drawing List'!$K$1:$V$1,0)),1)</f>
        <v>0</v>
      </c>
      <c r="FC62" s="191">
        <f>COUNTIFS('LS | Drawing List'!$H:$H,$B62,INDEX('LS | Drawing List'!$K:$V,,MATCH('Design Fee'!FC$8,'LS | Drawing List'!$K$1:$V$1,0)),1)</f>
        <v>0</v>
      </c>
      <c r="FD62" s="191">
        <f>COUNTIFS('LS | Drawing List'!$H:$H,$B62,INDEX('LS | Drawing List'!$K:$V,,MATCH('Design Fee'!FD$8,'LS | Drawing List'!$K$1:$V$1,0)),1)</f>
        <v>0</v>
      </c>
      <c r="FE62" s="191">
        <f>COUNTIFS('LS | Drawing List'!$H:$H,$B62,INDEX('LS | Drawing List'!$K:$V,,MATCH('Design Fee'!FE$8,'LS | Drawing List'!$K$1:$V$1,0)),1)</f>
        <v>0</v>
      </c>
      <c r="FF62" s="207"/>
    </row>
    <row r="63" spans="2:162" ht="11.85" customHeight="1" outlineLevel="2">
      <c r="B63" s="459" t="s">
        <v>157</v>
      </c>
      <c r="C63" s="280" t="s">
        <v>63</v>
      </c>
      <c r="E63" s="253">
        <f t="shared" si="143"/>
        <v>0.9638500000000001</v>
      </c>
      <c r="F63" s="253">
        <f t="shared" si="144"/>
        <v>0</v>
      </c>
      <c r="G63" s="254">
        <f t="shared" si="176"/>
        <v>0.9638500000000001</v>
      </c>
      <c r="H63" s="253">
        <f t="shared" si="146"/>
        <v>0</v>
      </c>
      <c r="I63" s="253">
        <f t="shared" si="147"/>
        <v>0.9638500000000001</v>
      </c>
      <c r="J63" s="254">
        <f t="shared" si="148"/>
        <v>0.9638500000000001</v>
      </c>
      <c r="K63" s="254">
        <f t="shared" si="149"/>
        <v>0</v>
      </c>
      <c r="L63" s="253">
        <f t="shared" si="150"/>
        <v>0</v>
      </c>
      <c r="M63" s="253">
        <f t="shared" si="151"/>
        <v>0</v>
      </c>
      <c r="N63" s="256"/>
      <c r="O63" s="253">
        <f t="shared" si="152"/>
        <v>0</v>
      </c>
      <c r="P63" s="253">
        <f t="shared" si="153"/>
        <v>0</v>
      </c>
      <c r="Q63" s="253">
        <f t="shared" si="154"/>
        <v>0</v>
      </c>
      <c r="R63" s="253">
        <f t="shared" si="155"/>
        <v>0</v>
      </c>
      <c r="S63" s="253">
        <f t="shared" si="156"/>
        <v>0</v>
      </c>
      <c r="T63" s="169"/>
      <c r="U63" s="183"/>
      <c r="V63" s="232">
        <v>0.1</v>
      </c>
      <c r="W63" s="222"/>
      <c r="X63" s="253">
        <f t="shared" si="227"/>
        <v>0.9638500000000001</v>
      </c>
      <c r="Y63" s="253">
        <f t="shared" si="157"/>
        <v>0</v>
      </c>
      <c r="Z63" s="254">
        <f t="shared" si="228"/>
        <v>0</v>
      </c>
      <c r="AA63" s="255">
        <f t="shared" si="229"/>
        <v>0.9638500000000001</v>
      </c>
      <c r="AB63" s="255">
        <f t="shared" si="177"/>
        <v>0.9638500000000001</v>
      </c>
      <c r="AC63" s="255">
        <f t="shared" si="178"/>
        <v>0</v>
      </c>
      <c r="AD63" s="255">
        <f t="shared" si="179"/>
        <v>0</v>
      </c>
      <c r="AE63" s="255">
        <f t="shared" si="180"/>
        <v>0</v>
      </c>
      <c r="AF63" s="256"/>
      <c r="AG63" s="255">
        <f t="shared" si="181"/>
        <v>0</v>
      </c>
      <c r="AH63" s="255">
        <f t="shared" si="182"/>
        <v>0</v>
      </c>
      <c r="AI63" s="255">
        <f t="shared" si="230"/>
        <v>0</v>
      </c>
      <c r="AJ63" s="255">
        <f t="shared" si="231"/>
        <v>0</v>
      </c>
      <c r="AK63" s="255">
        <f t="shared" si="183"/>
        <v>0</v>
      </c>
      <c r="AL63" s="169"/>
      <c r="AM63" s="279">
        <f t="shared" si="184"/>
        <v>0.61764705882352944</v>
      </c>
      <c r="AN63" s="279">
        <f t="shared" si="185"/>
        <v>0.38235294117647056</v>
      </c>
      <c r="AO63" s="279">
        <f t="shared" si="186"/>
        <v>0.29411764705882354</v>
      </c>
      <c r="AP63" s="228"/>
      <c r="AQ63" s="364">
        <f>COUNTIF('AR | Drawing List'!$H:$H,$B63)</f>
        <v>34</v>
      </c>
      <c r="AR63" s="365">
        <f>COUNTIFS('AR | Drawing List'!$H:$H,$B63,INDEX('AR | Drawing List'!$A:$AT,,MATCH('Design Fee'!AR$8,'AR | Drawing List'!$A$1:$AT$1,0)),1)</f>
        <v>21</v>
      </c>
      <c r="AS63" s="365">
        <f>COUNTIFS('AR | Drawing List'!$H:$H,$B63,INDEX('AR | Drawing List'!$K:$AT,,MATCH('Design Fee'!AS$8,'AR | Drawing List'!$K$1:$AT$1,0)),1)</f>
        <v>13</v>
      </c>
      <c r="AT63" s="365">
        <f>COUNTIFS('AR | Drawing List'!$H:$H,$B63,INDEX('AR | Drawing List'!$K:$AT,,MATCH('Design Fee'!AT$8,'AR | Drawing List'!$K$1:$AT$1,0)),1)</f>
        <v>13</v>
      </c>
      <c r="AU63" s="365">
        <f>COUNTIFS('AR | Drawing List'!$H:$H,$B63,INDEX('AR | Drawing List'!$K:$AT,,MATCH('Design Fee'!AU$8,'AR | Drawing List'!$K$1:$AT$1,0)),1)</f>
        <v>0</v>
      </c>
      <c r="AV63" s="365">
        <f>COUNTIFS('AR | Drawing List'!$H:$H,$B63,INDEX('AR | Drawing List'!$K:$AT,,MATCH('Design Fee'!AV$8,'AR | Drawing List'!$K$1:$AT$1,0)),1)</f>
        <v>0</v>
      </c>
      <c r="AW63" s="365">
        <f>COUNTIFS('AR | Drawing List'!$H:$H,$B63,INDEX('AR | Drawing List'!$K:$AT,,MATCH('Design Fee'!AW$8,'AR | Drawing List'!$K$1:$AT$1,0)),1)</f>
        <v>0</v>
      </c>
      <c r="AX63" s="198"/>
      <c r="AY63" s="365">
        <f>COUNTIFS('AR | Drawing List'!$H:$H,$B63,INDEX('AR | Drawing List'!$K:$AT,,MATCH('Design Fee'!AY$8,'AR | Drawing List'!$K$1:$AT$1,0)),1)</f>
        <v>10</v>
      </c>
      <c r="AZ63" s="365">
        <f>COUNTIFS('AR | Drawing List'!$H:$H,$B63,INDEX('AR | Drawing List'!$K:$AT,,MATCH('Design Fee'!AZ$8,'AR | Drawing List'!$K$1:$AT$1,0)),1)</f>
        <v>10</v>
      </c>
      <c r="BA63" s="365">
        <f>COUNTIFS('AR | Drawing List'!$H:$H,$B63,INDEX('AR | Drawing List'!$K:$AT,,MATCH('Design Fee'!BA$8,'AR | Drawing List'!$K$1:$AT$1,0)),1)</f>
        <v>0</v>
      </c>
      <c r="BB63" s="365">
        <f>COUNTIFS('AR | Drawing List'!$H:$H,$B63,INDEX('AR | Drawing List'!$K:$AT,,MATCH('Design Fee'!BB$8,'AR | Drawing List'!$K$1:$AT$1,0)),1)</f>
        <v>0</v>
      </c>
      <c r="BC63" s="365">
        <f>COUNTIFS('AR | Drawing List'!$H:$H,$B63,INDEX('AR | Drawing List'!$K:$AT,,MATCH('Design Fee'!BC$8,'AR | Drawing List'!$K$1:$AT$1,0)),1)</f>
        <v>0</v>
      </c>
      <c r="BD63" s="198"/>
      <c r="BE63" s="239">
        <v>0</v>
      </c>
      <c r="BF63" s="222"/>
      <c r="BG63" s="253">
        <f t="shared" si="232"/>
        <v>0</v>
      </c>
      <c r="BH63" s="253">
        <f t="shared" si="161"/>
        <v>0</v>
      </c>
      <c r="BI63" s="254">
        <f t="shared" si="187"/>
        <v>0</v>
      </c>
      <c r="BJ63" s="255">
        <f t="shared" si="188"/>
        <v>0</v>
      </c>
      <c r="BK63" s="255">
        <f t="shared" si="189"/>
        <v>0</v>
      </c>
      <c r="BL63" s="255">
        <f t="shared" si="190"/>
        <v>0</v>
      </c>
      <c r="BM63" s="255">
        <f t="shared" si="191"/>
        <v>0</v>
      </c>
      <c r="BN63" s="255">
        <f t="shared" si="192"/>
        <v>0</v>
      </c>
      <c r="BO63" s="256"/>
      <c r="BP63" s="255">
        <f t="shared" si="193"/>
        <v>0</v>
      </c>
      <c r="BQ63" s="255">
        <f t="shared" si="194"/>
        <v>0</v>
      </c>
      <c r="BR63" s="255">
        <f t="shared" si="195"/>
        <v>0</v>
      </c>
      <c r="BS63" s="255">
        <f t="shared" si="196"/>
        <v>0</v>
      </c>
      <c r="BT63" s="255">
        <f t="shared" si="197"/>
        <v>0</v>
      </c>
      <c r="BU63" s="169"/>
      <c r="BV63" s="279">
        <f t="shared" si="198"/>
        <v>0</v>
      </c>
      <c r="BW63" s="279">
        <f t="shared" si="199"/>
        <v>0</v>
      </c>
      <c r="BX63" s="279">
        <f t="shared" si="233"/>
        <v>0</v>
      </c>
      <c r="BZ63" s="297">
        <f>COUNTIF('ST | Drawing List'!$G:$G,$B63)</f>
        <v>0</v>
      </c>
      <c r="CA63" s="191">
        <f>COUNTIFS('ST | Drawing List'!$G:$G,$B63,INDEX('ST | Drawing List'!$A:$U,,MATCH('Design Fee'!CA$8,'ST | Drawing List'!$A$1:$U$1,0)),1)</f>
        <v>0</v>
      </c>
      <c r="CB63" s="191">
        <f>COUNTIFS('ST | Drawing List'!$G:$G,$B63,INDEX('ST | Drawing List'!$J:$U,,MATCH('Design Fee'!CB$8,'ST | Drawing List'!$J$1:$U$1,0)),1)</f>
        <v>0</v>
      </c>
      <c r="CC63" s="191">
        <f>COUNTIFS('ST | Drawing List'!$G:$G,$B63,INDEX('ST | Drawing List'!$J:$U,,MATCH('Design Fee'!CC$8,'ST | Drawing List'!$J$1:$U$1,0)),1)</f>
        <v>0</v>
      </c>
      <c r="CD63" s="191">
        <f>COUNTIFS('ST | Drawing List'!$G:$G,$B63,INDEX('ST | Drawing List'!$J:$U,,MATCH('Design Fee'!CD$8,'ST | Drawing List'!$J$1:$U$1,0)),1)</f>
        <v>0</v>
      </c>
      <c r="CE63" s="191">
        <f>COUNTIFS('ST | Drawing List'!$G:$G,$B63,INDEX('ST | Drawing List'!$J:$U,,MATCH('Design Fee'!CE$8,'ST | Drawing List'!$J$1:$U$1,0)),1)</f>
        <v>0</v>
      </c>
      <c r="CF63" s="191">
        <f>COUNTIFS('ST | Drawing List'!$G:$G,$B63,INDEX('ST | Drawing List'!$J:$U,,MATCH('Design Fee'!CF$8,'ST | Drawing List'!$J$1:$U$1,0)),1)</f>
        <v>0</v>
      </c>
      <c r="CG63" s="198"/>
      <c r="CH63" s="191">
        <f>COUNTIFS('ST | Drawing List'!$G:$G,$B63,INDEX('ST | Drawing List'!$J:$U,,MATCH('Design Fee'!CH$8,'ST | Drawing List'!$J$1:$U$1,0)),1)</f>
        <v>0</v>
      </c>
      <c r="CI63" s="191">
        <f>COUNTIFS('ST | Drawing List'!$G:$G,$B63,INDEX('ST | Drawing List'!$J:$U,,MATCH('Design Fee'!CI$8,'ST | Drawing List'!$J$1:$U$1,0)),1)</f>
        <v>0</v>
      </c>
      <c r="CJ63" s="191">
        <f>COUNTIFS('ST | Drawing List'!$G:$G,$B63,INDEX('ST | Drawing List'!$J:$U,,MATCH('Design Fee'!CJ$8,'ST | Drawing List'!$J$1:$U$1,0)),1)</f>
        <v>0</v>
      </c>
      <c r="CK63" s="191">
        <f>COUNTIFS('ST | Drawing List'!$G:$G,$B63,INDEX('ST | Drawing List'!$J:$U,,MATCH('Design Fee'!CK$8,'ST | Drawing List'!$J$1:$U$1,0)),1)</f>
        <v>0</v>
      </c>
      <c r="CL63" s="191">
        <f>COUNTIFS('ST | Drawing List'!$G:$G,$B63,INDEX('ST | Drawing List'!$J:$U,,MATCH('Design Fee'!CL$8,'ST | Drawing List'!$J$1:$U$1,0)),1)</f>
        <v>0</v>
      </c>
      <c r="CM63" s="198"/>
      <c r="CN63" s="239">
        <v>0</v>
      </c>
      <c r="CO63" s="222"/>
      <c r="CP63" s="253">
        <f t="shared" si="234"/>
        <v>0</v>
      </c>
      <c r="CQ63" s="253">
        <f t="shared" si="166"/>
        <v>0</v>
      </c>
      <c r="CR63" s="254">
        <f t="shared" si="200"/>
        <v>0</v>
      </c>
      <c r="CS63" s="255">
        <f t="shared" si="201"/>
        <v>0</v>
      </c>
      <c r="CT63" s="255">
        <f t="shared" si="202"/>
        <v>0</v>
      </c>
      <c r="CU63" s="255">
        <f t="shared" si="203"/>
        <v>0</v>
      </c>
      <c r="CV63" s="255">
        <f t="shared" si="204"/>
        <v>0</v>
      </c>
      <c r="CW63" s="255">
        <f t="shared" si="205"/>
        <v>0</v>
      </c>
      <c r="CX63" s="256"/>
      <c r="CY63" s="255">
        <f t="shared" si="206"/>
        <v>0</v>
      </c>
      <c r="CZ63" s="255">
        <f t="shared" si="207"/>
        <v>0</v>
      </c>
      <c r="DA63" s="255">
        <f t="shared" si="208"/>
        <v>0</v>
      </c>
      <c r="DB63" s="255">
        <f t="shared" si="209"/>
        <v>0</v>
      </c>
      <c r="DC63" s="255">
        <f t="shared" si="210"/>
        <v>0</v>
      </c>
      <c r="DD63" s="183"/>
      <c r="DE63" s="300">
        <f t="shared" si="211"/>
        <v>0</v>
      </c>
      <c r="DF63" s="300">
        <f t="shared" si="212"/>
        <v>0</v>
      </c>
      <c r="DG63" s="300">
        <f t="shared" si="235"/>
        <v>0</v>
      </c>
      <c r="DH63" s="228"/>
      <c r="DI63" s="297">
        <f>COUNTIF('MEP | Drawing List'!$I:$I,$B63)</f>
        <v>0</v>
      </c>
      <c r="DJ63" s="191">
        <f>COUNTIFS('MEP | Drawing List'!$I:$I,$B63,INDEX('MEP | Drawing List'!$B:$X,,MATCH('Design Fee'!DJ$8,'MEP | Drawing List'!$B$1:$X$1,0)),1)</f>
        <v>0</v>
      </c>
      <c r="DK63" s="191">
        <f>COUNTIFS('MEP | Drawing List'!$I:$I,$B63,INDEX('MEP | Drawing List'!$L:$X,,MATCH('Design Fee'!DK$8,'MEP | Drawing List'!$L$1:$X$1,0)),1)</f>
        <v>0</v>
      </c>
      <c r="DL63" s="191">
        <f>COUNTIFS('MEP | Drawing List'!$I:$I,$B63,INDEX('MEP | Drawing List'!$L:$X,,MATCH('Design Fee'!DL$8,'MEP | Drawing List'!$L$1:$X$1,0)),1)</f>
        <v>0</v>
      </c>
      <c r="DM63" s="191">
        <f>COUNTIFS('MEP | Drawing List'!$I:$I,$B63,INDEX('MEP | Drawing List'!$L:$X,,MATCH('Design Fee'!DM$8,'MEP | Drawing List'!$L$1:$X$1,0)),1)</f>
        <v>0</v>
      </c>
      <c r="DN63" s="191">
        <f>COUNTIFS('MEP | Drawing List'!$I:$I,$B63,INDEX('MEP | Drawing List'!$L:$X,,MATCH('Design Fee'!DN$8,'MEP | Drawing List'!$L$1:$X$1,0)),1)</f>
        <v>0</v>
      </c>
      <c r="DO63" s="191">
        <f>COUNTIFS('MEP | Drawing List'!$I:$I,$B63,INDEX('MEP | Drawing List'!$L:$X,,MATCH('Design Fee'!DO$8,'MEP | Drawing List'!$L$1:$X$1,0)),1)</f>
        <v>0</v>
      </c>
      <c r="DP63" s="198"/>
      <c r="DQ63" s="191">
        <f>COUNTIFS('MEP | Drawing List'!$I:$I,$B63,INDEX('MEP | Drawing List'!$L:$X,,MATCH('Design Fee'!DQ$8,'MEP | Drawing List'!$L$1:$X$1,0)),1)</f>
        <v>0</v>
      </c>
      <c r="DR63" s="191">
        <f>COUNTIFS('MEP | Drawing List'!$I:$I,$B63,INDEX('MEP | Drawing List'!$L:$X,,MATCH('Design Fee'!DR$8,'MEP | Drawing List'!$L$1:$X$1,0)),1)</f>
        <v>0</v>
      </c>
      <c r="DS63" s="191">
        <f>COUNTIFS('MEP | Drawing List'!$I:$I,$B63,INDEX('MEP | Drawing List'!$L:$X,,MATCH('Design Fee'!DS$8,'MEP | Drawing List'!$L$1:$X$1,0)),1)</f>
        <v>0</v>
      </c>
      <c r="DT63" s="191">
        <f>COUNTIFS('MEP | Drawing List'!$I:$I,$B63,INDEX('MEP | Drawing List'!$L:$X,,MATCH('Design Fee'!DT$8,'MEP | Drawing List'!$L$1:$X$1,0)),1)</f>
        <v>0</v>
      </c>
      <c r="DU63" s="191">
        <f>COUNTIFS('MEP | Drawing List'!$I:$I,$B63,INDEX('MEP | Drawing List'!$L:$X,,MATCH('Design Fee'!DU$8,'MEP | Drawing List'!$L$1:$X$1,0)),1)</f>
        <v>0</v>
      </c>
      <c r="DV63" s="258"/>
      <c r="DW63" s="198"/>
      <c r="DX63" s="239">
        <v>0</v>
      </c>
      <c r="DY63" s="222"/>
      <c r="DZ63" s="253"/>
      <c r="EA63" s="253">
        <f t="shared" si="171"/>
        <v>0</v>
      </c>
      <c r="EB63" s="254">
        <f t="shared" si="213"/>
        <v>0</v>
      </c>
      <c r="EC63" s="255">
        <f t="shared" si="214"/>
        <v>0</v>
      </c>
      <c r="ED63" s="255">
        <f t="shared" si="215"/>
        <v>0</v>
      </c>
      <c r="EE63" s="255">
        <f t="shared" si="216"/>
        <v>0</v>
      </c>
      <c r="EF63" s="255">
        <f t="shared" si="217"/>
        <v>0</v>
      </c>
      <c r="EG63" s="255">
        <f t="shared" si="218"/>
        <v>0</v>
      </c>
      <c r="EH63" s="256"/>
      <c r="EI63" s="255">
        <f t="shared" si="219"/>
        <v>0</v>
      </c>
      <c r="EJ63" s="255">
        <f t="shared" si="220"/>
        <v>0</v>
      </c>
      <c r="EK63" s="255">
        <f t="shared" si="221"/>
        <v>0</v>
      </c>
      <c r="EL63" s="255">
        <f t="shared" si="222"/>
        <v>0</v>
      </c>
      <c r="EM63" s="255">
        <f t="shared" si="223"/>
        <v>0</v>
      </c>
      <c r="EN63" s="183"/>
      <c r="EO63" s="300">
        <f t="shared" si="224"/>
        <v>0</v>
      </c>
      <c r="EP63" s="300">
        <f t="shared" si="225"/>
        <v>0</v>
      </c>
      <c r="EQ63" s="300">
        <f t="shared" si="226"/>
        <v>0</v>
      </c>
      <c r="ER63" s="228"/>
      <c r="ES63" s="297">
        <f>COUNTIF('LS | Drawing List'!$H:$H,$B63)</f>
        <v>0</v>
      </c>
      <c r="ET63" s="191">
        <f>COUNTIFS('LS | Drawing List'!$H:$H,$B63,INDEX('LS | Drawing List'!$A:$V,,MATCH('Design Fee'!ET$8,'LS | Drawing List'!$A$1:$V$1,0)),1)</f>
        <v>0</v>
      </c>
      <c r="EU63" s="191">
        <f>COUNTIFS('LS | Drawing List'!$H:$H,$B63,INDEX('LS | Drawing List'!$K:$V,,MATCH('Design Fee'!EU$8,'LS | Drawing List'!$K$1:$V$1,0)),1)</f>
        <v>0</v>
      </c>
      <c r="EV63" s="191">
        <f>COUNTIFS('LS | Drawing List'!$H:$H,$B63,INDEX('LS | Drawing List'!$K:$V,,MATCH('Design Fee'!EV$8,'LS | Drawing List'!$K$1:$V$1,0)),1)</f>
        <v>0</v>
      </c>
      <c r="EW63" s="191">
        <f>COUNTIFS('LS | Drawing List'!$H:$H,$B63,INDEX('LS | Drawing List'!$K:$V,,MATCH('Design Fee'!EW$8,'LS | Drawing List'!$K$1:$V$1,0)),1)</f>
        <v>0</v>
      </c>
      <c r="EX63" s="191">
        <f>COUNTIFS('LS | Drawing List'!$H:$H,$B63,INDEX('LS | Drawing List'!$K:$V,,MATCH('Design Fee'!EX$8,'LS | Drawing List'!$K$1:$V$1,0)),1)</f>
        <v>0</v>
      </c>
      <c r="EY63" s="191">
        <f>COUNTIFS('LS | Drawing List'!$H:$H,$B63,INDEX('LS | Drawing List'!$K:$V,,MATCH('Design Fee'!EY$8,'LS | Drawing List'!$K$1:$V$1,0)),1)</f>
        <v>0</v>
      </c>
      <c r="EZ63" s="198"/>
      <c r="FA63" s="191">
        <f>COUNTIFS('LS | Drawing List'!$H:$H,$B63,INDEX('LS | Drawing List'!$K:$V,,MATCH('Design Fee'!FA$8,'LS | Drawing List'!$K$1:$V$1,0)),1)</f>
        <v>0</v>
      </c>
      <c r="FB63" s="191">
        <f>COUNTIFS('LS | Drawing List'!$H:$H,$B63,INDEX('LS | Drawing List'!$K:$V,,MATCH('Design Fee'!FB$8,'LS | Drawing List'!$K$1:$V$1,0)),1)</f>
        <v>0</v>
      </c>
      <c r="FC63" s="191">
        <f>COUNTIFS('LS | Drawing List'!$H:$H,$B63,INDEX('LS | Drawing List'!$K:$V,,MATCH('Design Fee'!FC$8,'LS | Drawing List'!$K$1:$V$1,0)),1)</f>
        <v>0</v>
      </c>
      <c r="FD63" s="191">
        <f>COUNTIFS('LS | Drawing List'!$H:$H,$B63,INDEX('LS | Drawing List'!$K:$V,,MATCH('Design Fee'!FD$8,'LS | Drawing List'!$K$1:$V$1,0)),1)</f>
        <v>0</v>
      </c>
      <c r="FE63" s="191">
        <f>COUNTIFS('LS | Drawing List'!$H:$H,$B63,INDEX('LS | Drawing List'!$K:$V,,MATCH('Design Fee'!FE$8,'LS | Drawing List'!$K$1:$V$1,0)),1)</f>
        <v>0</v>
      </c>
      <c r="FF63" s="258"/>
    </row>
    <row r="64" spans="2:162" ht="11.85" customHeight="1" outlineLevel="2">
      <c r="B64" s="459" t="s">
        <v>158</v>
      </c>
      <c r="C64" s="280" t="s">
        <v>65</v>
      </c>
      <c r="E64" s="253">
        <f t="shared" si="143"/>
        <v>0.76676600000000017</v>
      </c>
      <c r="F64" s="253">
        <f t="shared" si="144"/>
        <v>0</v>
      </c>
      <c r="G64" s="254">
        <f t="shared" si="176"/>
        <v>0.76676600000000017</v>
      </c>
      <c r="H64" s="253">
        <f t="shared" si="146"/>
        <v>0</v>
      </c>
      <c r="I64" s="253">
        <f t="shared" si="147"/>
        <v>0.76676600000000017</v>
      </c>
      <c r="J64" s="254">
        <f t="shared" si="148"/>
        <v>0.68102600000000013</v>
      </c>
      <c r="K64" s="254">
        <f t="shared" si="149"/>
        <v>8.5739999999999997E-2</v>
      </c>
      <c r="L64" s="253">
        <f t="shared" si="150"/>
        <v>0</v>
      </c>
      <c r="M64" s="253">
        <f t="shared" si="151"/>
        <v>0</v>
      </c>
      <c r="N64" s="256"/>
      <c r="O64" s="253">
        <f t="shared" si="152"/>
        <v>0</v>
      </c>
      <c r="P64" s="253">
        <f t="shared" si="153"/>
        <v>0</v>
      </c>
      <c r="Q64" s="253">
        <f t="shared" si="154"/>
        <v>0</v>
      </c>
      <c r="R64" s="253">
        <f t="shared" si="155"/>
        <v>0</v>
      </c>
      <c r="S64" s="253">
        <f t="shared" si="156"/>
        <v>0</v>
      </c>
      <c r="T64" s="169"/>
      <c r="U64" s="183"/>
      <c r="V64" s="232">
        <v>0.05</v>
      </c>
      <c r="W64" s="222"/>
      <c r="X64" s="253">
        <f t="shared" si="227"/>
        <v>0.48192500000000005</v>
      </c>
      <c r="Y64" s="253">
        <f t="shared" si="157"/>
        <v>0</v>
      </c>
      <c r="Z64" s="254">
        <f t="shared" si="228"/>
        <v>0</v>
      </c>
      <c r="AA64" s="255">
        <f t="shared" si="229"/>
        <v>0.48192500000000005</v>
      </c>
      <c r="AB64" s="255">
        <f t="shared" si="177"/>
        <v>0.48192500000000005</v>
      </c>
      <c r="AC64" s="255">
        <f t="shared" si="178"/>
        <v>0</v>
      </c>
      <c r="AD64" s="255">
        <f t="shared" si="179"/>
        <v>0</v>
      </c>
      <c r="AE64" s="255">
        <f t="shared" si="180"/>
        <v>0</v>
      </c>
      <c r="AF64" s="256"/>
      <c r="AG64" s="255">
        <f t="shared" si="181"/>
        <v>0</v>
      </c>
      <c r="AH64" s="255">
        <f t="shared" si="182"/>
        <v>0</v>
      </c>
      <c r="AI64" s="255">
        <f t="shared" si="230"/>
        <v>0</v>
      </c>
      <c r="AJ64" s="255">
        <f t="shared" si="231"/>
        <v>0</v>
      </c>
      <c r="AK64" s="255">
        <f t="shared" si="183"/>
        <v>0</v>
      </c>
      <c r="AL64" s="169"/>
      <c r="AM64" s="279">
        <f t="shared" si="184"/>
        <v>0</v>
      </c>
      <c r="AN64" s="279">
        <f t="shared" si="185"/>
        <v>1</v>
      </c>
      <c r="AO64" s="279">
        <f t="shared" si="186"/>
        <v>0</v>
      </c>
      <c r="AP64" s="228"/>
      <c r="AQ64" s="364">
        <f>COUNTIF('AR | Drawing List'!$H:$H,$B64)</f>
        <v>3</v>
      </c>
      <c r="AR64" s="365">
        <f>COUNTIFS('AR | Drawing List'!$H:$H,$B64,INDEX('AR | Drawing List'!$A:$AT,,MATCH('Design Fee'!AR$8,'AR | Drawing List'!$A$1:$AT$1,0)),1)</f>
        <v>0</v>
      </c>
      <c r="AS64" s="365">
        <f>COUNTIFS('AR | Drawing List'!$H:$H,$B64,INDEX('AR | Drawing List'!$K:$AT,,MATCH('Design Fee'!AS$8,'AR | Drawing List'!$K$1:$AT$1,0)),1)</f>
        <v>3</v>
      </c>
      <c r="AT64" s="365">
        <f>COUNTIFS('AR | Drawing List'!$H:$H,$B64,INDEX('AR | Drawing List'!$K:$AT,,MATCH('Design Fee'!AT$8,'AR | Drawing List'!$K$1:$AT$1,0)),1)</f>
        <v>3</v>
      </c>
      <c r="AU64" s="365">
        <f>COUNTIFS('AR | Drawing List'!$H:$H,$B64,INDEX('AR | Drawing List'!$K:$AT,,MATCH('Design Fee'!AU$8,'AR | Drawing List'!$K$1:$AT$1,0)),1)</f>
        <v>0</v>
      </c>
      <c r="AV64" s="365">
        <f>COUNTIFS('AR | Drawing List'!$H:$H,$B64,INDEX('AR | Drawing List'!$K:$AT,,MATCH('Design Fee'!AV$8,'AR | Drawing List'!$K$1:$AT$1,0)),1)</f>
        <v>0</v>
      </c>
      <c r="AW64" s="365">
        <f>COUNTIFS('AR | Drawing List'!$H:$H,$B64,INDEX('AR | Drawing List'!$K:$AT,,MATCH('Design Fee'!AW$8,'AR | Drawing List'!$K$1:$AT$1,0)),1)</f>
        <v>0</v>
      </c>
      <c r="AX64" s="198"/>
      <c r="AY64" s="365">
        <f>COUNTIFS('AR | Drawing List'!$H:$H,$B64,INDEX('AR | Drawing List'!$K:$AT,,MATCH('Design Fee'!AY$8,'AR | Drawing List'!$K$1:$AT$1,0)),1)</f>
        <v>0</v>
      </c>
      <c r="AZ64" s="365">
        <f>COUNTIFS('AR | Drawing List'!$H:$H,$B64,INDEX('AR | Drawing List'!$K:$AT,,MATCH('Design Fee'!AZ$8,'AR | Drawing List'!$K$1:$AT$1,0)),1)</f>
        <v>0</v>
      </c>
      <c r="BA64" s="365">
        <f>COUNTIFS('AR | Drawing List'!$H:$H,$B64,INDEX('AR | Drawing List'!$K:$AT,,MATCH('Design Fee'!BA$8,'AR | Drawing List'!$K$1:$AT$1,0)),1)</f>
        <v>0</v>
      </c>
      <c r="BB64" s="365">
        <f>COUNTIFS('AR | Drawing List'!$H:$H,$B64,INDEX('AR | Drawing List'!$K:$AT,,MATCH('Design Fee'!BB$8,'AR | Drawing List'!$K$1:$AT$1,0)),1)</f>
        <v>0</v>
      </c>
      <c r="BC64" s="365">
        <f>COUNTIFS('AR | Drawing List'!$H:$H,$B64,INDEX('AR | Drawing List'!$K:$AT,,MATCH('Design Fee'!BC$8,'AR | Drawing List'!$K$1:$AT$1,0)),1)</f>
        <v>0</v>
      </c>
      <c r="BD64" s="198"/>
      <c r="BE64" s="239">
        <v>0.05</v>
      </c>
      <c r="BF64" s="222"/>
      <c r="BG64" s="253">
        <f t="shared" si="232"/>
        <v>0.19910100000000003</v>
      </c>
      <c r="BH64" s="253">
        <f t="shared" si="161"/>
        <v>0</v>
      </c>
      <c r="BI64" s="254">
        <f t="shared" si="187"/>
        <v>0</v>
      </c>
      <c r="BJ64" s="255">
        <f t="shared" si="188"/>
        <v>0.19910100000000003</v>
      </c>
      <c r="BK64" s="255">
        <f t="shared" si="189"/>
        <v>0.19910100000000003</v>
      </c>
      <c r="BL64" s="255">
        <f t="shared" si="190"/>
        <v>0</v>
      </c>
      <c r="BM64" s="255">
        <f t="shared" si="191"/>
        <v>0</v>
      </c>
      <c r="BN64" s="255">
        <f t="shared" si="192"/>
        <v>0</v>
      </c>
      <c r="BO64" s="256"/>
      <c r="BP64" s="255">
        <f t="shared" si="193"/>
        <v>0</v>
      </c>
      <c r="BQ64" s="255">
        <f t="shared" si="194"/>
        <v>0</v>
      </c>
      <c r="BR64" s="255">
        <f t="shared" si="195"/>
        <v>0</v>
      </c>
      <c r="BS64" s="255">
        <f t="shared" si="196"/>
        <v>0</v>
      </c>
      <c r="BT64" s="255">
        <f t="shared" si="197"/>
        <v>0</v>
      </c>
      <c r="BU64" s="169"/>
      <c r="BV64" s="279">
        <f t="shared" si="198"/>
        <v>0</v>
      </c>
      <c r="BW64" s="279">
        <f t="shared" si="199"/>
        <v>1</v>
      </c>
      <c r="BX64" s="279">
        <f t="shared" si="233"/>
        <v>0.85</v>
      </c>
      <c r="BZ64" s="297">
        <f>COUNTIF('ST | Drawing List'!$G:$G,$B64)</f>
        <v>60</v>
      </c>
      <c r="CA64" s="191">
        <f>COUNTIFS('ST | Drawing List'!$G:$G,$B64,INDEX('ST | Drawing List'!$A:$U,,MATCH('Design Fee'!CA$8,'ST | Drawing List'!$A$1:$U$1,0)),1)</f>
        <v>0</v>
      </c>
      <c r="CB64" s="191">
        <f>COUNTIFS('ST | Drawing List'!$G:$G,$B64,INDEX('ST | Drawing List'!$J:$U,,MATCH('Design Fee'!CB$8,'ST | Drawing List'!$J$1:$U$1,0)),1)</f>
        <v>60</v>
      </c>
      <c r="CC64" s="191">
        <f>COUNTIFS('ST | Drawing List'!$G:$G,$B64,INDEX('ST | Drawing List'!$J:$U,,MATCH('Design Fee'!CC$8,'ST | Drawing List'!$J$1:$U$1,0)),1)</f>
        <v>60</v>
      </c>
      <c r="CD64" s="191">
        <f>COUNTIFS('ST | Drawing List'!$G:$G,$B64,INDEX('ST | Drawing List'!$J:$U,,MATCH('Design Fee'!CD$8,'ST | Drawing List'!$J$1:$U$1,0)),1)</f>
        <v>0</v>
      </c>
      <c r="CE64" s="191">
        <f>COUNTIFS('ST | Drawing List'!$G:$G,$B64,INDEX('ST | Drawing List'!$J:$U,,MATCH('Design Fee'!CE$8,'ST | Drawing List'!$J$1:$U$1,0)),1)</f>
        <v>0</v>
      </c>
      <c r="CF64" s="191">
        <f>COUNTIFS('ST | Drawing List'!$G:$G,$B64,INDEX('ST | Drawing List'!$J:$U,,MATCH('Design Fee'!CF$8,'ST | Drawing List'!$J$1:$U$1,0)),1)</f>
        <v>0</v>
      </c>
      <c r="CG64" s="198"/>
      <c r="CH64" s="191">
        <f>COUNTIFS('ST | Drawing List'!$G:$G,$B64,INDEX('ST | Drawing List'!$J:$U,,MATCH('Design Fee'!CH$8,'ST | Drawing List'!$J$1:$U$1,0)),1)</f>
        <v>51</v>
      </c>
      <c r="CI64" s="191">
        <f>COUNTIFS('ST | Drawing List'!$G:$G,$B64,INDEX('ST | Drawing List'!$J:$U,,MATCH('Design Fee'!CI$8,'ST | Drawing List'!$J$1:$U$1,0)),1)</f>
        <v>52</v>
      </c>
      <c r="CJ64" s="191">
        <f>COUNTIFS('ST | Drawing List'!$G:$G,$B64,INDEX('ST | Drawing List'!$J:$U,,MATCH('Design Fee'!CJ$8,'ST | Drawing List'!$J$1:$U$1,0)),1)</f>
        <v>0</v>
      </c>
      <c r="CK64" s="191">
        <f>COUNTIFS('ST | Drawing List'!$G:$G,$B64,INDEX('ST | Drawing List'!$J:$U,,MATCH('Design Fee'!CK$8,'ST | Drawing List'!$J$1:$U$1,0)),1)</f>
        <v>0</v>
      </c>
      <c r="CL64" s="191">
        <f>COUNTIFS('ST | Drawing List'!$G:$G,$B64,INDEX('ST | Drawing List'!$J:$U,,MATCH('Design Fee'!CL$8,'ST | Drawing List'!$J$1:$U$1,0)),1)</f>
        <v>0</v>
      </c>
      <c r="CM64" s="198"/>
      <c r="CN64" s="239">
        <v>0.15</v>
      </c>
      <c r="CO64" s="222"/>
      <c r="CP64" s="253">
        <f t="shared" si="234"/>
        <v>8.5739999999999997E-2</v>
      </c>
      <c r="CQ64" s="253">
        <f t="shared" si="166"/>
        <v>0</v>
      </c>
      <c r="CR64" s="254">
        <f t="shared" si="200"/>
        <v>0</v>
      </c>
      <c r="CS64" s="255">
        <f t="shared" si="201"/>
        <v>8.5739999999999997E-2</v>
      </c>
      <c r="CT64" s="255">
        <f t="shared" si="202"/>
        <v>0</v>
      </c>
      <c r="CU64" s="255">
        <f t="shared" si="203"/>
        <v>8.5739999999999997E-2</v>
      </c>
      <c r="CV64" s="255">
        <f t="shared" si="204"/>
        <v>0</v>
      </c>
      <c r="CW64" s="255">
        <f t="shared" si="205"/>
        <v>0</v>
      </c>
      <c r="CX64" s="256"/>
      <c r="CY64" s="255">
        <f t="shared" si="206"/>
        <v>0</v>
      </c>
      <c r="CZ64" s="255">
        <f t="shared" si="207"/>
        <v>0</v>
      </c>
      <c r="DA64" s="255">
        <f t="shared" si="208"/>
        <v>0</v>
      </c>
      <c r="DB64" s="255">
        <f t="shared" si="209"/>
        <v>0</v>
      </c>
      <c r="DC64" s="255">
        <f t="shared" si="210"/>
        <v>0</v>
      </c>
      <c r="DD64" s="183"/>
      <c r="DE64" s="300">
        <f t="shared" si="211"/>
        <v>0</v>
      </c>
      <c r="DF64" s="300">
        <f t="shared" si="212"/>
        <v>1</v>
      </c>
      <c r="DG64" s="300">
        <f t="shared" si="235"/>
        <v>0</v>
      </c>
      <c r="DH64" s="228"/>
      <c r="DI64" s="297">
        <f>COUNTIF('MEP | Drawing List'!$I:$I,$B64)</f>
        <v>14</v>
      </c>
      <c r="DJ64" s="191">
        <f>COUNTIFS('MEP | Drawing List'!$I:$I,$B64,INDEX('MEP | Drawing List'!$B:$X,,MATCH('Design Fee'!DJ$8,'MEP | Drawing List'!$B$1:$X$1,0)),1)</f>
        <v>0</v>
      </c>
      <c r="DK64" s="191">
        <f>COUNTIFS('MEP | Drawing List'!$I:$I,$B64,INDEX('MEP | Drawing List'!$L:$X,,MATCH('Design Fee'!DK$8,'MEP | Drawing List'!$L$1:$X$1,0)),1)</f>
        <v>14</v>
      </c>
      <c r="DL64" s="191">
        <f>COUNTIFS('MEP | Drawing List'!$I:$I,$B64,INDEX('MEP | Drawing List'!$L:$X,,MATCH('Design Fee'!DL$8,'MEP | Drawing List'!$L$1:$X$1,0)),1)</f>
        <v>0</v>
      </c>
      <c r="DM64" s="191">
        <f>COUNTIFS('MEP | Drawing List'!$I:$I,$B64,INDEX('MEP | Drawing List'!$L:$X,,MATCH('Design Fee'!DM$8,'MEP | Drawing List'!$L$1:$X$1,0)),1)</f>
        <v>14</v>
      </c>
      <c r="DN64" s="191">
        <f>COUNTIFS('MEP | Drawing List'!$I:$I,$B64,INDEX('MEP | Drawing List'!$L:$X,,MATCH('Design Fee'!DN$8,'MEP | Drawing List'!$L$1:$X$1,0)),1)</f>
        <v>0</v>
      </c>
      <c r="DO64" s="191">
        <f>COUNTIFS('MEP | Drawing List'!$I:$I,$B64,INDEX('MEP | Drawing List'!$L:$X,,MATCH('Design Fee'!DO$8,'MEP | Drawing List'!$L$1:$X$1,0)),1)</f>
        <v>0</v>
      </c>
      <c r="DP64" s="198"/>
      <c r="DQ64" s="191">
        <f>COUNTIFS('MEP | Drawing List'!$I:$I,$B64,INDEX('MEP | Drawing List'!$L:$X,,MATCH('Design Fee'!DQ$8,'MEP | Drawing List'!$L$1:$X$1,0)),1)</f>
        <v>0</v>
      </c>
      <c r="DR64" s="191">
        <f>COUNTIFS('MEP | Drawing List'!$I:$I,$B64,INDEX('MEP | Drawing List'!$L:$X,,MATCH('Design Fee'!DR$8,'MEP | Drawing List'!$L$1:$X$1,0)),1)</f>
        <v>0</v>
      </c>
      <c r="DS64" s="191">
        <f>COUNTIFS('MEP | Drawing List'!$I:$I,$B64,INDEX('MEP | Drawing List'!$L:$X,,MATCH('Design Fee'!DS$8,'MEP | Drawing List'!$L$1:$X$1,0)),1)</f>
        <v>0</v>
      </c>
      <c r="DT64" s="191">
        <f>COUNTIFS('MEP | Drawing List'!$I:$I,$B64,INDEX('MEP | Drawing List'!$L:$X,,MATCH('Design Fee'!DT$8,'MEP | Drawing List'!$L$1:$X$1,0)),1)</f>
        <v>0</v>
      </c>
      <c r="DU64" s="191">
        <f>COUNTIFS('MEP | Drawing List'!$I:$I,$B64,INDEX('MEP | Drawing List'!$L:$X,,MATCH('Design Fee'!DU$8,'MEP | Drawing List'!$L$1:$X$1,0)),1)</f>
        <v>0</v>
      </c>
      <c r="DV64" s="207"/>
      <c r="DW64" s="198"/>
      <c r="DX64" s="239">
        <v>0</v>
      </c>
      <c r="DY64" s="222"/>
      <c r="DZ64" s="253"/>
      <c r="EA64" s="253">
        <f t="shared" si="171"/>
        <v>0</v>
      </c>
      <c r="EB64" s="254">
        <f t="shared" si="213"/>
        <v>0</v>
      </c>
      <c r="EC64" s="255">
        <f t="shared" si="214"/>
        <v>0</v>
      </c>
      <c r="ED64" s="255">
        <f t="shared" si="215"/>
        <v>0</v>
      </c>
      <c r="EE64" s="255">
        <f t="shared" si="216"/>
        <v>0</v>
      </c>
      <c r="EF64" s="255">
        <f t="shared" si="217"/>
        <v>0</v>
      </c>
      <c r="EG64" s="255">
        <f t="shared" si="218"/>
        <v>0</v>
      </c>
      <c r="EH64" s="256"/>
      <c r="EI64" s="255">
        <f t="shared" si="219"/>
        <v>0</v>
      </c>
      <c r="EJ64" s="255">
        <f t="shared" si="220"/>
        <v>0</v>
      </c>
      <c r="EK64" s="255">
        <f t="shared" si="221"/>
        <v>0</v>
      </c>
      <c r="EL64" s="255">
        <f t="shared" si="222"/>
        <v>0</v>
      </c>
      <c r="EM64" s="255">
        <f t="shared" si="223"/>
        <v>0</v>
      </c>
      <c r="EN64" s="183"/>
      <c r="EO64" s="300">
        <f t="shared" si="224"/>
        <v>0</v>
      </c>
      <c r="EP64" s="300">
        <f t="shared" si="225"/>
        <v>0</v>
      </c>
      <c r="EQ64" s="300">
        <f t="shared" si="226"/>
        <v>0</v>
      </c>
      <c r="ER64" s="228"/>
      <c r="ES64" s="297">
        <f>COUNTIF('LS | Drawing List'!$H:$H,$B64)</f>
        <v>0</v>
      </c>
      <c r="ET64" s="191">
        <f>COUNTIFS('LS | Drawing List'!$H:$H,$B64,INDEX('LS | Drawing List'!$A:$V,,MATCH('Design Fee'!ET$8,'LS | Drawing List'!$A$1:$V$1,0)),1)</f>
        <v>0</v>
      </c>
      <c r="EU64" s="191">
        <f>COUNTIFS('LS | Drawing List'!$H:$H,$B64,INDEX('LS | Drawing List'!$K:$V,,MATCH('Design Fee'!EU$8,'LS | Drawing List'!$K$1:$V$1,0)),1)</f>
        <v>0</v>
      </c>
      <c r="EV64" s="191">
        <f>COUNTIFS('LS | Drawing List'!$H:$H,$B64,INDEX('LS | Drawing List'!$K:$V,,MATCH('Design Fee'!EV$8,'LS | Drawing List'!$K$1:$V$1,0)),1)</f>
        <v>0</v>
      </c>
      <c r="EW64" s="191">
        <f>COUNTIFS('LS | Drawing List'!$H:$H,$B64,INDEX('LS | Drawing List'!$K:$V,,MATCH('Design Fee'!EW$8,'LS | Drawing List'!$K$1:$V$1,0)),1)</f>
        <v>0</v>
      </c>
      <c r="EX64" s="191">
        <f>COUNTIFS('LS | Drawing List'!$H:$H,$B64,INDEX('LS | Drawing List'!$K:$V,,MATCH('Design Fee'!EX$8,'LS | Drawing List'!$K$1:$V$1,0)),1)</f>
        <v>0</v>
      </c>
      <c r="EY64" s="191">
        <f>COUNTIFS('LS | Drawing List'!$H:$H,$B64,INDEX('LS | Drawing List'!$K:$V,,MATCH('Design Fee'!EY$8,'LS | Drawing List'!$K$1:$V$1,0)),1)</f>
        <v>0</v>
      </c>
      <c r="EZ64" s="198"/>
      <c r="FA64" s="191">
        <f>COUNTIFS('LS | Drawing List'!$H:$H,$B64,INDEX('LS | Drawing List'!$K:$V,,MATCH('Design Fee'!FA$8,'LS | Drawing List'!$K$1:$V$1,0)),1)</f>
        <v>0</v>
      </c>
      <c r="FB64" s="191">
        <f>COUNTIFS('LS | Drawing List'!$H:$H,$B64,INDEX('LS | Drawing List'!$K:$V,,MATCH('Design Fee'!FB$8,'LS | Drawing List'!$K$1:$V$1,0)),1)</f>
        <v>0</v>
      </c>
      <c r="FC64" s="191">
        <f>COUNTIFS('LS | Drawing List'!$H:$H,$B64,INDEX('LS | Drawing List'!$K:$V,,MATCH('Design Fee'!FC$8,'LS | Drawing List'!$K$1:$V$1,0)),1)</f>
        <v>0</v>
      </c>
      <c r="FD64" s="191">
        <f>COUNTIFS('LS | Drawing List'!$H:$H,$B64,INDEX('LS | Drawing List'!$K:$V,,MATCH('Design Fee'!FD$8,'LS | Drawing List'!$K$1:$V$1,0)),1)</f>
        <v>0</v>
      </c>
      <c r="FE64" s="191">
        <f>COUNTIFS('LS | Drawing List'!$H:$H,$B64,INDEX('LS | Drawing List'!$K:$V,,MATCH('Design Fee'!FE$8,'LS | Drawing List'!$K$1:$V$1,0)),1)</f>
        <v>0</v>
      </c>
      <c r="FF64" s="207"/>
    </row>
    <row r="65" spans="2:162" ht="11.85" customHeight="1" outlineLevel="2">
      <c r="B65" s="459" t="s">
        <v>159</v>
      </c>
      <c r="C65" s="280" t="s">
        <v>67</v>
      </c>
      <c r="E65" s="253">
        <f t="shared" si="143"/>
        <v>0.72490450000000017</v>
      </c>
      <c r="F65" s="253">
        <f t="shared" si="144"/>
        <v>0</v>
      </c>
      <c r="G65" s="254">
        <f t="shared" si="176"/>
        <v>0.72490450000000017</v>
      </c>
      <c r="H65" s="253">
        <f t="shared" si="146"/>
        <v>0</v>
      </c>
      <c r="I65" s="253">
        <f t="shared" si="147"/>
        <v>0.72490450000000017</v>
      </c>
      <c r="J65" s="254">
        <f t="shared" si="148"/>
        <v>0.63916450000000014</v>
      </c>
      <c r="K65" s="254">
        <f t="shared" si="149"/>
        <v>8.5739999999999997E-2</v>
      </c>
      <c r="L65" s="253">
        <f t="shared" si="150"/>
        <v>0</v>
      </c>
      <c r="M65" s="253">
        <f t="shared" si="151"/>
        <v>0</v>
      </c>
      <c r="N65" s="256"/>
      <c r="O65" s="253">
        <f t="shared" si="152"/>
        <v>0</v>
      </c>
      <c r="P65" s="253">
        <f t="shared" si="153"/>
        <v>0</v>
      </c>
      <c r="Q65" s="253">
        <f t="shared" si="154"/>
        <v>0</v>
      </c>
      <c r="R65" s="253">
        <f t="shared" si="155"/>
        <v>0</v>
      </c>
      <c r="S65" s="253">
        <f t="shared" si="156"/>
        <v>0</v>
      </c>
      <c r="T65" s="169"/>
      <c r="U65" s="183"/>
      <c r="V65" s="232">
        <v>2.5000000000000001E-2</v>
      </c>
      <c r="W65" s="222"/>
      <c r="X65" s="253">
        <f t="shared" si="227"/>
        <v>0.24096250000000002</v>
      </c>
      <c r="Y65" s="253">
        <f t="shared" si="157"/>
        <v>0</v>
      </c>
      <c r="Z65" s="254">
        <f t="shared" si="228"/>
        <v>0</v>
      </c>
      <c r="AA65" s="255">
        <f t="shared" si="229"/>
        <v>0.24096250000000002</v>
      </c>
      <c r="AB65" s="255">
        <f t="shared" si="177"/>
        <v>0.24096250000000002</v>
      </c>
      <c r="AC65" s="255">
        <f t="shared" si="178"/>
        <v>0</v>
      </c>
      <c r="AD65" s="255">
        <f t="shared" si="179"/>
        <v>0</v>
      </c>
      <c r="AE65" s="255">
        <f t="shared" si="180"/>
        <v>0</v>
      </c>
      <c r="AF65" s="256"/>
      <c r="AG65" s="255">
        <f t="shared" si="181"/>
        <v>0</v>
      </c>
      <c r="AH65" s="255">
        <f t="shared" si="182"/>
        <v>0</v>
      </c>
      <c r="AI65" s="255">
        <f t="shared" si="230"/>
        <v>0</v>
      </c>
      <c r="AJ65" s="255">
        <f t="shared" si="231"/>
        <v>0</v>
      </c>
      <c r="AK65" s="255">
        <f t="shared" si="183"/>
        <v>0</v>
      </c>
      <c r="AL65" s="169"/>
      <c r="AM65" s="279">
        <f t="shared" si="184"/>
        <v>0</v>
      </c>
      <c r="AN65" s="279">
        <f t="shared" si="185"/>
        <v>1</v>
      </c>
      <c r="AO65" s="279">
        <f t="shared" si="186"/>
        <v>0</v>
      </c>
      <c r="AP65" s="228"/>
      <c r="AQ65" s="364">
        <f>COUNTIF('AR | Drawing List'!$H:$H,$B65)</f>
        <v>3</v>
      </c>
      <c r="AR65" s="365">
        <f>COUNTIFS('AR | Drawing List'!$H:$H,$B65,INDEX('AR | Drawing List'!$A:$AT,,MATCH('Design Fee'!AR$8,'AR | Drawing List'!$A$1:$AT$1,0)),1)</f>
        <v>0</v>
      </c>
      <c r="AS65" s="365">
        <f>COUNTIFS('AR | Drawing List'!$H:$H,$B65,INDEX('AR | Drawing List'!$K:$AT,,MATCH('Design Fee'!AS$8,'AR | Drawing List'!$K$1:$AT$1,0)),1)</f>
        <v>3</v>
      </c>
      <c r="AT65" s="365">
        <f>COUNTIFS('AR | Drawing List'!$H:$H,$B65,INDEX('AR | Drawing List'!$K:$AT,,MATCH('Design Fee'!AT$8,'AR | Drawing List'!$K$1:$AT$1,0)),1)</f>
        <v>3</v>
      </c>
      <c r="AU65" s="365">
        <f>COUNTIFS('AR | Drawing List'!$H:$H,$B65,INDEX('AR | Drawing List'!$K:$AT,,MATCH('Design Fee'!AU$8,'AR | Drawing List'!$K$1:$AT$1,0)),1)</f>
        <v>0</v>
      </c>
      <c r="AV65" s="365">
        <f>COUNTIFS('AR | Drawing List'!$H:$H,$B65,INDEX('AR | Drawing List'!$K:$AT,,MATCH('Design Fee'!AV$8,'AR | Drawing List'!$K$1:$AT$1,0)),1)</f>
        <v>0</v>
      </c>
      <c r="AW65" s="365">
        <f>COUNTIFS('AR | Drawing List'!$H:$H,$B65,INDEX('AR | Drawing List'!$K:$AT,,MATCH('Design Fee'!AW$8,'AR | Drawing List'!$K$1:$AT$1,0)),1)</f>
        <v>0</v>
      </c>
      <c r="AX65" s="198"/>
      <c r="AY65" s="365">
        <f>COUNTIFS('AR | Drawing List'!$H:$H,$B65,INDEX('AR | Drawing List'!$K:$AT,,MATCH('Design Fee'!AY$8,'AR | Drawing List'!$K$1:$AT$1,0)),1)</f>
        <v>0</v>
      </c>
      <c r="AZ65" s="365">
        <f>COUNTIFS('AR | Drawing List'!$H:$H,$B65,INDEX('AR | Drawing List'!$K:$AT,,MATCH('Design Fee'!AZ$8,'AR | Drawing List'!$K$1:$AT$1,0)),1)</f>
        <v>0</v>
      </c>
      <c r="BA65" s="365">
        <f>COUNTIFS('AR | Drawing List'!$H:$H,$B65,INDEX('AR | Drawing List'!$K:$AT,,MATCH('Design Fee'!BA$8,'AR | Drawing List'!$K$1:$AT$1,0)),1)</f>
        <v>0</v>
      </c>
      <c r="BB65" s="365">
        <f>COUNTIFS('AR | Drawing List'!$H:$H,$B65,INDEX('AR | Drawing List'!$K:$AT,,MATCH('Design Fee'!BB$8,'AR | Drawing List'!$K$1:$AT$1,0)),1)</f>
        <v>0</v>
      </c>
      <c r="BC65" s="365">
        <f>COUNTIFS('AR | Drawing List'!$H:$H,$B65,INDEX('AR | Drawing List'!$K:$AT,,MATCH('Design Fee'!BC$8,'AR | Drawing List'!$K$1:$AT$1,0)),1)</f>
        <v>0</v>
      </c>
      <c r="BD65" s="198"/>
      <c r="BE65" s="239">
        <v>0.1</v>
      </c>
      <c r="BF65" s="222"/>
      <c r="BG65" s="253">
        <f t="shared" si="232"/>
        <v>0.39820200000000006</v>
      </c>
      <c r="BH65" s="253">
        <f t="shared" si="161"/>
        <v>0</v>
      </c>
      <c r="BI65" s="254">
        <f t="shared" si="187"/>
        <v>0</v>
      </c>
      <c r="BJ65" s="255">
        <f t="shared" si="188"/>
        <v>0.39820200000000006</v>
      </c>
      <c r="BK65" s="255">
        <f t="shared" si="189"/>
        <v>0.39820200000000006</v>
      </c>
      <c r="BL65" s="255">
        <f t="shared" si="190"/>
        <v>0</v>
      </c>
      <c r="BM65" s="255">
        <f t="shared" si="191"/>
        <v>0</v>
      </c>
      <c r="BN65" s="255">
        <f t="shared" si="192"/>
        <v>0</v>
      </c>
      <c r="BO65" s="256"/>
      <c r="BP65" s="255">
        <f t="shared" si="193"/>
        <v>0</v>
      </c>
      <c r="BQ65" s="255">
        <f t="shared" si="194"/>
        <v>0</v>
      </c>
      <c r="BR65" s="255">
        <f t="shared" si="195"/>
        <v>0</v>
      </c>
      <c r="BS65" s="255">
        <f t="shared" si="196"/>
        <v>0</v>
      </c>
      <c r="BT65" s="255">
        <f t="shared" si="197"/>
        <v>0</v>
      </c>
      <c r="BU65" s="169"/>
      <c r="BV65" s="279">
        <f t="shared" si="198"/>
        <v>0</v>
      </c>
      <c r="BW65" s="279">
        <f t="shared" si="199"/>
        <v>1</v>
      </c>
      <c r="BX65" s="279">
        <f t="shared" si="233"/>
        <v>0</v>
      </c>
      <c r="BZ65" s="297">
        <f>COUNTIF('ST | Drawing List'!$G:$G,$B65)</f>
        <v>5</v>
      </c>
      <c r="CA65" s="191">
        <f>COUNTIFS('ST | Drawing List'!$G:$G,$B65,INDEX('ST | Drawing List'!$A:$U,,MATCH('Design Fee'!CA$8,'ST | Drawing List'!$A$1:$U$1,0)),1)</f>
        <v>0</v>
      </c>
      <c r="CB65" s="191">
        <f>COUNTIFS('ST | Drawing List'!$G:$G,$B65,INDEX('ST | Drawing List'!$J:$U,,MATCH('Design Fee'!CB$8,'ST | Drawing List'!$J$1:$U$1,0)),1)</f>
        <v>5</v>
      </c>
      <c r="CC65" s="191">
        <f>COUNTIFS('ST | Drawing List'!$G:$G,$B65,INDEX('ST | Drawing List'!$J:$U,,MATCH('Design Fee'!CC$8,'ST | Drawing List'!$J$1:$U$1,0)),1)</f>
        <v>5</v>
      </c>
      <c r="CD65" s="191">
        <f>COUNTIFS('ST | Drawing List'!$G:$G,$B65,INDEX('ST | Drawing List'!$J:$U,,MATCH('Design Fee'!CD$8,'ST | Drawing List'!$J$1:$U$1,0)),1)</f>
        <v>0</v>
      </c>
      <c r="CE65" s="191">
        <f>COUNTIFS('ST | Drawing List'!$G:$G,$B65,INDEX('ST | Drawing List'!$J:$U,,MATCH('Design Fee'!CE$8,'ST | Drawing List'!$J$1:$U$1,0)),1)</f>
        <v>0</v>
      </c>
      <c r="CF65" s="191">
        <f>COUNTIFS('ST | Drawing List'!$G:$G,$B65,INDEX('ST | Drawing List'!$J:$U,,MATCH('Design Fee'!CF$8,'ST | Drawing List'!$J$1:$U$1,0)),1)</f>
        <v>0</v>
      </c>
      <c r="CG65" s="198"/>
      <c r="CH65" s="191">
        <f>COUNTIFS('ST | Drawing List'!$G:$G,$B65,INDEX('ST | Drawing List'!$J:$U,,MATCH('Design Fee'!CH$8,'ST | Drawing List'!$J$1:$U$1,0)),1)</f>
        <v>0</v>
      </c>
      <c r="CI65" s="191">
        <f>COUNTIFS('ST | Drawing List'!$G:$G,$B65,INDEX('ST | Drawing List'!$J:$U,,MATCH('Design Fee'!CI$8,'ST | Drawing List'!$J$1:$U$1,0)),1)</f>
        <v>0</v>
      </c>
      <c r="CJ65" s="191">
        <f>COUNTIFS('ST | Drawing List'!$G:$G,$B65,INDEX('ST | Drawing List'!$J:$U,,MATCH('Design Fee'!CJ$8,'ST | Drawing List'!$J$1:$U$1,0)),1)</f>
        <v>0</v>
      </c>
      <c r="CK65" s="191">
        <f>COUNTIFS('ST | Drawing List'!$G:$G,$B65,INDEX('ST | Drawing List'!$J:$U,,MATCH('Design Fee'!CK$8,'ST | Drawing List'!$J$1:$U$1,0)),1)</f>
        <v>0</v>
      </c>
      <c r="CL65" s="191">
        <f>COUNTIFS('ST | Drawing List'!$G:$G,$B65,INDEX('ST | Drawing List'!$J:$U,,MATCH('Design Fee'!CL$8,'ST | Drawing List'!$J$1:$U$1,0)),1)</f>
        <v>0</v>
      </c>
      <c r="CM65" s="198"/>
      <c r="CN65" s="239">
        <v>0.15</v>
      </c>
      <c r="CO65" s="222"/>
      <c r="CP65" s="253">
        <f t="shared" si="234"/>
        <v>8.5739999999999997E-2</v>
      </c>
      <c r="CQ65" s="253">
        <f t="shared" si="166"/>
        <v>0</v>
      </c>
      <c r="CR65" s="254">
        <f t="shared" si="200"/>
        <v>0</v>
      </c>
      <c r="CS65" s="255">
        <f t="shared" si="201"/>
        <v>8.5739999999999997E-2</v>
      </c>
      <c r="CT65" s="255">
        <f t="shared" si="202"/>
        <v>0</v>
      </c>
      <c r="CU65" s="255">
        <f t="shared" si="203"/>
        <v>8.5739999999999997E-2</v>
      </c>
      <c r="CV65" s="255">
        <f t="shared" si="204"/>
        <v>0</v>
      </c>
      <c r="CW65" s="255">
        <f t="shared" si="205"/>
        <v>0</v>
      </c>
      <c r="CX65" s="256"/>
      <c r="CY65" s="255">
        <f t="shared" si="206"/>
        <v>0</v>
      </c>
      <c r="CZ65" s="255">
        <f t="shared" si="207"/>
        <v>0</v>
      </c>
      <c r="DA65" s="255">
        <f t="shared" si="208"/>
        <v>0</v>
      </c>
      <c r="DB65" s="255">
        <f t="shared" si="209"/>
        <v>0</v>
      </c>
      <c r="DC65" s="255">
        <f t="shared" si="210"/>
        <v>0</v>
      </c>
      <c r="DD65" s="183"/>
      <c r="DE65" s="300">
        <f t="shared" si="211"/>
        <v>0</v>
      </c>
      <c r="DF65" s="300">
        <f t="shared" si="212"/>
        <v>1</v>
      </c>
      <c r="DG65" s="300">
        <f t="shared" si="235"/>
        <v>0</v>
      </c>
      <c r="DH65" s="228"/>
      <c r="DI65" s="297">
        <f>COUNTIF('MEP | Drawing List'!$I:$I,$B65)</f>
        <v>14</v>
      </c>
      <c r="DJ65" s="191">
        <f>COUNTIFS('MEP | Drawing List'!$I:$I,$B65,INDEX('MEP | Drawing List'!$B:$X,,MATCH('Design Fee'!DJ$8,'MEP | Drawing List'!$B$1:$X$1,0)),1)</f>
        <v>0</v>
      </c>
      <c r="DK65" s="191">
        <f>COUNTIFS('MEP | Drawing List'!$I:$I,$B65,INDEX('MEP | Drawing List'!$L:$X,,MATCH('Design Fee'!DK$8,'MEP | Drawing List'!$L$1:$X$1,0)),1)</f>
        <v>14</v>
      </c>
      <c r="DL65" s="191">
        <f>COUNTIFS('MEP | Drawing List'!$I:$I,$B65,INDEX('MEP | Drawing List'!$L:$X,,MATCH('Design Fee'!DL$8,'MEP | Drawing List'!$L$1:$X$1,0)),1)</f>
        <v>0</v>
      </c>
      <c r="DM65" s="191">
        <f>COUNTIFS('MEP | Drawing List'!$I:$I,$B65,INDEX('MEP | Drawing List'!$L:$X,,MATCH('Design Fee'!DM$8,'MEP | Drawing List'!$L$1:$X$1,0)),1)</f>
        <v>14</v>
      </c>
      <c r="DN65" s="191">
        <f>COUNTIFS('MEP | Drawing List'!$I:$I,$B65,INDEX('MEP | Drawing List'!$L:$X,,MATCH('Design Fee'!DN$8,'MEP | Drawing List'!$L$1:$X$1,0)),1)</f>
        <v>0</v>
      </c>
      <c r="DO65" s="191">
        <f>COUNTIFS('MEP | Drawing List'!$I:$I,$B65,INDEX('MEP | Drawing List'!$L:$X,,MATCH('Design Fee'!DO$8,'MEP | Drawing List'!$L$1:$X$1,0)),1)</f>
        <v>0</v>
      </c>
      <c r="DP65" s="198"/>
      <c r="DQ65" s="191">
        <f>COUNTIFS('MEP | Drawing List'!$I:$I,$B65,INDEX('MEP | Drawing List'!$L:$X,,MATCH('Design Fee'!DQ$8,'MEP | Drawing List'!$L$1:$X$1,0)),1)</f>
        <v>0</v>
      </c>
      <c r="DR65" s="191">
        <f>COUNTIFS('MEP | Drawing List'!$I:$I,$B65,INDEX('MEP | Drawing List'!$L:$X,,MATCH('Design Fee'!DR$8,'MEP | Drawing List'!$L$1:$X$1,0)),1)</f>
        <v>0</v>
      </c>
      <c r="DS65" s="191">
        <f>COUNTIFS('MEP | Drawing List'!$I:$I,$B65,INDEX('MEP | Drawing List'!$L:$X,,MATCH('Design Fee'!DS$8,'MEP | Drawing List'!$L$1:$X$1,0)),1)</f>
        <v>0</v>
      </c>
      <c r="DT65" s="191">
        <f>COUNTIFS('MEP | Drawing List'!$I:$I,$B65,INDEX('MEP | Drawing List'!$L:$X,,MATCH('Design Fee'!DT$8,'MEP | Drawing List'!$L$1:$X$1,0)),1)</f>
        <v>0</v>
      </c>
      <c r="DU65" s="191">
        <f>COUNTIFS('MEP | Drawing List'!$I:$I,$B65,INDEX('MEP | Drawing List'!$L:$X,,MATCH('Design Fee'!DU$8,'MEP | Drawing List'!$L$1:$X$1,0)),1)</f>
        <v>0</v>
      </c>
      <c r="DV65" s="258"/>
      <c r="DW65" s="198"/>
      <c r="DX65" s="239">
        <v>0</v>
      </c>
      <c r="DY65" s="222"/>
      <c r="DZ65" s="253"/>
      <c r="EA65" s="253">
        <f t="shared" si="171"/>
        <v>0</v>
      </c>
      <c r="EB65" s="254">
        <f t="shared" si="213"/>
        <v>0</v>
      </c>
      <c r="EC65" s="255">
        <f t="shared" si="214"/>
        <v>0</v>
      </c>
      <c r="ED65" s="255">
        <f t="shared" si="215"/>
        <v>0</v>
      </c>
      <c r="EE65" s="255">
        <f t="shared" si="216"/>
        <v>0</v>
      </c>
      <c r="EF65" s="255">
        <f t="shared" si="217"/>
        <v>0</v>
      </c>
      <c r="EG65" s="255">
        <f t="shared" si="218"/>
        <v>0</v>
      </c>
      <c r="EH65" s="256"/>
      <c r="EI65" s="255">
        <f t="shared" si="219"/>
        <v>0</v>
      </c>
      <c r="EJ65" s="255">
        <f t="shared" si="220"/>
        <v>0</v>
      </c>
      <c r="EK65" s="255">
        <f t="shared" si="221"/>
        <v>0</v>
      </c>
      <c r="EL65" s="255">
        <f t="shared" si="222"/>
        <v>0</v>
      </c>
      <c r="EM65" s="255">
        <f t="shared" si="223"/>
        <v>0</v>
      </c>
      <c r="EN65" s="183"/>
      <c r="EO65" s="300">
        <f t="shared" si="224"/>
        <v>0</v>
      </c>
      <c r="EP65" s="300">
        <f t="shared" si="225"/>
        <v>0</v>
      </c>
      <c r="EQ65" s="300">
        <f t="shared" si="226"/>
        <v>0</v>
      </c>
      <c r="ER65" s="228"/>
      <c r="ES65" s="297">
        <f>COUNTIF('LS | Drawing List'!$H:$H,$B65)</f>
        <v>0</v>
      </c>
      <c r="ET65" s="191">
        <f>COUNTIFS('LS | Drawing List'!$H:$H,$B65,INDEX('LS | Drawing List'!$A:$V,,MATCH('Design Fee'!ET$8,'LS | Drawing List'!$A$1:$V$1,0)),1)</f>
        <v>0</v>
      </c>
      <c r="EU65" s="191">
        <f>COUNTIFS('LS | Drawing List'!$H:$H,$B65,INDEX('LS | Drawing List'!$K:$V,,MATCH('Design Fee'!EU$8,'LS | Drawing List'!$K$1:$V$1,0)),1)</f>
        <v>0</v>
      </c>
      <c r="EV65" s="191">
        <f>COUNTIFS('LS | Drawing List'!$H:$H,$B65,INDEX('LS | Drawing List'!$K:$V,,MATCH('Design Fee'!EV$8,'LS | Drawing List'!$K$1:$V$1,0)),1)</f>
        <v>0</v>
      </c>
      <c r="EW65" s="191">
        <f>COUNTIFS('LS | Drawing List'!$H:$H,$B65,INDEX('LS | Drawing List'!$K:$V,,MATCH('Design Fee'!EW$8,'LS | Drawing List'!$K$1:$V$1,0)),1)</f>
        <v>0</v>
      </c>
      <c r="EX65" s="191">
        <f>COUNTIFS('LS | Drawing List'!$H:$H,$B65,INDEX('LS | Drawing List'!$K:$V,,MATCH('Design Fee'!EX$8,'LS | Drawing List'!$K$1:$V$1,0)),1)</f>
        <v>0</v>
      </c>
      <c r="EY65" s="191">
        <f>COUNTIFS('LS | Drawing List'!$H:$H,$B65,INDEX('LS | Drawing List'!$K:$V,,MATCH('Design Fee'!EY$8,'LS | Drawing List'!$K$1:$V$1,0)),1)</f>
        <v>0</v>
      </c>
      <c r="EZ65" s="198"/>
      <c r="FA65" s="191">
        <f>COUNTIFS('LS | Drawing List'!$H:$H,$B65,INDEX('LS | Drawing List'!$K:$V,,MATCH('Design Fee'!FA$8,'LS | Drawing List'!$K$1:$V$1,0)),1)</f>
        <v>0</v>
      </c>
      <c r="FB65" s="191">
        <f>COUNTIFS('LS | Drawing List'!$H:$H,$B65,INDEX('LS | Drawing List'!$K:$V,,MATCH('Design Fee'!FB$8,'LS | Drawing List'!$K$1:$V$1,0)),1)</f>
        <v>0</v>
      </c>
      <c r="FC65" s="191">
        <f>COUNTIFS('LS | Drawing List'!$H:$H,$B65,INDEX('LS | Drawing List'!$K:$V,,MATCH('Design Fee'!FC$8,'LS | Drawing List'!$K$1:$V$1,0)),1)</f>
        <v>0</v>
      </c>
      <c r="FD65" s="191">
        <f>COUNTIFS('LS | Drawing List'!$H:$H,$B65,INDEX('LS | Drawing List'!$K:$V,,MATCH('Design Fee'!FD$8,'LS | Drawing List'!$K$1:$V$1,0)),1)</f>
        <v>0</v>
      </c>
      <c r="FE65" s="191">
        <f>COUNTIFS('LS | Drawing List'!$H:$H,$B65,INDEX('LS | Drawing List'!$K:$V,,MATCH('Design Fee'!FE$8,'LS | Drawing List'!$K$1:$V$1,0)),1)</f>
        <v>0</v>
      </c>
      <c r="FF65" s="258"/>
    </row>
    <row r="66" spans="2:162" ht="11.85" customHeight="1" outlineLevel="2">
      <c r="B66" s="459" t="s">
        <v>160</v>
      </c>
      <c r="C66" s="280" t="s">
        <v>69</v>
      </c>
      <c r="E66" s="253">
        <f t="shared" si="143"/>
        <v>0.9638500000000001</v>
      </c>
      <c r="F66" s="253">
        <f t="shared" si="144"/>
        <v>0</v>
      </c>
      <c r="G66" s="254">
        <f t="shared" si="176"/>
        <v>0.9638500000000001</v>
      </c>
      <c r="H66" s="253">
        <f t="shared" si="146"/>
        <v>0</v>
      </c>
      <c r="I66" s="253">
        <f t="shared" si="147"/>
        <v>0.9638500000000001</v>
      </c>
      <c r="J66" s="253">
        <f t="shared" si="148"/>
        <v>0.9638500000000001</v>
      </c>
      <c r="K66" s="253">
        <f t="shared" si="149"/>
        <v>0</v>
      </c>
      <c r="L66" s="253">
        <f t="shared" si="150"/>
        <v>0</v>
      </c>
      <c r="M66" s="253">
        <f t="shared" si="151"/>
        <v>0</v>
      </c>
      <c r="N66" s="256"/>
      <c r="O66" s="253">
        <f t="shared" si="152"/>
        <v>0</v>
      </c>
      <c r="P66" s="253">
        <f t="shared" si="153"/>
        <v>0</v>
      </c>
      <c r="Q66" s="253">
        <f t="shared" si="154"/>
        <v>0</v>
      </c>
      <c r="R66" s="253">
        <f t="shared" si="155"/>
        <v>0</v>
      </c>
      <c r="S66" s="253">
        <f t="shared" si="156"/>
        <v>0</v>
      </c>
      <c r="T66" s="169"/>
      <c r="U66" s="183"/>
      <c r="V66" s="232">
        <v>0.1</v>
      </c>
      <c r="W66" s="222"/>
      <c r="X66" s="253">
        <f t="shared" si="227"/>
        <v>0.9638500000000001</v>
      </c>
      <c r="Y66" s="253">
        <f t="shared" si="157"/>
        <v>0</v>
      </c>
      <c r="Z66" s="254">
        <f t="shared" si="228"/>
        <v>0</v>
      </c>
      <c r="AA66" s="255">
        <f t="shared" si="229"/>
        <v>0.9638500000000001</v>
      </c>
      <c r="AB66" s="255">
        <f t="shared" si="177"/>
        <v>0.9638500000000001</v>
      </c>
      <c r="AC66" s="255">
        <f t="shared" si="178"/>
        <v>0</v>
      </c>
      <c r="AD66" s="255">
        <f t="shared" si="179"/>
        <v>0</v>
      </c>
      <c r="AE66" s="255">
        <f t="shared" si="180"/>
        <v>0</v>
      </c>
      <c r="AF66" s="256"/>
      <c r="AG66" s="255">
        <f t="shared" si="181"/>
        <v>0</v>
      </c>
      <c r="AH66" s="255">
        <f t="shared" si="182"/>
        <v>0</v>
      </c>
      <c r="AI66" s="255">
        <f t="shared" si="230"/>
        <v>0</v>
      </c>
      <c r="AJ66" s="255">
        <f t="shared" si="231"/>
        <v>0</v>
      </c>
      <c r="AK66" s="255">
        <f t="shared" si="183"/>
        <v>0</v>
      </c>
      <c r="AL66" s="169"/>
      <c r="AM66" s="279">
        <f t="shared" si="184"/>
        <v>0</v>
      </c>
      <c r="AN66" s="279">
        <f t="shared" si="185"/>
        <v>1</v>
      </c>
      <c r="AO66" s="279">
        <f t="shared" si="186"/>
        <v>0</v>
      </c>
      <c r="AP66" s="228"/>
      <c r="AQ66" s="364">
        <f>COUNTIF('AR | Drawing List'!$H:$H,$B66)</f>
        <v>15</v>
      </c>
      <c r="AR66" s="365">
        <f>COUNTIFS('AR | Drawing List'!$H:$H,$B66,INDEX('AR | Drawing List'!$A:$AT,,MATCH('Design Fee'!AR$8,'AR | Drawing List'!$A$1:$AT$1,0)),1)</f>
        <v>0</v>
      </c>
      <c r="AS66" s="365">
        <f>COUNTIFS('AR | Drawing List'!$H:$H,$B66,INDEX('AR | Drawing List'!$K:$AT,,MATCH('Design Fee'!AS$8,'AR | Drawing List'!$K$1:$AT$1,0)),1)</f>
        <v>15</v>
      </c>
      <c r="AT66" s="365">
        <f>COUNTIFS('AR | Drawing List'!$H:$H,$B66,INDEX('AR | Drawing List'!$K:$AT,,MATCH('Design Fee'!AT$8,'AR | Drawing List'!$K$1:$AT$1,0)),1)</f>
        <v>15</v>
      </c>
      <c r="AU66" s="365">
        <f>COUNTIFS('AR | Drawing List'!$H:$H,$B66,INDEX('AR | Drawing List'!$K:$AT,,MATCH('Design Fee'!AU$8,'AR | Drawing List'!$K$1:$AT$1,0)),1)</f>
        <v>0</v>
      </c>
      <c r="AV66" s="365">
        <f>COUNTIFS('AR | Drawing List'!$H:$H,$B66,INDEX('AR | Drawing List'!$K:$AT,,MATCH('Design Fee'!AV$8,'AR | Drawing List'!$K$1:$AT$1,0)),1)</f>
        <v>0</v>
      </c>
      <c r="AW66" s="365">
        <f>COUNTIFS('AR | Drawing List'!$H:$H,$B66,INDEX('AR | Drawing List'!$K:$AT,,MATCH('Design Fee'!AW$8,'AR | Drawing List'!$K$1:$AT$1,0)),1)</f>
        <v>0</v>
      </c>
      <c r="AX66" s="198"/>
      <c r="AY66" s="365">
        <f>COUNTIFS('AR | Drawing List'!$H:$H,$B66,INDEX('AR | Drawing List'!$K:$AT,,MATCH('Design Fee'!AY$8,'AR | Drawing List'!$K$1:$AT$1,0)),1)</f>
        <v>0</v>
      </c>
      <c r="AZ66" s="365">
        <f>COUNTIFS('AR | Drawing List'!$H:$H,$B66,INDEX('AR | Drawing List'!$K:$AT,,MATCH('Design Fee'!AZ$8,'AR | Drawing List'!$K$1:$AT$1,0)),1)</f>
        <v>0</v>
      </c>
      <c r="BA66" s="365">
        <f>COUNTIFS('AR | Drawing List'!$H:$H,$B66,INDEX('AR | Drawing List'!$K:$AT,,MATCH('Design Fee'!BA$8,'AR | Drawing List'!$K$1:$AT$1,0)),1)</f>
        <v>0</v>
      </c>
      <c r="BB66" s="365">
        <f>COUNTIFS('AR | Drawing List'!$H:$H,$B66,INDEX('AR | Drawing List'!$K:$AT,,MATCH('Design Fee'!BB$8,'AR | Drawing List'!$K$1:$AT$1,0)),1)</f>
        <v>0</v>
      </c>
      <c r="BC66" s="365">
        <f>COUNTIFS('AR | Drawing List'!$H:$H,$B66,INDEX('AR | Drawing List'!$K:$AT,,MATCH('Design Fee'!BC$8,'AR | Drawing List'!$K$1:$AT$1,0)),1)</f>
        <v>0</v>
      </c>
      <c r="BD66" s="198"/>
      <c r="BE66" s="239">
        <v>0</v>
      </c>
      <c r="BF66" s="222"/>
      <c r="BG66" s="253">
        <f t="shared" si="232"/>
        <v>0</v>
      </c>
      <c r="BH66" s="253">
        <f t="shared" si="161"/>
        <v>0</v>
      </c>
      <c r="BI66" s="254">
        <f t="shared" si="187"/>
        <v>0</v>
      </c>
      <c r="BJ66" s="255">
        <f t="shared" si="188"/>
        <v>0</v>
      </c>
      <c r="BK66" s="255">
        <f t="shared" si="189"/>
        <v>0</v>
      </c>
      <c r="BL66" s="255">
        <f t="shared" si="190"/>
        <v>0</v>
      </c>
      <c r="BM66" s="255">
        <f t="shared" si="191"/>
        <v>0</v>
      </c>
      <c r="BN66" s="255">
        <f t="shared" si="192"/>
        <v>0</v>
      </c>
      <c r="BO66" s="256"/>
      <c r="BP66" s="255">
        <f t="shared" si="193"/>
        <v>0</v>
      </c>
      <c r="BQ66" s="255">
        <f t="shared" si="194"/>
        <v>0</v>
      </c>
      <c r="BR66" s="255">
        <f t="shared" si="195"/>
        <v>0</v>
      </c>
      <c r="BS66" s="255">
        <f t="shared" si="196"/>
        <v>0</v>
      </c>
      <c r="BT66" s="255">
        <f t="shared" si="197"/>
        <v>0</v>
      </c>
      <c r="BU66" s="169"/>
      <c r="BV66" s="279">
        <f t="shared" si="198"/>
        <v>0</v>
      </c>
      <c r="BW66" s="279">
        <f t="shared" si="199"/>
        <v>0</v>
      </c>
      <c r="BX66" s="279">
        <f t="shared" si="233"/>
        <v>0</v>
      </c>
      <c r="BZ66" s="297">
        <f>COUNTIF('ST | Drawing List'!$G:$G,$B66)</f>
        <v>0</v>
      </c>
      <c r="CA66" s="191">
        <f>COUNTIFS('ST | Drawing List'!$G:$G,$B66,INDEX('ST | Drawing List'!$A:$U,,MATCH('Design Fee'!CA$8,'ST | Drawing List'!$A$1:$U$1,0)),1)</f>
        <v>0</v>
      </c>
      <c r="CB66" s="191">
        <f>COUNTIFS('ST | Drawing List'!$G:$G,$B66,INDEX('ST | Drawing List'!$J:$U,,MATCH('Design Fee'!CB$8,'ST | Drawing List'!$J$1:$U$1,0)),1)</f>
        <v>0</v>
      </c>
      <c r="CC66" s="191">
        <f>COUNTIFS('ST | Drawing List'!$G:$G,$B66,INDEX('ST | Drawing List'!$J:$U,,MATCH('Design Fee'!CC$8,'ST | Drawing List'!$J$1:$U$1,0)),1)</f>
        <v>0</v>
      </c>
      <c r="CD66" s="191">
        <f>COUNTIFS('ST | Drawing List'!$G:$G,$B66,INDEX('ST | Drawing List'!$J:$U,,MATCH('Design Fee'!CD$8,'ST | Drawing List'!$J$1:$U$1,0)),1)</f>
        <v>0</v>
      </c>
      <c r="CE66" s="191">
        <f>COUNTIFS('ST | Drawing List'!$G:$G,$B66,INDEX('ST | Drawing List'!$J:$U,,MATCH('Design Fee'!CE$8,'ST | Drawing List'!$J$1:$U$1,0)),1)</f>
        <v>0</v>
      </c>
      <c r="CF66" s="191">
        <f>COUNTIFS('ST | Drawing List'!$G:$G,$B66,INDEX('ST | Drawing List'!$J:$U,,MATCH('Design Fee'!CF$8,'ST | Drawing List'!$J$1:$U$1,0)),1)</f>
        <v>0</v>
      </c>
      <c r="CG66" s="198"/>
      <c r="CH66" s="191">
        <f>COUNTIFS('ST | Drawing List'!$G:$G,$B66,INDEX('ST | Drawing List'!$J:$U,,MATCH('Design Fee'!CH$8,'ST | Drawing List'!$J$1:$U$1,0)),1)</f>
        <v>0</v>
      </c>
      <c r="CI66" s="191">
        <f>COUNTIFS('ST | Drawing List'!$G:$G,$B66,INDEX('ST | Drawing List'!$J:$U,,MATCH('Design Fee'!CI$8,'ST | Drawing List'!$J$1:$U$1,0)),1)</f>
        <v>0</v>
      </c>
      <c r="CJ66" s="191">
        <f>COUNTIFS('ST | Drawing List'!$G:$G,$B66,INDEX('ST | Drawing List'!$J:$U,,MATCH('Design Fee'!CJ$8,'ST | Drawing List'!$J$1:$U$1,0)),1)</f>
        <v>0</v>
      </c>
      <c r="CK66" s="191">
        <f>COUNTIFS('ST | Drawing List'!$G:$G,$B66,INDEX('ST | Drawing List'!$J:$U,,MATCH('Design Fee'!CK$8,'ST | Drawing List'!$J$1:$U$1,0)),1)</f>
        <v>0</v>
      </c>
      <c r="CL66" s="191">
        <f>COUNTIFS('ST | Drawing List'!$G:$G,$B66,INDEX('ST | Drawing List'!$J:$U,,MATCH('Design Fee'!CL$8,'ST | Drawing List'!$J$1:$U$1,0)),1)</f>
        <v>0</v>
      </c>
      <c r="CM66" s="198"/>
      <c r="CN66" s="239">
        <v>0</v>
      </c>
      <c r="CO66" s="222"/>
      <c r="CP66" s="253">
        <f t="shared" si="234"/>
        <v>0</v>
      </c>
      <c r="CQ66" s="253">
        <f t="shared" si="166"/>
        <v>0</v>
      </c>
      <c r="CR66" s="254">
        <f t="shared" si="200"/>
        <v>0</v>
      </c>
      <c r="CS66" s="255">
        <f t="shared" si="201"/>
        <v>0</v>
      </c>
      <c r="CT66" s="255">
        <f t="shared" si="202"/>
        <v>0</v>
      </c>
      <c r="CU66" s="255">
        <f t="shared" si="203"/>
        <v>0</v>
      </c>
      <c r="CV66" s="255">
        <f t="shared" si="204"/>
        <v>0</v>
      </c>
      <c r="CW66" s="255">
        <f t="shared" si="205"/>
        <v>0</v>
      </c>
      <c r="CX66" s="256"/>
      <c r="CY66" s="255">
        <f t="shared" si="206"/>
        <v>0</v>
      </c>
      <c r="CZ66" s="255">
        <f t="shared" si="207"/>
        <v>0</v>
      </c>
      <c r="DA66" s="255">
        <f t="shared" si="208"/>
        <v>0</v>
      </c>
      <c r="DB66" s="255">
        <f t="shared" si="209"/>
        <v>0</v>
      </c>
      <c r="DC66" s="255">
        <f t="shared" si="210"/>
        <v>0</v>
      </c>
      <c r="DD66" s="183"/>
      <c r="DE66" s="300">
        <f t="shared" si="211"/>
        <v>0</v>
      </c>
      <c r="DF66" s="300">
        <f t="shared" si="212"/>
        <v>0</v>
      </c>
      <c r="DG66" s="300">
        <f t="shared" si="235"/>
        <v>0</v>
      </c>
      <c r="DH66" s="228"/>
      <c r="DI66" s="297">
        <f>COUNTIF('MEP | Drawing List'!$I:$I,$B66)</f>
        <v>0</v>
      </c>
      <c r="DJ66" s="191">
        <f>COUNTIFS('MEP | Drawing List'!$I:$I,$B66,INDEX('MEP | Drawing List'!$B:$X,,MATCH('Design Fee'!DJ$8,'MEP | Drawing List'!$B$1:$X$1,0)),1)</f>
        <v>0</v>
      </c>
      <c r="DK66" s="191">
        <f>COUNTIFS('MEP | Drawing List'!$I:$I,$B66,INDEX('MEP | Drawing List'!$L:$X,,MATCH('Design Fee'!DK$8,'MEP | Drawing List'!$L$1:$X$1,0)),1)</f>
        <v>0</v>
      </c>
      <c r="DL66" s="191">
        <f>COUNTIFS('MEP | Drawing List'!$I:$I,$B66,INDEX('MEP | Drawing List'!$L:$X,,MATCH('Design Fee'!DL$8,'MEP | Drawing List'!$L$1:$X$1,0)),1)</f>
        <v>0</v>
      </c>
      <c r="DM66" s="191">
        <f>COUNTIFS('MEP | Drawing List'!$I:$I,$B66,INDEX('MEP | Drawing List'!$L:$X,,MATCH('Design Fee'!DM$8,'MEP | Drawing List'!$L$1:$X$1,0)),1)</f>
        <v>0</v>
      </c>
      <c r="DN66" s="191">
        <f>COUNTIFS('MEP | Drawing List'!$I:$I,$B66,INDEX('MEP | Drawing List'!$L:$X,,MATCH('Design Fee'!DN$8,'MEP | Drawing List'!$L$1:$X$1,0)),1)</f>
        <v>0</v>
      </c>
      <c r="DO66" s="191">
        <f>COUNTIFS('MEP | Drawing List'!$I:$I,$B66,INDEX('MEP | Drawing List'!$L:$X,,MATCH('Design Fee'!DO$8,'MEP | Drawing List'!$L$1:$X$1,0)),1)</f>
        <v>0</v>
      </c>
      <c r="DP66" s="198"/>
      <c r="DQ66" s="191">
        <f>COUNTIFS('MEP | Drawing List'!$I:$I,$B66,INDEX('MEP | Drawing List'!$L:$X,,MATCH('Design Fee'!DQ$8,'MEP | Drawing List'!$L$1:$X$1,0)),1)</f>
        <v>0</v>
      </c>
      <c r="DR66" s="191">
        <f>COUNTIFS('MEP | Drawing List'!$I:$I,$B66,INDEX('MEP | Drawing List'!$L:$X,,MATCH('Design Fee'!DR$8,'MEP | Drawing List'!$L$1:$X$1,0)),1)</f>
        <v>0</v>
      </c>
      <c r="DS66" s="191">
        <f>COUNTIFS('MEP | Drawing List'!$I:$I,$B66,INDEX('MEP | Drawing List'!$L:$X,,MATCH('Design Fee'!DS$8,'MEP | Drawing List'!$L$1:$X$1,0)),1)</f>
        <v>0</v>
      </c>
      <c r="DT66" s="191">
        <f>COUNTIFS('MEP | Drawing List'!$I:$I,$B66,INDEX('MEP | Drawing List'!$L:$X,,MATCH('Design Fee'!DT$8,'MEP | Drawing List'!$L$1:$X$1,0)),1)</f>
        <v>0</v>
      </c>
      <c r="DU66" s="191">
        <f>COUNTIFS('MEP | Drawing List'!$I:$I,$B66,INDEX('MEP | Drawing List'!$L:$X,,MATCH('Design Fee'!DU$8,'MEP | Drawing List'!$L$1:$X$1,0)),1)</f>
        <v>0</v>
      </c>
      <c r="DV66" s="258"/>
      <c r="DW66" s="198"/>
      <c r="DX66" s="239">
        <v>0</v>
      </c>
      <c r="DY66" s="222"/>
      <c r="DZ66" s="253"/>
      <c r="EA66" s="253">
        <f t="shared" si="171"/>
        <v>0</v>
      </c>
      <c r="EB66" s="254">
        <f t="shared" si="213"/>
        <v>0</v>
      </c>
      <c r="EC66" s="255">
        <f t="shared" si="214"/>
        <v>0</v>
      </c>
      <c r="ED66" s="255">
        <f t="shared" si="215"/>
        <v>0</v>
      </c>
      <c r="EE66" s="255">
        <f t="shared" si="216"/>
        <v>0</v>
      </c>
      <c r="EF66" s="255">
        <f t="shared" si="217"/>
        <v>0</v>
      </c>
      <c r="EG66" s="255">
        <f t="shared" si="218"/>
        <v>0</v>
      </c>
      <c r="EH66" s="256"/>
      <c r="EI66" s="255">
        <f t="shared" si="219"/>
        <v>0</v>
      </c>
      <c r="EJ66" s="255">
        <f t="shared" si="220"/>
        <v>0</v>
      </c>
      <c r="EK66" s="255">
        <f t="shared" si="221"/>
        <v>0</v>
      </c>
      <c r="EL66" s="255">
        <f t="shared" si="222"/>
        <v>0</v>
      </c>
      <c r="EM66" s="255">
        <f t="shared" si="223"/>
        <v>0</v>
      </c>
      <c r="EN66" s="183"/>
      <c r="EO66" s="300">
        <f t="shared" si="224"/>
        <v>0</v>
      </c>
      <c r="EP66" s="300">
        <f t="shared" si="225"/>
        <v>0</v>
      </c>
      <c r="EQ66" s="300">
        <f t="shared" si="226"/>
        <v>0</v>
      </c>
      <c r="ER66" s="228"/>
      <c r="ES66" s="297">
        <f>COUNTIF('LS | Drawing List'!$H:$H,$B66)</f>
        <v>0</v>
      </c>
      <c r="ET66" s="191">
        <f>COUNTIFS('LS | Drawing List'!$H:$H,$B66,INDEX('LS | Drawing List'!$A:$V,,MATCH('Design Fee'!ET$8,'LS | Drawing List'!$A$1:$V$1,0)),1)</f>
        <v>0</v>
      </c>
      <c r="EU66" s="191">
        <f>COUNTIFS('LS | Drawing List'!$H:$H,$B66,INDEX('LS | Drawing List'!$K:$V,,MATCH('Design Fee'!EU$8,'LS | Drawing List'!$K$1:$V$1,0)),1)</f>
        <v>0</v>
      </c>
      <c r="EV66" s="191">
        <f>COUNTIFS('LS | Drawing List'!$H:$H,$B66,INDEX('LS | Drawing List'!$K:$V,,MATCH('Design Fee'!EV$8,'LS | Drawing List'!$K$1:$V$1,0)),1)</f>
        <v>0</v>
      </c>
      <c r="EW66" s="191">
        <f>COUNTIFS('LS | Drawing List'!$H:$H,$B66,INDEX('LS | Drawing List'!$K:$V,,MATCH('Design Fee'!EW$8,'LS | Drawing List'!$K$1:$V$1,0)),1)</f>
        <v>0</v>
      </c>
      <c r="EX66" s="191">
        <f>COUNTIFS('LS | Drawing List'!$H:$H,$B66,INDEX('LS | Drawing List'!$K:$V,,MATCH('Design Fee'!EX$8,'LS | Drawing List'!$K$1:$V$1,0)),1)</f>
        <v>0</v>
      </c>
      <c r="EY66" s="191">
        <f>COUNTIFS('LS | Drawing List'!$H:$H,$B66,INDEX('LS | Drawing List'!$K:$V,,MATCH('Design Fee'!EY$8,'LS | Drawing List'!$K$1:$V$1,0)),1)</f>
        <v>0</v>
      </c>
      <c r="EZ66" s="198"/>
      <c r="FA66" s="191">
        <f>COUNTIFS('LS | Drawing List'!$H:$H,$B66,INDEX('LS | Drawing List'!$K:$V,,MATCH('Design Fee'!FA$8,'LS | Drawing List'!$K$1:$V$1,0)),1)</f>
        <v>0</v>
      </c>
      <c r="FB66" s="191">
        <f>COUNTIFS('LS | Drawing List'!$H:$H,$B66,INDEX('LS | Drawing List'!$K:$V,,MATCH('Design Fee'!FB$8,'LS | Drawing List'!$K$1:$V$1,0)),1)</f>
        <v>0</v>
      </c>
      <c r="FC66" s="191">
        <f>COUNTIFS('LS | Drawing List'!$H:$H,$B66,INDEX('LS | Drawing List'!$K:$V,,MATCH('Design Fee'!FC$8,'LS | Drawing List'!$K$1:$V$1,0)),1)</f>
        <v>0</v>
      </c>
      <c r="FD66" s="191">
        <f>COUNTIFS('LS | Drawing List'!$H:$H,$B66,INDEX('LS | Drawing List'!$K:$V,,MATCH('Design Fee'!FD$8,'LS | Drawing List'!$K$1:$V$1,0)),1)</f>
        <v>0</v>
      </c>
      <c r="FE66" s="191">
        <f>COUNTIFS('LS | Drawing List'!$H:$H,$B66,INDEX('LS | Drawing List'!$K:$V,,MATCH('Design Fee'!FE$8,'LS | Drawing List'!$K$1:$V$1,0)),1)</f>
        <v>0</v>
      </c>
      <c r="FF66" s="258"/>
    </row>
    <row r="67" spans="2:162" ht="3" customHeight="1" outlineLevel="1">
      <c r="B67" s="259"/>
      <c r="H67" s="254"/>
      <c r="I67" s="254"/>
      <c r="J67" s="254"/>
      <c r="K67" s="254"/>
      <c r="L67" s="254"/>
      <c r="M67" s="254"/>
      <c r="N67" s="260"/>
      <c r="O67" s="254"/>
      <c r="P67" s="254"/>
      <c r="Q67" s="254"/>
      <c r="R67" s="254"/>
      <c r="S67" s="254"/>
      <c r="T67" s="169"/>
      <c r="U67" s="183"/>
      <c r="V67" s="232"/>
      <c r="W67" s="222"/>
      <c r="X67" s="253"/>
      <c r="Y67" s="253"/>
      <c r="Z67" s="254"/>
      <c r="AA67" s="254"/>
      <c r="AB67" s="254"/>
      <c r="AC67" s="254"/>
      <c r="AD67" s="254"/>
      <c r="AE67" s="254"/>
      <c r="AF67" s="260"/>
      <c r="AG67" s="255"/>
      <c r="AH67" s="255"/>
      <c r="AI67" s="255"/>
      <c r="AJ67" s="255"/>
      <c r="AK67" s="255"/>
      <c r="AL67" s="169"/>
      <c r="AP67" s="228"/>
      <c r="AR67" s="198"/>
      <c r="AS67" s="198"/>
      <c r="AT67" s="198"/>
      <c r="AU67" s="198"/>
      <c r="AV67" s="198"/>
      <c r="AW67" s="198"/>
      <c r="AX67" s="198"/>
      <c r="AY67" s="207"/>
      <c r="AZ67" s="207"/>
      <c r="BA67" s="207"/>
      <c r="BB67" s="207"/>
      <c r="BC67" s="207"/>
      <c r="BD67" s="198"/>
      <c r="BE67" s="261"/>
      <c r="BF67" s="222"/>
      <c r="BG67" s="253"/>
      <c r="BH67" s="253"/>
      <c r="BI67" s="254"/>
      <c r="BJ67" s="254"/>
      <c r="BK67" s="254"/>
      <c r="BL67" s="254"/>
      <c r="BM67" s="254"/>
      <c r="BN67" s="254"/>
      <c r="BO67" s="260"/>
      <c r="BP67" s="255"/>
      <c r="BQ67" s="255"/>
      <c r="BR67" s="255"/>
      <c r="BS67" s="255"/>
      <c r="BT67" s="255"/>
      <c r="BU67" s="169"/>
      <c r="CA67" s="198"/>
      <c r="CB67" s="198"/>
      <c r="CC67" s="198"/>
      <c r="CD67" s="198"/>
      <c r="CE67" s="198"/>
      <c r="CF67" s="198"/>
      <c r="CG67" s="198"/>
      <c r="CH67" s="207"/>
      <c r="CI67" s="207"/>
      <c r="CJ67" s="207"/>
      <c r="CK67" s="207"/>
      <c r="CL67" s="207"/>
      <c r="CM67" s="198"/>
      <c r="CN67" s="261"/>
      <c r="CO67" s="222"/>
      <c r="CP67" s="253"/>
      <c r="CQ67" s="253"/>
      <c r="CR67" s="254"/>
      <c r="CS67" s="254"/>
      <c r="CT67" s="254"/>
      <c r="CU67" s="254"/>
      <c r="CV67" s="254"/>
      <c r="CW67" s="254"/>
      <c r="CX67" s="260"/>
      <c r="CY67" s="255"/>
      <c r="CZ67" s="255"/>
      <c r="DA67" s="255"/>
      <c r="DB67" s="255"/>
      <c r="DC67" s="255"/>
      <c r="DD67" s="183"/>
      <c r="DE67" s="227"/>
      <c r="DF67" s="227"/>
      <c r="DG67" s="227"/>
      <c r="DH67" s="228"/>
      <c r="DJ67" s="198"/>
      <c r="DK67" s="198"/>
      <c r="DL67" s="198"/>
      <c r="DM67" s="198"/>
      <c r="DN67" s="198"/>
      <c r="DO67" s="198"/>
      <c r="DP67" s="198"/>
      <c r="DQ67" s="207"/>
      <c r="DR67" s="207"/>
      <c r="DS67" s="207"/>
      <c r="DT67" s="207"/>
      <c r="DU67" s="207"/>
      <c r="DV67" s="207"/>
      <c r="DW67" s="198"/>
      <c r="DX67" s="261"/>
      <c r="DY67" s="222"/>
      <c r="DZ67" s="253"/>
      <c r="EA67" s="253"/>
      <c r="EB67" s="254"/>
      <c r="EC67" s="254"/>
      <c r="ED67" s="254"/>
      <c r="EE67" s="254"/>
      <c r="EF67" s="254"/>
      <c r="EG67" s="254"/>
      <c r="EH67" s="260"/>
      <c r="EI67" s="255"/>
      <c r="EJ67" s="255"/>
      <c r="EK67" s="255"/>
      <c r="EL67" s="255"/>
      <c r="EM67" s="255"/>
      <c r="EN67" s="183"/>
      <c r="EO67" s="227"/>
      <c r="EP67" s="227"/>
      <c r="EQ67" s="227"/>
      <c r="ER67" s="228"/>
      <c r="ET67" s="198"/>
      <c r="EU67" s="198"/>
      <c r="EV67" s="198"/>
      <c r="EW67" s="198"/>
      <c r="EX67" s="198"/>
      <c r="EY67" s="198"/>
      <c r="EZ67" s="198"/>
      <c r="FA67" s="207"/>
      <c r="FB67" s="207"/>
      <c r="FC67" s="207"/>
      <c r="FD67" s="207"/>
      <c r="FE67" s="207"/>
      <c r="FF67" s="207"/>
    </row>
    <row r="68" spans="2:162" ht="15" outlineLevel="1">
      <c r="B68" s="208" t="s">
        <v>70</v>
      </c>
      <c r="C68" s="209" t="s">
        <v>71</v>
      </c>
      <c r="D68" s="313"/>
      <c r="E68" s="332">
        <f t="shared" ref="E68:F73" si="236">X68+BG68+CP68+DZ68</f>
        <v>3.3021339999999997</v>
      </c>
      <c r="F68" s="332">
        <f t="shared" si="236"/>
        <v>0.50277199999999989</v>
      </c>
      <c r="G68" s="332">
        <f t="shared" ref="G68" si="237">E68-F68</f>
        <v>2.7993619999999999</v>
      </c>
      <c r="H68" s="332">
        <f t="shared" ref="H68:M73" si="238">Z68+BI68+CR68+EB68</f>
        <v>0.15740999999999999</v>
      </c>
      <c r="I68" s="332">
        <f t="shared" si="238"/>
        <v>3.1447239999999996</v>
      </c>
      <c r="J68" s="332">
        <f t="shared" si="238"/>
        <v>3.1447239999999996</v>
      </c>
      <c r="K68" s="332">
        <f t="shared" si="238"/>
        <v>0</v>
      </c>
      <c r="L68" s="332">
        <f t="shared" si="238"/>
        <v>0</v>
      </c>
      <c r="M68" s="332">
        <f t="shared" si="238"/>
        <v>0</v>
      </c>
      <c r="N68" s="333"/>
      <c r="O68" s="334">
        <f t="shared" ref="O68:S73" si="239">AG68+BP68+CY68+EI68</f>
        <v>0.34536199999999995</v>
      </c>
      <c r="P68" s="334">
        <f t="shared" si="239"/>
        <v>2.2064E-2</v>
      </c>
      <c r="Q68" s="334">
        <f t="shared" si="239"/>
        <v>0.32329799999999992</v>
      </c>
      <c r="R68" s="334">
        <f t="shared" si="239"/>
        <v>0</v>
      </c>
      <c r="S68" s="334">
        <f t="shared" si="239"/>
        <v>0</v>
      </c>
      <c r="T68" s="331"/>
      <c r="U68" s="183"/>
      <c r="V68" s="210">
        <f>SUM(V69:V73)</f>
        <v>0.5</v>
      </c>
      <c r="W68" s="262"/>
      <c r="X68" s="302">
        <f>V68*($V$4*'BOQ COST'!$E$7)</f>
        <v>2.0449999999999999</v>
      </c>
      <c r="Y68" s="302">
        <f t="shared" ref="Y68:Y73" si="240">Z68+AG68</f>
        <v>0</v>
      </c>
      <c r="Z68" s="303">
        <f>SUM(Z69:Z73)</f>
        <v>0</v>
      </c>
      <c r="AA68" s="303">
        <f t="shared" ref="AA68:AW68" si="241">SUM(AA69:AA73)</f>
        <v>2.0449999999999999</v>
      </c>
      <c r="AB68" s="303">
        <f t="shared" si="241"/>
        <v>2.0449999999999999</v>
      </c>
      <c r="AC68" s="303">
        <f t="shared" si="241"/>
        <v>0</v>
      </c>
      <c r="AD68" s="303">
        <f t="shared" si="241"/>
        <v>0</v>
      </c>
      <c r="AE68" s="303">
        <f t="shared" si="241"/>
        <v>0</v>
      </c>
      <c r="AF68" s="263"/>
      <c r="AG68" s="296">
        <f>SUM(AG69:AG74)</f>
        <v>0</v>
      </c>
      <c r="AH68" s="296">
        <f>SUM(AH69:AH74)</f>
        <v>0</v>
      </c>
      <c r="AI68" s="296">
        <f>SUM(AI69:AI74)</f>
        <v>0</v>
      </c>
      <c r="AJ68" s="296">
        <f>SUM(AJ69:AJ74)</f>
        <v>0</v>
      </c>
      <c r="AK68" s="296">
        <f>SUM(AK69:AK74)</f>
        <v>0</v>
      </c>
      <c r="AL68" s="169"/>
      <c r="AM68" s="352"/>
      <c r="AN68" s="352"/>
      <c r="AO68" s="352"/>
      <c r="AP68" s="304">
        <f t="shared" si="241"/>
        <v>0</v>
      </c>
      <c r="AQ68" s="366">
        <f t="shared" si="241"/>
        <v>47</v>
      </c>
      <c r="AR68" s="366">
        <f t="shared" si="241"/>
        <v>1</v>
      </c>
      <c r="AS68" s="366">
        <f t="shared" si="241"/>
        <v>46</v>
      </c>
      <c r="AT68" s="366">
        <f t="shared" si="241"/>
        <v>46</v>
      </c>
      <c r="AU68" s="366">
        <f t="shared" si="241"/>
        <v>0</v>
      </c>
      <c r="AV68" s="366">
        <f t="shared" si="241"/>
        <v>0</v>
      </c>
      <c r="AW68" s="366">
        <f t="shared" si="241"/>
        <v>0</v>
      </c>
      <c r="AX68" s="197"/>
      <c r="AY68" s="366">
        <f>SUM(AY69:AY73)</f>
        <v>22</v>
      </c>
      <c r="AZ68" s="366">
        <f t="shared" ref="AZ68:BC68" si="242">SUM(AZ69:AZ73)</f>
        <v>19</v>
      </c>
      <c r="BA68" s="366">
        <f t="shared" si="242"/>
        <v>3</v>
      </c>
      <c r="BB68" s="366">
        <f t="shared" si="242"/>
        <v>0</v>
      </c>
      <c r="BC68" s="366">
        <f t="shared" si="242"/>
        <v>0</v>
      </c>
      <c r="BD68" s="219"/>
      <c r="BE68" s="210">
        <f>SUM(BE69:BE74)</f>
        <v>0.55000000000000004</v>
      </c>
      <c r="BF68" s="262"/>
      <c r="BG68" s="302">
        <f>BE68*($BE$4*'BOQ COST'!$F$7)</f>
        <v>1.1854259999999999</v>
      </c>
      <c r="BH68" s="302">
        <f t="shared" ref="BH68:BH73" si="243">BI68+BP68</f>
        <v>0.43106399999999989</v>
      </c>
      <c r="BI68" s="303">
        <f>SUM(BI69:BI73)</f>
        <v>0.10776599999999999</v>
      </c>
      <c r="BJ68" s="303">
        <f t="shared" ref="BJ68:BN68" si="244">SUM(BJ69:BJ73)</f>
        <v>1.0776599999999998</v>
      </c>
      <c r="BK68" s="303">
        <f t="shared" si="244"/>
        <v>1.0776599999999998</v>
      </c>
      <c r="BL68" s="303">
        <f t="shared" si="244"/>
        <v>0</v>
      </c>
      <c r="BM68" s="303">
        <f t="shared" si="244"/>
        <v>0</v>
      </c>
      <c r="BN68" s="303">
        <f t="shared" si="244"/>
        <v>0</v>
      </c>
      <c r="BO68" s="263"/>
      <c r="BP68" s="296">
        <f>SUM(BP69:BP74)</f>
        <v>0.32329799999999992</v>
      </c>
      <c r="BQ68" s="296">
        <f>SUM(BQ69:BQ74)</f>
        <v>0</v>
      </c>
      <c r="BR68" s="296">
        <f>SUM(BR69:BR74)</f>
        <v>0.32329799999999992</v>
      </c>
      <c r="BS68" s="296">
        <f>SUM(BS69:BS74)</f>
        <v>0</v>
      </c>
      <c r="BT68" s="296">
        <f>SUM(BT69:BT74)</f>
        <v>0</v>
      </c>
      <c r="BU68" s="169"/>
      <c r="BV68" s="352"/>
      <c r="BW68" s="352"/>
      <c r="BX68" s="352"/>
      <c r="BY68" s="352">
        <f t="shared" ref="BY68:CF68" si="245">SUM(BY69:BY73)</f>
        <v>0</v>
      </c>
      <c r="BZ68" s="298">
        <f t="shared" si="245"/>
        <v>36</v>
      </c>
      <c r="CA68" s="298">
        <f t="shared" si="245"/>
        <v>1</v>
      </c>
      <c r="CB68" s="298">
        <f t="shared" si="245"/>
        <v>35</v>
      </c>
      <c r="CC68" s="298">
        <f t="shared" si="245"/>
        <v>35</v>
      </c>
      <c r="CD68" s="298">
        <f t="shared" si="245"/>
        <v>0</v>
      </c>
      <c r="CE68" s="298">
        <f t="shared" si="245"/>
        <v>0</v>
      </c>
      <c r="CF68" s="298">
        <f t="shared" si="245"/>
        <v>0</v>
      </c>
      <c r="CG68" s="197"/>
      <c r="CH68" s="298">
        <f>SUM(CH69:CH73)</f>
        <v>29</v>
      </c>
      <c r="CI68" s="298">
        <f t="shared" ref="CI68:CL68" si="246">SUM(CI69:CI73)</f>
        <v>26</v>
      </c>
      <c r="CJ68" s="298">
        <f t="shared" si="246"/>
        <v>3</v>
      </c>
      <c r="CK68" s="298">
        <f t="shared" si="246"/>
        <v>0</v>
      </c>
      <c r="CL68" s="298">
        <f t="shared" si="246"/>
        <v>0</v>
      </c>
      <c r="CM68" s="219"/>
      <c r="CN68" s="210">
        <f>SUM(CN69:CN73)</f>
        <v>0.65</v>
      </c>
      <c r="CO68" s="262"/>
      <c r="CP68" s="292">
        <f>CN68*($CN$4*'BOQ COST'!$G$7)</f>
        <v>7.1708000000000008E-2</v>
      </c>
      <c r="CQ68" s="302">
        <f t="shared" ref="CQ68:CQ73" si="247">CR68+CY68</f>
        <v>7.1707999999999994E-2</v>
      </c>
      <c r="CR68" s="303">
        <f>SUM(CR69:CR73)</f>
        <v>4.9644000000000001E-2</v>
      </c>
      <c r="CS68" s="303">
        <f t="shared" ref="CS68:CW68" si="248">SUM(CS69:CS73)</f>
        <v>2.2064E-2</v>
      </c>
      <c r="CT68" s="303">
        <f t="shared" si="248"/>
        <v>2.2064E-2</v>
      </c>
      <c r="CU68" s="303">
        <f t="shared" si="248"/>
        <v>0</v>
      </c>
      <c r="CV68" s="303">
        <f t="shared" si="248"/>
        <v>0</v>
      </c>
      <c r="CW68" s="303">
        <f t="shared" si="248"/>
        <v>0</v>
      </c>
      <c r="CX68" s="263"/>
      <c r="CY68" s="296">
        <f>SUM(CY69:CY74)</f>
        <v>2.2064E-2</v>
      </c>
      <c r="CZ68" s="296">
        <f>SUM(CZ69:CZ74)</f>
        <v>2.2064E-2</v>
      </c>
      <c r="DA68" s="296">
        <f>SUM(DA69:DA74)</f>
        <v>0</v>
      </c>
      <c r="DB68" s="296">
        <f>SUM(DB69:DB74)</f>
        <v>0</v>
      </c>
      <c r="DC68" s="296">
        <f>SUM(DC69:DC74)</f>
        <v>0</v>
      </c>
      <c r="DD68" s="183"/>
      <c r="DE68" s="264"/>
      <c r="DF68" s="264"/>
      <c r="DG68" s="264"/>
      <c r="DH68" s="304">
        <f t="shared" ref="DH68:DO68" si="249">SUM(DH69:DH73)</f>
        <v>0</v>
      </c>
      <c r="DI68" s="298">
        <f t="shared" si="249"/>
        <v>52</v>
      </c>
      <c r="DJ68" s="298">
        <f t="shared" si="249"/>
        <v>46</v>
      </c>
      <c r="DK68" s="298">
        <f t="shared" si="249"/>
        <v>6</v>
      </c>
      <c r="DL68" s="298">
        <f t="shared" si="249"/>
        <v>6</v>
      </c>
      <c r="DM68" s="298">
        <f t="shared" si="249"/>
        <v>0</v>
      </c>
      <c r="DN68" s="298">
        <f t="shared" si="249"/>
        <v>0</v>
      </c>
      <c r="DO68" s="298">
        <f t="shared" si="249"/>
        <v>0</v>
      </c>
      <c r="DP68" s="197"/>
      <c r="DQ68" s="298">
        <f>SUM(DQ69:DQ73)</f>
        <v>6</v>
      </c>
      <c r="DR68" s="298">
        <f t="shared" ref="DR68:DU68" si="250">SUM(DR69:DR73)</f>
        <v>6</v>
      </c>
      <c r="DS68" s="298">
        <f t="shared" si="250"/>
        <v>0</v>
      </c>
      <c r="DT68" s="298">
        <f t="shared" si="250"/>
        <v>0</v>
      </c>
      <c r="DU68" s="298">
        <f t="shared" si="250"/>
        <v>0</v>
      </c>
      <c r="DV68" s="218"/>
      <c r="DW68" s="219"/>
      <c r="DX68" s="210"/>
      <c r="DY68" s="262"/>
      <c r="DZ68" s="210"/>
      <c r="EA68" s="302">
        <f t="shared" ref="EA68:EA73" si="251">EB68+EI68</f>
        <v>0</v>
      </c>
      <c r="EB68" s="303">
        <f>SUM(EB69:EB73)</f>
        <v>0</v>
      </c>
      <c r="EC68" s="303">
        <f t="shared" ref="EC68:EG68" si="252">SUM(EC69:EC73)</f>
        <v>0</v>
      </c>
      <c r="ED68" s="303">
        <f t="shared" si="252"/>
        <v>0</v>
      </c>
      <c r="EE68" s="303">
        <f t="shared" si="252"/>
        <v>0</v>
      </c>
      <c r="EF68" s="303">
        <f t="shared" si="252"/>
        <v>0</v>
      </c>
      <c r="EG68" s="303">
        <f t="shared" si="252"/>
        <v>0</v>
      </c>
      <c r="EH68" s="263"/>
      <c r="EI68" s="296">
        <f>SUM(EI69:EI74)</f>
        <v>0</v>
      </c>
      <c r="EJ68" s="296">
        <f>SUM(EJ69:EJ74)</f>
        <v>0</v>
      </c>
      <c r="EK68" s="296">
        <f>SUM(EK69:EK74)</f>
        <v>0</v>
      </c>
      <c r="EL68" s="296">
        <f>SUM(EL69:EL74)</f>
        <v>0</v>
      </c>
      <c r="EM68" s="296">
        <f>SUM(EM69:EM74)</f>
        <v>0</v>
      </c>
      <c r="EN68" s="183"/>
      <c r="EO68" s="264"/>
      <c r="EP68" s="264"/>
      <c r="EQ68" s="264"/>
      <c r="ER68" s="304">
        <f t="shared" ref="ER68:EY68" si="253">SUM(ER69:ER73)</f>
        <v>0</v>
      </c>
      <c r="ES68" s="298">
        <f t="shared" si="253"/>
        <v>0</v>
      </c>
      <c r="ET68" s="298">
        <f t="shared" si="253"/>
        <v>0</v>
      </c>
      <c r="EU68" s="298">
        <f t="shared" si="253"/>
        <v>0</v>
      </c>
      <c r="EV68" s="298">
        <f t="shared" si="253"/>
        <v>0</v>
      </c>
      <c r="EW68" s="298">
        <f t="shared" si="253"/>
        <v>0</v>
      </c>
      <c r="EX68" s="298">
        <f t="shared" si="253"/>
        <v>0</v>
      </c>
      <c r="EY68" s="298">
        <f t="shared" si="253"/>
        <v>0</v>
      </c>
      <c r="EZ68" s="197"/>
      <c r="FA68" s="298">
        <f>SUM(FA69:FA73)</f>
        <v>0</v>
      </c>
      <c r="FB68" s="298">
        <f t="shared" ref="FB68:FE68" si="254">SUM(FB69:FB73)</f>
        <v>0</v>
      </c>
      <c r="FC68" s="298">
        <f t="shared" si="254"/>
        <v>0</v>
      </c>
      <c r="FD68" s="298">
        <f t="shared" si="254"/>
        <v>0</v>
      </c>
      <c r="FE68" s="298">
        <f t="shared" si="254"/>
        <v>0</v>
      </c>
      <c r="FF68" s="218"/>
    </row>
    <row r="69" spans="2:162" ht="11.85" customHeight="1" outlineLevel="2">
      <c r="B69" s="459" t="s">
        <v>72</v>
      </c>
      <c r="C69" s="547" t="s">
        <v>73</v>
      </c>
      <c r="D69" s="257"/>
      <c r="E69" s="253">
        <f t="shared" si="236"/>
        <v>0.10776599999999999</v>
      </c>
      <c r="F69" s="253">
        <f t="shared" si="236"/>
        <v>0.10776599999999999</v>
      </c>
      <c r="G69" s="254">
        <f t="shared" ref="G69:G73" si="255">E69-F69</f>
        <v>0</v>
      </c>
      <c r="H69" s="253">
        <f t="shared" si="238"/>
        <v>0.10776599999999999</v>
      </c>
      <c r="I69" s="253">
        <f t="shared" si="238"/>
        <v>0</v>
      </c>
      <c r="J69" s="253">
        <f t="shared" si="238"/>
        <v>0</v>
      </c>
      <c r="K69" s="253">
        <f t="shared" si="238"/>
        <v>0</v>
      </c>
      <c r="L69" s="253">
        <f t="shared" si="238"/>
        <v>0</v>
      </c>
      <c r="M69" s="253">
        <f t="shared" si="238"/>
        <v>0</v>
      </c>
      <c r="N69" s="256"/>
      <c r="O69" s="253">
        <f t="shared" si="239"/>
        <v>0</v>
      </c>
      <c r="P69" s="253">
        <f t="shared" si="239"/>
        <v>0</v>
      </c>
      <c r="Q69" s="253">
        <f t="shared" si="239"/>
        <v>0</v>
      </c>
      <c r="R69" s="253">
        <f t="shared" si="239"/>
        <v>0</v>
      </c>
      <c r="S69" s="253">
        <f t="shared" si="239"/>
        <v>0</v>
      </c>
      <c r="T69" s="169"/>
      <c r="U69" s="183"/>
      <c r="V69" s="232">
        <v>0</v>
      </c>
      <c r="W69" s="222"/>
      <c r="X69" s="253">
        <f>$X$68/$V$68*V69</f>
        <v>0</v>
      </c>
      <c r="Y69" s="253">
        <f t="shared" si="240"/>
        <v>0</v>
      </c>
      <c r="Z69" s="254">
        <f t="shared" ref="Z69:Z73" si="256">IFERROR(IF(AM69=100%,$X69,0),0)</f>
        <v>0</v>
      </c>
      <c r="AA69" s="255">
        <f t="shared" ref="AA69:AA73" si="257">IFERROR(IF(AND((AM69+AN69)=100%,AM69&lt;1),$X69,0),0)</f>
        <v>0</v>
      </c>
      <c r="AB69" s="255">
        <f>IFERROR(IF(AND((AR69+AT69)=AQ69,Z69=0),$X69,0),0)</f>
        <v>0</v>
      </c>
      <c r="AC69" s="255">
        <f>IFERROR(IF(AND((AR69+AT69+AU69)=AQ69,Z69=0,AB69=0),$X69,0),0)</f>
        <v>0</v>
      </c>
      <c r="AD69" s="255">
        <f>IFERROR(IF(AND((AR69+AT69+AU69+AV69)=AQ69,Z69=0,AB69=0,AC69=0),$X69,0),0)</f>
        <v>0</v>
      </c>
      <c r="AE69" s="255">
        <f>IFERROR(IF(AND((AR69+AT69+AU69+AV69+AW69)=AQ69,Z69=0,AB69=0,AC69=0,AD69=0),$X69,0),0)</f>
        <v>0</v>
      </c>
      <c r="AF69" s="256"/>
      <c r="AG69" s="255">
        <f>IFERROR(IF(AND((AM69+AO69)=100%,AM69&lt;1),$X69,0),0)</f>
        <v>0</v>
      </c>
      <c r="AH69" s="255">
        <f>IFERROR(IF(AND((AR69+AZ69)=AQ69,Z69=0),$X69,0),0)</f>
        <v>0</v>
      </c>
      <c r="AI69" s="255">
        <f t="shared" ref="AI69:AI73" si="258">IFERROR(IF(AND((AR69+AZ69+BA69)=AQ69,Z69=0,AH69=0),$X69,0),0)</f>
        <v>0</v>
      </c>
      <c r="AJ69" s="255">
        <f t="shared" ref="AJ69:AJ73" si="259">IFERROR(IF(AND((AR69+AZ69+BA69+BB69)=AQ69,Z69=0,AH69=0,AI69=0),$X69,0),0)</f>
        <v>0</v>
      </c>
      <c r="AK69" s="255">
        <f>IFERROR(IF(AND((AR69+AZ69+BC69+BA69+BB69)=AQ69,Z69=0,AH69=0,AI69=0,AJ69=0),$X69,0),0)</f>
        <v>0</v>
      </c>
      <c r="AL69" s="169"/>
      <c r="AM69" s="279">
        <f t="shared" ref="AM69:AM73" si="260">IFERROR(AR69/AQ69,0)</f>
        <v>0</v>
      </c>
      <c r="AN69" s="279">
        <f t="shared" ref="AN69:AN73" si="261">IFERROR(AS69/AQ69,0)</f>
        <v>0</v>
      </c>
      <c r="AO69" s="279">
        <f t="shared" ref="AO69:AO73" si="262">IFERROR(AY69/AQ69,0)</f>
        <v>0</v>
      </c>
      <c r="AP69" s="228"/>
      <c r="AQ69" s="364">
        <f>COUNTIF('AR | Drawing List'!$H:$H,$B69)</f>
        <v>0</v>
      </c>
      <c r="AR69" s="365">
        <f>COUNTIFS('AR | Drawing List'!$H:$H,$B69,INDEX('AR | Drawing List'!$A:$AT,,MATCH('Design Fee'!AR$8,'AR | Drawing List'!$A$1:$AT$1,0)),1)</f>
        <v>0</v>
      </c>
      <c r="AS69" s="365">
        <f>COUNTIFS('AR | Drawing List'!$H:$H,$B69,INDEX('AR | Drawing List'!$K:$AT,,MATCH('Design Fee'!AS$8,'AR | Drawing List'!$K$1:$AT$1,0)),1)</f>
        <v>0</v>
      </c>
      <c r="AT69" s="365">
        <f>COUNTIFS('AR | Drawing List'!$H:$H,$B69,INDEX('AR | Drawing List'!$K:$AT,,MATCH('Design Fee'!AT$8,'AR | Drawing List'!$K$1:$AT$1,0)),1)</f>
        <v>0</v>
      </c>
      <c r="AU69" s="365">
        <f>COUNTIFS('AR | Drawing List'!$H:$H,$B69,INDEX('AR | Drawing List'!$K:$AT,,MATCH('Design Fee'!AU$8,'AR | Drawing List'!$K$1:$AT$1,0)),1)</f>
        <v>0</v>
      </c>
      <c r="AV69" s="365">
        <f>COUNTIFS('AR | Drawing List'!$H:$H,$B69,INDEX('AR | Drawing List'!$K:$AT,,MATCH('Design Fee'!AV$8,'AR | Drawing List'!$K$1:$AT$1,0)),1)</f>
        <v>0</v>
      </c>
      <c r="AW69" s="365">
        <f>COUNTIFS('AR | Drawing List'!$H:$H,$B69,INDEX('AR | Drawing List'!$K:$AT,,MATCH('Design Fee'!AW$8,'AR | Drawing List'!$K$1:$AT$1,0)),1)</f>
        <v>0</v>
      </c>
      <c r="AX69" s="198"/>
      <c r="AY69" s="365">
        <f>COUNTIFS('AR | Drawing List'!$H:$H,$B69,INDEX('AR | Drawing List'!$K:$AT,,MATCH('Design Fee'!AY$8,'AR | Drawing List'!$K$1:$AT$1,0)),1)</f>
        <v>0</v>
      </c>
      <c r="AZ69" s="365">
        <f>COUNTIFS('AR | Drawing List'!$H:$H,$B69,INDEX('AR | Drawing List'!$K:$AT,,MATCH('Design Fee'!AZ$8,'AR | Drawing List'!$K$1:$AT$1,0)),1)</f>
        <v>0</v>
      </c>
      <c r="BA69" s="365">
        <f>COUNTIFS('AR | Drawing List'!$H:$H,$B69,INDEX('AR | Drawing List'!$K:$AT,,MATCH('Design Fee'!BA$8,'AR | Drawing List'!$K$1:$AT$1,0)),1)</f>
        <v>0</v>
      </c>
      <c r="BB69" s="365">
        <f>COUNTIFS('AR | Drawing List'!$H:$H,$B69,INDEX('AR | Drawing List'!$K:$AT,,MATCH('Design Fee'!BB$8,'AR | Drawing List'!$K$1:$AT$1,0)),1)</f>
        <v>0</v>
      </c>
      <c r="BC69" s="365">
        <f>COUNTIFS('AR | Drawing List'!$H:$H,$B69,INDEX('AR | Drawing List'!$K:$AT,,MATCH('Design Fee'!BC$8,'AR | Drawing List'!$K$1:$AT$1,0)),1)</f>
        <v>0</v>
      </c>
      <c r="BD69" s="198"/>
      <c r="BE69" s="232">
        <v>0.05</v>
      </c>
      <c r="BF69" s="222"/>
      <c r="BG69" s="253">
        <f>($BG$68/$BE$68)*BE69</f>
        <v>0.10776599999999999</v>
      </c>
      <c r="BH69" s="253">
        <f t="shared" si="243"/>
        <v>0.10776599999999999</v>
      </c>
      <c r="BI69" s="254">
        <f>IFERROR(IF(BV69=100%,$BG69,0),0)</f>
        <v>0.10776599999999999</v>
      </c>
      <c r="BJ69" s="271">
        <f>IFERROR(IF(AND((BV69+BW69)=100%,BV69&lt;1),$BG69,0),0)</f>
        <v>0</v>
      </c>
      <c r="BK69" s="255">
        <f>IFERROR(IF(AND((CA69+CC69)=BZ69,BI69=0),$BG69,0),0)</f>
        <v>0</v>
      </c>
      <c r="BL69" s="255">
        <f>IFERROR(IF(AND((CA69+CC69+CD69)=BZ69,BI69=0,BK69=0),$BG69,0),0)</f>
        <v>0</v>
      </c>
      <c r="BM69" s="255">
        <f>IFERROR(IF(AND((CA69+CC69+CD69+CE69)=BZ69,BI69=0,BK69=0,BL69=0),$BG69,0),0)</f>
        <v>0</v>
      </c>
      <c r="BN69" s="255">
        <f>IFERROR(IF(AND((CA69+CC69+CD69+CE69+CF69)=BZ69,BI69=0,BK69=0,BL69=0,BM69=0),$BG69,0),0)</f>
        <v>0</v>
      </c>
      <c r="BO69" s="256"/>
      <c r="BP69" s="255">
        <f>IFERROR(IF(AND((BV69+BX69)=100%,BV69&lt;1),$BG69,0),0)</f>
        <v>0</v>
      </c>
      <c r="BQ69" s="255">
        <f>IFERROR(IF(AND((CA69+CI69)=BZ69,BI69=0),$BG69,0),0)</f>
        <v>0</v>
      </c>
      <c r="BR69" s="255">
        <f>IFERROR(IF(AND((CA69+CI69+CJ69)=BZ69,BI69=0,BQ69=0),$BG69,0),0)</f>
        <v>0</v>
      </c>
      <c r="BS69" s="255">
        <f>IFERROR(IF(AND((CA69+CI69+CJ69+CK69)=BZ69,BI69=0,BQ69=0,BR69=0),$BG69,0),0)</f>
        <v>0</v>
      </c>
      <c r="BT69" s="255">
        <f>IFERROR(IF(AND((CA69+CI69+CL69+CJ69+CK69)=BZ69,BI69=0,BQ69=0,BR69=0,BS69=0),$BG69,0),0)</f>
        <v>0</v>
      </c>
      <c r="BU69" s="169"/>
      <c r="BV69" s="279">
        <f t="shared" ref="BV69" si="263">IFERROR(CA69/BZ69,0)</f>
        <v>1</v>
      </c>
      <c r="BW69" s="279">
        <f t="shared" ref="BW69" si="264">IFERROR(CB69/BZ69,0)</f>
        <v>0</v>
      </c>
      <c r="BX69" s="279">
        <f t="shared" ref="BX69" si="265">IFERROR(CH69/BZ69,0)</f>
        <v>0</v>
      </c>
      <c r="BZ69" s="297">
        <f>COUNTIF('ST | Drawing List'!$G:$G,$B69)</f>
        <v>1</v>
      </c>
      <c r="CA69" s="191">
        <f>COUNTIFS('ST | Drawing List'!$G:$G,$B69,INDEX('ST | Drawing List'!$A:$U,,MATCH('Design Fee'!CA$8,'ST | Drawing List'!$A$1:$U$1,0)),1)</f>
        <v>1</v>
      </c>
      <c r="CB69" s="191">
        <f>COUNTIFS('ST | Drawing List'!$G:$G,$B69,INDEX('ST | Drawing List'!$J:$U,,MATCH('Design Fee'!CB$8,'ST | Drawing List'!$J$1:$U$1,0)),1)</f>
        <v>0</v>
      </c>
      <c r="CC69" s="191">
        <f>COUNTIFS('ST | Drawing List'!$G:$G,$B69,INDEX('ST | Drawing List'!$J:$U,,MATCH('Design Fee'!CC$8,'ST | Drawing List'!$J$1:$U$1,0)),1)</f>
        <v>0</v>
      </c>
      <c r="CD69" s="191">
        <f>COUNTIFS('ST | Drawing List'!$G:$G,$B69,INDEX('ST | Drawing List'!$J:$U,,MATCH('Design Fee'!CD$8,'ST | Drawing List'!$J$1:$U$1,0)),1)</f>
        <v>0</v>
      </c>
      <c r="CE69" s="191">
        <f>COUNTIFS('ST | Drawing List'!$G:$G,$B69,INDEX('ST | Drawing List'!$J:$U,,MATCH('Design Fee'!CE$8,'ST | Drawing List'!$J$1:$U$1,0)),1)</f>
        <v>0</v>
      </c>
      <c r="CF69" s="191">
        <f>COUNTIFS('ST | Drawing List'!$G:$G,$B69,INDEX('ST | Drawing List'!$J:$U,,MATCH('Design Fee'!CF$8,'ST | Drawing List'!$J$1:$U$1,0)),1)</f>
        <v>0</v>
      </c>
      <c r="CG69" s="198"/>
      <c r="CH69" s="191">
        <f>COUNTIFS('ST | Drawing List'!$G:$G,$B69,INDEX('ST | Drawing List'!$J:$U,,MATCH('Design Fee'!CH$8,'ST | Drawing List'!$J$1:$U$1,0)),1)</f>
        <v>0</v>
      </c>
      <c r="CI69" s="191">
        <f>COUNTIFS('ST | Drawing List'!$G:$G,$B69,INDEX('ST | Drawing List'!$J:$U,,MATCH('Design Fee'!CI$8,'ST | Drawing List'!$J$1:$U$1,0)),1)</f>
        <v>0</v>
      </c>
      <c r="CJ69" s="191">
        <f>COUNTIFS('ST | Drawing List'!$G:$G,$B69,INDEX('ST | Drawing List'!$J:$U,,MATCH('Design Fee'!CJ$8,'ST | Drawing List'!$J$1:$U$1,0)),1)</f>
        <v>0</v>
      </c>
      <c r="CK69" s="191">
        <f>COUNTIFS('ST | Drawing List'!$G:$G,$B69,INDEX('ST | Drawing List'!$J:$U,,MATCH('Design Fee'!CK$8,'ST | Drawing List'!$J$1:$U$1,0)),1)</f>
        <v>0</v>
      </c>
      <c r="CL69" s="191">
        <f>COUNTIFS('ST | Drawing List'!$G:$G,$B69,INDEX('ST | Drawing List'!$J:$U,,MATCH('Design Fee'!CL$8,'ST | Drawing List'!$J$1:$U$1,0)),1)</f>
        <v>0</v>
      </c>
      <c r="CM69" s="198"/>
      <c r="CN69" s="232">
        <v>0</v>
      </c>
      <c r="CO69" s="222"/>
      <c r="CP69" s="253">
        <f>$CP$68/$CN$68*CN69</f>
        <v>0</v>
      </c>
      <c r="CQ69" s="253">
        <f t="shared" si="247"/>
        <v>0</v>
      </c>
      <c r="CR69" s="254">
        <f>IFERROR(IF(DE69=100%,$CP69,0),0)</f>
        <v>0</v>
      </c>
      <c r="CS69" s="255">
        <f>IFERROR(IF(AND((DE69+DF69)=100%,DE69&lt;1),$CP69,0),0)</f>
        <v>0</v>
      </c>
      <c r="CT69" s="255">
        <f>IFERROR(IF(AND((DJ69+DL69)=DI69,CR69=0),$CP69,0),0)</f>
        <v>0</v>
      </c>
      <c r="CU69" s="255">
        <f>IFERROR(IF(AND((DJ69+DL69+DM69)=DI69,CR69=0,CT69=0),$CP69,0),0)</f>
        <v>0</v>
      </c>
      <c r="CV69" s="255">
        <f>IFERROR(IF(AND((DJ69+DL69+DM69+DN69)=DI69,CR69=0,CT69=0,CU69=0),$CP69,0),0)</f>
        <v>0</v>
      </c>
      <c r="CW69" s="255">
        <f>IFERROR(IF(AND((DJ69+DL69+DM69+DN69+DO69)=DI69,CR69=0,CT69=0,CU69=0,CV69=0),$CP69,0),0)</f>
        <v>0</v>
      </c>
      <c r="CX69" s="256"/>
      <c r="CY69" s="255">
        <f>IFERROR(IF(AND((DE69+DG69)=100%,DE69&lt;1),$CP69,0),0)</f>
        <v>0</v>
      </c>
      <c r="CZ69" s="255">
        <f>IFERROR(IF(AND((DJ69+DR69)=DI69,CR69=0),$CP69,0),0)</f>
        <v>0</v>
      </c>
      <c r="DA69" s="255">
        <f>IFERROR(IF(AND((DJ69+DR69+DS69)=DI69,CR69=0,CZ69=0),$CP69,0),0)</f>
        <v>0</v>
      </c>
      <c r="DB69" s="255">
        <f>IFERROR(IF(AND((DJ69+DR69+DS69+DT69)=DI69,CR69=0,CZ69=0,DA69=0),$CP69,0),0)</f>
        <v>0</v>
      </c>
      <c r="DC69" s="255">
        <f>IFERROR(IF(AND((DJ69+DR69+DU69+DS69+DT69)=DI69,CR69=0,CZ69=0,DA69=0,DB69=0),$CP69,0),0)</f>
        <v>0</v>
      </c>
      <c r="DD69" s="183"/>
      <c r="DE69" s="300">
        <f t="shared" ref="DE69:DE73" si="266">IFERROR(DJ69/DI69,0)</f>
        <v>0</v>
      </c>
      <c r="DF69" s="300">
        <f t="shared" ref="DF69:DF73" si="267">IFERROR(DK69/DI69,0)</f>
        <v>0</v>
      </c>
      <c r="DG69" s="300">
        <f t="shared" ref="DG69:DG73" si="268">IFERROR(DQ69/DI69,0)</f>
        <v>0</v>
      </c>
      <c r="DH69" s="228"/>
      <c r="DI69" s="297">
        <f>COUNTIF('MEP | Drawing List'!$I:$I,$B69)</f>
        <v>0</v>
      </c>
      <c r="DJ69" s="191">
        <f>COUNTIFS('MEP | Drawing List'!$I:$I,$B69,INDEX('MEP | Drawing List'!$B:$X,,MATCH('Design Fee'!DJ$8,'MEP | Drawing List'!$B$1:$X$1,0)),1)</f>
        <v>0</v>
      </c>
      <c r="DK69" s="191">
        <f>COUNTIFS('MEP | Drawing List'!$I:$I,$B69,INDEX('MEP | Drawing List'!$L:$X,,MATCH('Design Fee'!DK$8,'MEP | Drawing List'!$L$1:$X$1,0)),1)</f>
        <v>0</v>
      </c>
      <c r="DL69" s="191">
        <f>COUNTIFS('MEP | Drawing List'!$I:$I,$B69,INDEX('MEP | Drawing List'!$L:$X,,MATCH('Design Fee'!DL$8,'MEP | Drawing List'!$L$1:$X$1,0)),1)</f>
        <v>0</v>
      </c>
      <c r="DM69" s="191">
        <f>COUNTIFS('MEP | Drawing List'!$I:$I,$B69,INDEX('MEP | Drawing List'!$L:$X,,MATCH('Design Fee'!DM$8,'MEP | Drawing List'!$L$1:$X$1,0)),1)</f>
        <v>0</v>
      </c>
      <c r="DN69" s="191">
        <f>COUNTIFS('MEP | Drawing List'!$I:$I,$B69,INDEX('MEP | Drawing List'!$L:$X,,MATCH('Design Fee'!DN$8,'MEP | Drawing List'!$L$1:$X$1,0)),1)</f>
        <v>0</v>
      </c>
      <c r="DO69" s="191">
        <f>COUNTIFS('MEP | Drawing List'!$I:$I,$B69,INDEX('MEP | Drawing List'!$L:$X,,MATCH('Design Fee'!DO$8,'MEP | Drawing List'!$L$1:$X$1,0)),1)</f>
        <v>0</v>
      </c>
      <c r="DP69" s="198"/>
      <c r="DQ69" s="191">
        <f>COUNTIFS('MEP | Drawing List'!$I:$I,$B69,INDEX('MEP | Drawing List'!$L:$X,,MATCH('Design Fee'!DQ$8,'MEP | Drawing List'!$L$1:$X$1,0)),1)</f>
        <v>0</v>
      </c>
      <c r="DR69" s="191">
        <f>COUNTIFS('MEP | Drawing List'!$I:$I,$B69,INDEX('MEP | Drawing List'!$L:$X,,MATCH('Design Fee'!DR$8,'MEP | Drawing List'!$L$1:$X$1,0)),1)</f>
        <v>0</v>
      </c>
      <c r="DS69" s="191">
        <f>COUNTIFS('MEP | Drawing List'!$I:$I,$B69,INDEX('MEP | Drawing List'!$L:$X,,MATCH('Design Fee'!DS$8,'MEP | Drawing List'!$L$1:$X$1,0)),1)</f>
        <v>0</v>
      </c>
      <c r="DT69" s="191">
        <f>COUNTIFS('MEP | Drawing List'!$I:$I,$B69,INDEX('MEP | Drawing List'!$L:$X,,MATCH('Design Fee'!DT$8,'MEP | Drawing List'!$L$1:$X$1,0)),1)</f>
        <v>0</v>
      </c>
      <c r="DU69" s="191">
        <f>COUNTIFS('MEP | Drawing List'!$I:$I,$B69,INDEX('MEP | Drawing List'!$L:$X,,MATCH('Design Fee'!DU$8,'MEP | Drawing List'!$L$1:$X$1,0)),1)</f>
        <v>0</v>
      </c>
      <c r="DV69" s="207"/>
      <c r="DW69" s="198"/>
      <c r="DX69" s="239">
        <v>0</v>
      </c>
      <c r="DY69" s="222"/>
      <c r="DZ69" s="253"/>
      <c r="EA69" s="253">
        <f t="shared" si="251"/>
        <v>0</v>
      </c>
      <c r="EB69" s="254">
        <f>IFERROR(IF(EO69=100%,$DZ69,0),0)</f>
        <v>0</v>
      </c>
      <c r="EC69" s="255">
        <f>IFERROR(IF(AND((EO69+EP69)=100%,EO69&lt;1),$DZ69,0),0)</f>
        <v>0</v>
      </c>
      <c r="ED69" s="255">
        <f>IFERROR(IF(AND((ET69+EV69)=ES69,EB69=0),$DZ69,0),0)</f>
        <v>0</v>
      </c>
      <c r="EE69" s="255">
        <f>IFERROR(IF(AND((ET69+EV69+EW69)=ES69,EB69=0,ED69=0),$DZ69,0),0)</f>
        <v>0</v>
      </c>
      <c r="EF69" s="255">
        <f>IFERROR(IF(AND((ET69+EV69+EW69+EX69)=ES69,EB69=0,ED69=0,EE69=0),$DZ69,0),0)</f>
        <v>0</v>
      </c>
      <c r="EG69" s="255">
        <f>IFERROR(IF(AND((ET69+EV69+EW69+EX69+EY69)=ES69,EB69=0,ED69=0,EE69=0,EF69=0),$DZ69,0),0)</f>
        <v>0</v>
      </c>
      <c r="EH69" s="256"/>
      <c r="EI69" s="255">
        <f>IFERROR(IF(AND((EO69+EQ69)=100%,EO69&lt;1),$DZ69,0),0)</f>
        <v>0</v>
      </c>
      <c r="EJ69" s="255">
        <f>IFERROR(IF(AND((ET69+FB69)=ES69,EB69=0),$DZ69,0),0)</f>
        <v>0</v>
      </c>
      <c r="EK69" s="255">
        <f>IFERROR(IF(AND((ET69+FB69+FC69)=ES69,EB69=0,EJ69=0),$DZ69,0),0)</f>
        <v>0</v>
      </c>
      <c r="EL69" s="255">
        <f>IFERROR(IF(AND((ET69+FB69+FC69+FD69)=ES69,EB69=0,EJ69=0,EK69=0),$DZ69,0),0)</f>
        <v>0</v>
      </c>
      <c r="EM69" s="255">
        <f>IFERROR(IF(AND((ET69+FB69+FE69+FC69+FD69)=ES69,EB69=0,EJ69=0,EK69=0,EL69=0),$DZ69,0),0)</f>
        <v>0</v>
      </c>
      <c r="EN69" s="183"/>
      <c r="EO69" s="300">
        <f t="shared" ref="EO69:EO73" si="269">IFERROR(ET69/ES69,0)</f>
        <v>0</v>
      </c>
      <c r="EP69" s="300">
        <f t="shared" ref="EP69:EP73" si="270">IFERROR(EU69/ES69,0)</f>
        <v>0</v>
      </c>
      <c r="EQ69" s="300">
        <f t="shared" ref="EQ69:EQ73" si="271">IFERROR(FA69/ES69,0)</f>
        <v>0</v>
      </c>
      <c r="ER69" s="228"/>
      <c r="ES69" s="297">
        <f>COUNTIF('LS | Drawing List'!$H:$H,$B69)</f>
        <v>0</v>
      </c>
      <c r="ET69" s="191">
        <f>COUNTIFS('LS | Drawing List'!$H:$H,$B69,INDEX('LS | Drawing List'!$A:$V,,MATCH('Design Fee'!ET$8,'LS | Drawing List'!$A$1:$V$1,0)),1)</f>
        <v>0</v>
      </c>
      <c r="EU69" s="191">
        <f>COUNTIFS('LS | Drawing List'!$H:$H,$B69,INDEX('LS | Drawing List'!$K:$V,,MATCH('Design Fee'!EU$8,'LS | Drawing List'!$K$1:$V$1,0)),1)</f>
        <v>0</v>
      </c>
      <c r="EV69" s="191">
        <f>COUNTIFS('LS | Drawing List'!$H:$H,$B69,INDEX('LS | Drawing List'!$K:$V,,MATCH('Design Fee'!EV$8,'LS | Drawing List'!$K$1:$V$1,0)),1)</f>
        <v>0</v>
      </c>
      <c r="EW69" s="191">
        <f>COUNTIFS('LS | Drawing List'!$H:$H,$B69,INDEX('LS | Drawing List'!$K:$V,,MATCH('Design Fee'!EW$8,'LS | Drawing List'!$K$1:$V$1,0)),1)</f>
        <v>0</v>
      </c>
      <c r="EX69" s="191">
        <f>COUNTIFS('LS | Drawing List'!$H:$H,$B69,INDEX('LS | Drawing List'!$K:$V,,MATCH('Design Fee'!EX$8,'LS | Drawing List'!$K$1:$V$1,0)),1)</f>
        <v>0</v>
      </c>
      <c r="EY69" s="191">
        <f>COUNTIFS('LS | Drawing List'!$H:$H,$B69,INDEX('LS | Drawing List'!$K:$V,,MATCH('Design Fee'!EY$8,'LS | Drawing List'!$K$1:$V$1,0)),1)</f>
        <v>0</v>
      </c>
      <c r="EZ69" s="198"/>
      <c r="FA69" s="191">
        <f>COUNTIFS('LS | Drawing List'!$H:$H,$B69,INDEX('LS | Drawing List'!$K:$V,,MATCH('Design Fee'!FA$8,'LS | Drawing List'!$K$1:$V$1,0)),1)</f>
        <v>0</v>
      </c>
      <c r="FB69" s="191">
        <f>COUNTIFS('LS | Drawing List'!$H:$H,$B69,INDEX('LS | Drawing List'!$K:$V,,MATCH('Design Fee'!FB$8,'LS | Drawing List'!$K$1:$V$1,0)),1)</f>
        <v>0</v>
      </c>
      <c r="FC69" s="191">
        <f>COUNTIFS('LS | Drawing List'!$H:$H,$B69,INDEX('LS | Drawing List'!$K:$V,,MATCH('Design Fee'!FC$8,'LS | Drawing List'!$K$1:$V$1,0)),1)</f>
        <v>0</v>
      </c>
      <c r="FD69" s="191">
        <f>COUNTIFS('LS | Drawing List'!$H:$H,$B69,INDEX('LS | Drawing List'!$K:$V,,MATCH('Design Fee'!FD$8,'LS | Drawing List'!$K$1:$V$1,0)),1)</f>
        <v>0</v>
      </c>
      <c r="FE69" s="191">
        <f>COUNTIFS('LS | Drawing List'!$H:$H,$B69,INDEX('LS | Drawing List'!$K:$V,,MATCH('Design Fee'!FE$8,'LS | Drawing List'!$K$1:$V$1,0)),1)</f>
        <v>0</v>
      </c>
      <c r="FF69" s="207"/>
    </row>
    <row r="70" spans="2:162" ht="11.85" customHeight="1" outlineLevel="2">
      <c r="B70" s="459" t="s">
        <v>74</v>
      </c>
      <c r="C70" s="280" t="s">
        <v>75</v>
      </c>
      <c r="E70" s="253">
        <f t="shared" si="236"/>
        <v>0.53883000000000003</v>
      </c>
      <c r="F70" s="253">
        <f t="shared" si="236"/>
        <v>1.1032E-2</v>
      </c>
      <c r="G70" s="254">
        <f t="shared" si="255"/>
        <v>0.52779799999999999</v>
      </c>
      <c r="H70" s="253">
        <f t="shared" si="238"/>
        <v>0</v>
      </c>
      <c r="I70" s="253">
        <f t="shared" si="238"/>
        <v>0.53883000000000003</v>
      </c>
      <c r="J70" s="253">
        <f t="shared" si="238"/>
        <v>0.53883000000000003</v>
      </c>
      <c r="K70" s="253">
        <f t="shared" si="238"/>
        <v>0</v>
      </c>
      <c r="L70" s="253">
        <f t="shared" si="238"/>
        <v>0</v>
      </c>
      <c r="M70" s="253">
        <f t="shared" si="238"/>
        <v>0</v>
      </c>
      <c r="N70" s="256"/>
      <c r="O70" s="253">
        <f t="shared" si="239"/>
        <v>1.1032E-2</v>
      </c>
      <c r="P70" s="253">
        <f t="shared" si="239"/>
        <v>1.1032E-2</v>
      </c>
      <c r="Q70" s="253">
        <f t="shared" si="239"/>
        <v>0</v>
      </c>
      <c r="R70" s="253">
        <f t="shared" si="239"/>
        <v>0</v>
      </c>
      <c r="S70" s="253">
        <f t="shared" si="239"/>
        <v>0</v>
      </c>
      <c r="T70" s="169"/>
      <c r="U70" s="183"/>
      <c r="V70" s="232">
        <v>0.05</v>
      </c>
      <c r="W70" s="222"/>
      <c r="X70" s="253">
        <f t="shared" ref="X70:X73" si="272">$X$68/$V$68*V70</f>
        <v>0.20450000000000002</v>
      </c>
      <c r="Y70" s="253">
        <f t="shared" si="240"/>
        <v>0</v>
      </c>
      <c r="Z70" s="254">
        <f t="shared" si="256"/>
        <v>0</v>
      </c>
      <c r="AA70" s="255">
        <f t="shared" si="257"/>
        <v>0.20450000000000002</v>
      </c>
      <c r="AB70" s="255">
        <f t="shared" ref="AB70:AB73" si="273">IFERROR(IF(AND((AR70+AT70)=AQ70,Z70=0),$X70,0),0)</f>
        <v>0.20450000000000002</v>
      </c>
      <c r="AC70" s="255">
        <f>IFERROR(IF(AND((AR70+AT70+AU70)=AQ70,Z70=0,AB70=0),$X70,0),0)</f>
        <v>0</v>
      </c>
      <c r="AD70" s="255">
        <f>IFERROR(IF(AND((AR70+AT70+AU70+AV70)=AQ70,Z70=0,AB70=0,AC70=0),$X70,0),0)</f>
        <v>0</v>
      </c>
      <c r="AE70" s="255">
        <f>IFERROR(IF(AND((AR70+AT70+AU70+AV70+AW70)=AQ70,Z70=0,AB70=0,AC70=0,AD70=0),$X70,0),0)</f>
        <v>0</v>
      </c>
      <c r="AF70" s="256"/>
      <c r="AG70" s="255">
        <f>IFERROR(IF(AND((AM70+AO70)=100%,AM70&lt;1),$X70,0),0)</f>
        <v>0</v>
      </c>
      <c r="AH70" s="255">
        <f>IFERROR(IF(AND((AR70+AZ70)=AQ70,Z70=0),$X70,0),0)</f>
        <v>0</v>
      </c>
      <c r="AI70" s="255">
        <f t="shared" si="258"/>
        <v>0</v>
      </c>
      <c r="AJ70" s="255">
        <f t="shared" si="259"/>
        <v>0</v>
      </c>
      <c r="AK70" s="255">
        <f>IFERROR(IF(AND((AR70+AZ70+BC70+BA70+BB70)=AQ70,Z70=0,AH70=0,AI70=0,AJ70=0),$X70,0),0)</f>
        <v>0</v>
      </c>
      <c r="AL70" s="169"/>
      <c r="AM70" s="279">
        <f t="shared" si="260"/>
        <v>9.0909090909090912E-2</v>
      </c>
      <c r="AN70" s="279">
        <f t="shared" si="261"/>
        <v>0.90909090909090906</v>
      </c>
      <c r="AO70" s="279">
        <f t="shared" si="262"/>
        <v>0.27272727272727271</v>
      </c>
      <c r="AP70" s="228"/>
      <c r="AQ70" s="364">
        <f>COUNTIF('AR | Drawing List'!$H:$H,$B70)</f>
        <v>11</v>
      </c>
      <c r="AR70" s="365">
        <f>COUNTIFS('AR | Drawing List'!$H:$H,$B70,INDEX('AR | Drawing List'!$A:$AT,,MATCH('Design Fee'!AR$8,'AR | Drawing List'!$A$1:$AT$1,0)),1)</f>
        <v>1</v>
      </c>
      <c r="AS70" s="365">
        <f>COUNTIFS('AR | Drawing List'!$H:$H,$B70,INDEX('AR | Drawing List'!$K:$AT,,MATCH('Design Fee'!AS$8,'AR | Drawing List'!$K$1:$AT$1,0)),1)</f>
        <v>10</v>
      </c>
      <c r="AT70" s="365">
        <f>COUNTIFS('AR | Drawing List'!$H:$H,$B70,INDEX('AR | Drawing List'!$K:$AT,,MATCH('Design Fee'!AT$8,'AR | Drawing List'!$K$1:$AT$1,0)),1)</f>
        <v>10</v>
      </c>
      <c r="AU70" s="365">
        <f>COUNTIFS('AR | Drawing List'!$H:$H,$B70,INDEX('AR | Drawing List'!$K:$AT,,MATCH('Design Fee'!AU$8,'AR | Drawing List'!$K$1:$AT$1,0)),1)</f>
        <v>0</v>
      </c>
      <c r="AV70" s="365">
        <f>COUNTIFS('AR | Drawing List'!$H:$H,$B70,INDEX('AR | Drawing List'!$K:$AT,,MATCH('Design Fee'!AV$8,'AR | Drawing List'!$K$1:$AT$1,0)),1)</f>
        <v>0</v>
      </c>
      <c r="AW70" s="365">
        <f>COUNTIFS('AR | Drawing List'!$H:$H,$B70,INDEX('AR | Drawing List'!$K:$AT,,MATCH('Design Fee'!AW$8,'AR | Drawing List'!$K$1:$AT$1,0)),1)</f>
        <v>0</v>
      </c>
      <c r="AX70" s="198"/>
      <c r="AY70" s="365">
        <f>COUNTIFS('AR | Drawing List'!$H:$H,$B70,INDEX('AR | Drawing List'!$K:$AT,,MATCH('Design Fee'!AY$8,'AR | Drawing List'!$K$1:$AT$1,0)),1)</f>
        <v>3</v>
      </c>
      <c r="AZ70" s="365">
        <f>COUNTIFS('AR | Drawing List'!$H:$H,$B70,INDEX('AR | Drawing List'!$K:$AT,,MATCH('Design Fee'!AZ$8,'AR | Drawing List'!$K$1:$AT$1,0)),1)</f>
        <v>0</v>
      </c>
      <c r="BA70" s="365">
        <f>COUNTIFS('AR | Drawing List'!$H:$H,$B70,INDEX('AR | Drawing List'!$K:$AT,,MATCH('Design Fee'!BA$8,'AR | Drawing List'!$K$1:$AT$1,0)),1)</f>
        <v>3</v>
      </c>
      <c r="BB70" s="365">
        <f>COUNTIFS('AR | Drawing List'!$H:$H,$B70,INDEX('AR | Drawing List'!$K:$AT,,MATCH('Design Fee'!BB$8,'AR | Drawing List'!$K$1:$AT$1,0)),1)</f>
        <v>0</v>
      </c>
      <c r="BC70" s="365">
        <f>COUNTIFS('AR | Drawing List'!$H:$H,$B70,INDEX('AR | Drawing List'!$K:$AT,,MATCH('Design Fee'!BC$8,'AR | Drawing List'!$K$1:$AT$1,0)),1)</f>
        <v>0</v>
      </c>
      <c r="BD70" s="198"/>
      <c r="BE70" s="232">
        <v>0.15</v>
      </c>
      <c r="BF70" s="222"/>
      <c r="BG70" s="253">
        <f t="shared" ref="BG70:BG73" si="274">($BG$68/$BE$68)*BE70</f>
        <v>0.32329799999999992</v>
      </c>
      <c r="BH70" s="253">
        <f t="shared" si="243"/>
        <v>0</v>
      </c>
      <c r="BI70" s="254">
        <f t="shared" ref="BI70:BI73" si="275">IFERROR(IF(BV70=100%,$BG70,0),0)</f>
        <v>0</v>
      </c>
      <c r="BJ70" s="271">
        <f t="shared" ref="BJ70:BJ73" si="276">IFERROR(IF(AND((BV70+BW70)=100%,BV70&lt;1),$BG70,0),0)</f>
        <v>0.32329799999999992</v>
      </c>
      <c r="BK70" s="255">
        <f t="shared" ref="BK70:BK73" si="277">IFERROR(IF(AND((CA70+CC70)=BZ70,BI70=0),$BG70,0),0)</f>
        <v>0.32329799999999992</v>
      </c>
      <c r="BL70" s="255">
        <f t="shared" ref="BL70:BL73" si="278">IFERROR(IF(AND((CA70+CC70+CD70)=BZ70,BI70=0,BK70=0),$BG70,0),0)</f>
        <v>0</v>
      </c>
      <c r="BM70" s="255">
        <f t="shared" ref="BM70:BM73" si="279">IFERROR(IF(AND((CA70+CC70+CD70+CE70)=BZ70,BI70=0,BK70=0,BL70=0),$BG70,0),0)</f>
        <v>0</v>
      </c>
      <c r="BN70" s="255">
        <f t="shared" ref="BN70:BN73" si="280">IFERROR(IF(AND((CA70+CC70+CD70+CE70+CF70)=BZ70,BI70=0,BK70=0,BL70=0,BM70=0),$BG70,0),0)</f>
        <v>0</v>
      </c>
      <c r="BO70" s="256"/>
      <c r="BP70" s="255">
        <f t="shared" ref="BP70:BP73" si="281">IFERROR(IF(AND((BV70+BX70)=100%,BV70&lt;1),$BG70,0),0)</f>
        <v>0</v>
      </c>
      <c r="BQ70" s="255">
        <f t="shared" ref="BQ70:BQ73" si="282">IFERROR(IF(AND((CA70+CI70)=BZ70,BI70=0),$BG70,0),0)</f>
        <v>0</v>
      </c>
      <c r="BR70" s="255">
        <f t="shared" ref="BR70:BR73" si="283">IFERROR(IF(AND((CA70+CI70+CJ70)=BZ70,BI70=0,BQ70=0),$BG70,0),0)</f>
        <v>0</v>
      </c>
      <c r="BS70" s="255">
        <f t="shared" ref="BS70:BS73" si="284">IFERROR(IF(AND((CA70+CI70+CJ70+CK70)=BZ70,BI70=0,BQ70=0,BR70=0),$BG70,0),0)</f>
        <v>0</v>
      </c>
      <c r="BT70" s="255">
        <f t="shared" ref="BT70:BT73" si="285">IFERROR(IF(AND((CA70+CI70+CL70+CJ70+CK70)=BZ70,BI70=0,BQ70=0,BR70=0,BS70=0),$BG70,0),0)</f>
        <v>0</v>
      </c>
      <c r="BU70" s="169"/>
      <c r="BV70" s="279">
        <f t="shared" ref="BV70:BV73" si="286">IFERROR(CA70/BZ70,0)</f>
        <v>0</v>
      </c>
      <c r="BW70" s="279">
        <f t="shared" ref="BW70:BW73" si="287">IFERROR(CB70/BZ70,0)</f>
        <v>1</v>
      </c>
      <c r="BX70" s="279">
        <f t="shared" ref="BX70:BX73" si="288">IFERROR(CH70/BZ70,0)</f>
        <v>0.88888888888888884</v>
      </c>
      <c r="BZ70" s="297">
        <f>COUNTIF('ST | Drawing List'!$G:$G,$B70)</f>
        <v>27</v>
      </c>
      <c r="CA70" s="191">
        <f>COUNTIFS('ST | Drawing List'!$G:$G,$B70,INDEX('ST | Drawing List'!$A:$U,,MATCH('Design Fee'!CA$8,'ST | Drawing List'!$A$1:$U$1,0)),1)</f>
        <v>0</v>
      </c>
      <c r="CB70" s="191">
        <f>COUNTIFS('ST | Drawing List'!$G:$G,$B70,INDEX('ST | Drawing List'!$J:$U,,MATCH('Design Fee'!CB$8,'ST | Drawing List'!$J$1:$U$1,0)),1)</f>
        <v>27</v>
      </c>
      <c r="CC70" s="191">
        <f>COUNTIFS('ST | Drawing List'!$G:$G,$B70,INDEX('ST | Drawing List'!$J:$U,,MATCH('Design Fee'!CC$8,'ST | Drawing List'!$J$1:$U$1,0)),1)</f>
        <v>27</v>
      </c>
      <c r="CD70" s="191">
        <f>COUNTIFS('ST | Drawing List'!$G:$G,$B70,INDEX('ST | Drawing List'!$J:$U,,MATCH('Design Fee'!CD$8,'ST | Drawing List'!$J$1:$U$1,0)),1)</f>
        <v>0</v>
      </c>
      <c r="CE70" s="191">
        <f>COUNTIFS('ST | Drawing List'!$G:$G,$B70,INDEX('ST | Drawing List'!$J:$U,,MATCH('Design Fee'!CE$8,'ST | Drawing List'!$J$1:$U$1,0)),1)</f>
        <v>0</v>
      </c>
      <c r="CF70" s="191">
        <f>COUNTIFS('ST | Drawing List'!$G:$G,$B70,INDEX('ST | Drawing List'!$J:$U,,MATCH('Design Fee'!CF$8,'ST | Drawing List'!$J$1:$U$1,0)),1)</f>
        <v>0</v>
      </c>
      <c r="CG70" s="198"/>
      <c r="CH70" s="191">
        <f>COUNTIFS('ST | Drawing List'!$G:$G,$B70,INDEX('ST | Drawing List'!$J:$U,,MATCH('Design Fee'!CH$8,'ST | Drawing List'!$J$1:$U$1,0)),1)</f>
        <v>24</v>
      </c>
      <c r="CI70" s="191">
        <f>COUNTIFS('ST | Drawing List'!$G:$G,$B70,INDEX('ST | Drawing List'!$J:$U,,MATCH('Design Fee'!CI$8,'ST | Drawing List'!$J$1:$U$1,0)),1)</f>
        <v>24</v>
      </c>
      <c r="CJ70" s="191">
        <f>COUNTIFS('ST | Drawing List'!$G:$G,$B70,INDEX('ST | Drawing List'!$J:$U,,MATCH('Design Fee'!CJ$8,'ST | Drawing List'!$J$1:$U$1,0)),1)</f>
        <v>0</v>
      </c>
      <c r="CK70" s="191">
        <f>COUNTIFS('ST | Drawing List'!$G:$G,$B70,INDEX('ST | Drawing List'!$J:$U,,MATCH('Design Fee'!CK$8,'ST | Drawing List'!$J$1:$U$1,0)),1)</f>
        <v>0</v>
      </c>
      <c r="CL70" s="191">
        <f>COUNTIFS('ST | Drawing List'!$G:$G,$B70,INDEX('ST | Drawing List'!$J:$U,,MATCH('Design Fee'!CL$8,'ST | Drawing List'!$J$1:$U$1,0)),1)</f>
        <v>0</v>
      </c>
      <c r="CM70" s="198"/>
      <c r="CN70" s="232">
        <v>0.1</v>
      </c>
      <c r="CO70" s="222"/>
      <c r="CP70" s="253">
        <f t="shared" ref="CP70:CP73" si="289">$CP$68/$CN$68*CN70</f>
        <v>1.1032E-2</v>
      </c>
      <c r="CQ70" s="253">
        <f t="shared" si="247"/>
        <v>1.1032E-2</v>
      </c>
      <c r="CR70" s="254">
        <f>IFERROR(IF(DE70=100%,$CP70,0),0)</f>
        <v>0</v>
      </c>
      <c r="CS70" s="255">
        <f>IFERROR(IF(AND((DE70+DF70)=100%,DE70&lt;1),$CP70,0),0)</f>
        <v>1.1032E-2</v>
      </c>
      <c r="CT70" s="255">
        <f>IFERROR(IF(AND((DJ70+DL70)=DI70,CR70=0),$CP70,0),0)</f>
        <v>1.1032E-2</v>
      </c>
      <c r="CU70" s="255">
        <f>IFERROR(IF(AND((DJ70+DL70+DM70)=DI70,CR70=0,CT70=0),$CP70,0),0)</f>
        <v>0</v>
      </c>
      <c r="CV70" s="255">
        <f>IFERROR(IF(AND((DJ70+DL70+DM70+DN70)=DI70,CR70=0,CT70=0,CU70=0),$CP70,0),0)</f>
        <v>0</v>
      </c>
      <c r="CW70" s="255">
        <f>IFERROR(IF(AND((DJ70+DL70+DM70+DN70+DO70)=DI70,CR70=0,CT70=0,CU70=0,CV70=0),$CP70,0),0)</f>
        <v>0</v>
      </c>
      <c r="CX70" s="256"/>
      <c r="CY70" s="255">
        <f>IFERROR(IF(AND((DE70+DG70)=100%,DE70&lt;1),$CP70,0),0)</f>
        <v>1.1032E-2</v>
      </c>
      <c r="CZ70" s="255">
        <f>IFERROR(IF(AND((DJ70+DR70)=DI70,CR70=0),$CP70,0),0)</f>
        <v>1.1032E-2</v>
      </c>
      <c r="DA70" s="255">
        <f>IFERROR(IF(AND((DJ70+DR70+DS70)=DI70,CR70=0,CZ70=0),$CP70,0),0)</f>
        <v>0</v>
      </c>
      <c r="DB70" s="255">
        <f>IFERROR(IF(AND((DJ70+DR70+DS70+DT70)=DI70,CR70=0,CZ70=0,DA70=0),$CP70,0),0)</f>
        <v>0</v>
      </c>
      <c r="DC70" s="255">
        <f>IFERROR(IF(AND((DJ70+DR70+DU70+DS70+DT70)=DI70,CR70=0,CZ70=0,DA70=0,DB70=0),$CP70,0),0)</f>
        <v>0</v>
      </c>
      <c r="DD70" s="183"/>
      <c r="DE70" s="300">
        <f t="shared" si="266"/>
        <v>0</v>
      </c>
      <c r="DF70" s="300">
        <f t="shared" si="267"/>
        <v>1</v>
      </c>
      <c r="DG70" s="300">
        <f t="shared" si="268"/>
        <v>1</v>
      </c>
      <c r="DH70" s="228"/>
      <c r="DI70" s="297">
        <f>COUNTIF('MEP | Drawing List'!$I:$I,$B70)</f>
        <v>2</v>
      </c>
      <c r="DJ70" s="191">
        <f>COUNTIFS('MEP | Drawing List'!$I:$I,$B70,INDEX('MEP | Drawing List'!$B:$X,,MATCH('Design Fee'!DJ$8,'MEP | Drawing List'!$B$1:$X$1,0)),1)</f>
        <v>0</v>
      </c>
      <c r="DK70" s="191">
        <f>COUNTIFS('MEP | Drawing List'!$I:$I,$B70,INDEX('MEP | Drawing List'!$L:$X,,MATCH('Design Fee'!DK$8,'MEP | Drawing List'!$L$1:$X$1,0)),1)</f>
        <v>2</v>
      </c>
      <c r="DL70" s="191">
        <f>COUNTIFS('MEP | Drawing List'!$I:$I,$B70,INDEX('MEP | Drawing List'!$L:$X,,MATCH('Design Fee'!DL$8,'MEP | Drawing List'!$L$1:$X$1,0)),1)</f>
        <v>2</v>
      </c>
      <c r="DM70" s="191">
        <f>COUNTIFS('MEP | Drawing List'!$I:$I,$B70,INDEX('MEP | Drawing List'!$L:$X,,MATCH('Design Fee'!DM$8,'MEP | Drawing List'!$L$1:$X$1,0)),1)</f>
        <v>0</v>
      </c>
      <c r="DN70" s="191">
        <f>COUNTIFS('MEP | Drawing List'!$I:$I,$B70,INDEX('MEP | Drawing List'!$L:$X,,MATCH('Design Fee'!DN$8,'MEP | Drawing List'!$L$1:$X$1,0)),1)</f>
        <v>0</v>
      </c>
      <c r="DO70" s="191">
        <f>COUNTIFS('MEP | Drawing List'!$I:$I,$B70,INDEX('MEP | Drawing List'!$L:$X,,MATCH('Design Fee'!DO$8,'MEP | Drawing List'!$L$1:$X$1,0)),1)</f>
        <v>0</v>
      </c>
      <c r="DP70" s="198"/>
      <c r="DQ70" s="191">
        <f>COUNTIFS('MEP | Drawing List'!$I:$I,$B70,INDEX('MEP | Drawing List'!$L:$X,,MATCH('Design Fee'!DQ$8,'MEP | Drawing List'!$L$1:$X$1,0)),1)</f>
        <v>2</v>
      </c>
      <c r="DR70" s="191">
        <f>COUNTIFS('MEP | Drawing List'!$I:$I,$B70,INDEX('MEP | Drawing List'!$L:$X,,MATCH('Design Fee'!DR$8,'MEP | Drawing List'!$L$1:$X$1,0)),1)</f>
        <v>2</v>
      </c>
      <c r="DS70" s="191">
        <f>COUNTIFS('MEP | Drawing List'!$I:$I,$B70,INDEX('MEP | Drawing List'!$L:$X,,MATCH('Design Fee'!DS$8,'MEP | Drawing List'!$L$1:$X$1,0)),1)</f>
        <v>0</v>
      </c>
      <c r="DT70" s="191">
        <f>COUNTIFS('MEP | Drawing List'!$I:$I,$B70,INDEX('MEP | Drawing List'!$L:$X,,MATCH('Design Fee'!DT$8,'MEP | Drawing List'!$L$1:$X$1,0)),1)</f>
        <v>0</v>
      </c>
      <c r="DU70" s="191">
        <f>COUNTIFS('MEP | Drawing List'!$I:$I,$B70,INDEX('MEP | Drawing List'!$L:$X,,MATCH('Design Fee'!DU$8,'MEP | Drawing List'!$L$1:$X$1,0)),1)</f>
        <v>0</v>
      </c>
      <c r="DV70" s="207"/>
      <c r="DW70" s="198"/>
      <c r="DX70" s="239">
        <v>0</v>
      </c>
      <c r="DY70" s="222"/>
      <c r="DZ70" s="253"/>
      <c r="EA70" s="253">
        <f t="shared" si="251"/>
        <v>0</v>
      </c>
      <c r="EB70" s="254">
        <f>IFERROR(IF(EO70=100%,$DZ70,0),0)</f>
        <v>0</v>
      </c>
      <c r="EC70" s="255">
        <f>IFERROR(IF(AND((EO70+EP70)=100%,EO70&lt;1),$DZ70,0),0)</f>
        <v>0</v>
      </c>
      <c r="ED70" s="255">
        <f>IFERROR(IF(AND((ET70+EV70)=ES70,EB70=0),$DZ70,0),0)</f>
        <v>0</v>
      </c>
      <c r="EE70" s="255">
        <f>IFERROR(IF(AND((ET70+EV70+EW70)=ES70,EB70=0,ED70=0),$DZ70,0),0)</f>
        <v>0</v>
      </c>
      <c r="EF70" s="255">
        <f>IFERROR(IF(AND((ET70+EV70+EW70+EX70)=ES70,EB70=0,ED70=0,EE70=0),$DZ70,0),0)</f>
        <v>0</v>
      </c>
      <c r="EG70" s="255">
        <f>IFERROR(IF(AND((ET70+EV70+EW70+EX70+EY70)=ES70,EB70=0,ED70=0,EE70=0,EF70=0),$DZ70,0),0)</f>
        <v>0</v>
      </c>
      <c r="EH70" s="256"/>
      <c r="EI70" s="255">
        <f>IFERROR(IF(AND((EO70+EQ70)=100%,EO70&lt;1),$DZ70,0),0)</f>
        <v>0</v>
      </c>
      <c r="EJ70" s="255">
        <f>IFERROR(IF(AND((ET70+FB70)=ES70,EB70=0),$DZ70,0),0)</f>
        <v>0</v>
      </c>
      <c r="EK70" s="255">
        <f>IFERROR(IF(AND((ET70+FB70+FC70)=ES70,EB70=0,EJ70=0),$DZ70,0),0)</f>
        <v>0</v>
      </c>
      <c r="EL70" s="255">
        <f>IFERROR(IF(AND((ET70+FB70+FC70+FD70)=ES70,EB70=0,EJ70=0,EK70=0),$DZ70,0),0)</f>
        <v>0</v>
      </c>
      <c r="EM70" s="255">
        <f>IFERROR(IF(AND((ET70+FB70+FE70+FC70+FD70)=ES70,EB70=0,EJ70=0,EK70=0,EL70=0),$DZ70,0),0)</f>
        <v>0</v>
      </c>
      <c r="EN70" s="183"/>
      <c r="EO70" s="300">
        <f t="shared" si="269"/>
        <v>0</v>
      </c>
      <c r="EP70" s="300">
        <f t="shared" si="270"/>
        <v>0</v>
      </c>
      <c r="EQ70" s="300">
        <f t="shared" si="271"/>
        <v>0</v>
      </c>
      <c r="ER70" s="228"/>
      <c r="ES70" s="297">
        <f>COUNTIF('LS | Drawing List'!$H:$H,$B70)</f>
        <v>0</v>
      </c>
      <c r="ET70" s="191">
        <f>COUNTIFS('LS | Drawing List'!$H:$H,$B70,INDEX('LS | Drawing List'!$A:$V,,MATCH('Design Fee'!ET$8,'LS | Drawing List'!$A$1:$V$1,0)),1)</f>
        <v>0</v>
      </c>
      <c r="EU70" s="191">
        <f>COUNTIFS('LS | Drawing List'!$H:$H,$B70,INDEX('LS | Drawing List'!$K:$V,,MATCH('Design Fee'!EU$8,'LS | Drawing List'!$K$1:$V$1,0)),1)</f>
        <v>0</v>
      </c>
      <c r="EV70" s="191">
        <f>COUNTIFS('LS | Drawing List'!$H:$H,$B70,INDEX('LS | Drawing List'!$K:$V,,MATCH('Design Fee'!EV$8,'LS | Drawing List'!$K$1:$V$1,0)),1)</f>
        <v>0</v>
      </c>
      <c r="EW70" s="191">
        <f>COUNTIFS('LS | Drawing List'!$H:$H,$B70,INDEX('LS | Drawing List'!$K:$V,,MATCH('Design Fee'!EW$8,'LS | Drawing List'!$K$1:$V$1,0)),1)</f>
        <v>0</v>
      </c>
      <c r="EX70" s="191">
        <f>COUNTIFS('LS | Drawing List'!$H:$H,$B70,INDEX('LS | Drawing List'!$K:$V,,MATCH('Design Fee'!EX$8,'LS | Drawing List'!$K$1:$V$1,0)),1)</f>
        <v>0</v>
      </c>
      <c r="EY70" s="191">
        <f>COUNTIFS('LS | Drawing List'!$H:$H,$B70,INDEX('LS | Drawing List'!$K:$V,,MATCH('Design Fee'!EY$8,'LS | Drawing List'!$K$1:$V$1,0)),1)</f>
        <v>0</v>
      </c>
      <c r="EZ70" s="198"/>
      <c r="FA70" s="191">
        <f>COUNTIFS('LS | Drawing List'!$H:$H,$B70,INDEX('LS | Drawing List'!$K:$V,,MATCH('Design Fee'!FA$8,'LS | Drawing List'!$K$1:$V$1,0)),1)</f>
        <v>0</v>
      </c>
      <c r="FB70" s="191">
        <f>COUNTIFS('LS | Drawing List'!$H:$H,$B70,INDEX('LS | Drawing List'!$K:$V,,MATCH('Design Fee'!FB$8,'LS | Drawing List'!$K$1:$V$1,0)),1)</f>
        <v>0</v>
      </c>
      <c r="FC70" s="191">
        <f>COUNTIFS('LS | Drawing List'!$H:$H,$B70,INDEX('LS | Drawing List'!$K:$V,,MATCH('Design Fee'!FC$8,'LS | Drawing List'!$K$1:$V$1,0)),1)</f>
        <v>0</v>
      </c>
      <c r="FD70" s="191">
        <f>COUNTIFS('LS | Drawing List'!$H:$H,$B70,INDEX('LS | Drawing List'!$K:$V,,MATCH('Design Fee'!FD$8,'LS | Drawing List'!$K$1:$V$1,0)),1)</f>
        <v>0</v>
      </c>
      <c r="FE70" s="191">
        <f>COUNTIFS('LS | Drawing List'!$H:$H,$B70,INDEX('LS | Drawing List'!$K:$V,,MATCH('Design Fee'!FE$8,'LS | Drawing List'!$K$1:$V$1,0)),1)</f>
        <v>0</v>
      </c>
      <c r="FF70" s="207"/>
    </row>
    <row r="71" spans="2:162" ht="11.85" customHeight="1" outlineLevel="2">
      <c r="B71" s="459" t="s">
        <v>76</v>
      </c>
      <c r="C71" s="280" t="s">
        <v>161</v>
      </c>
      <c r="E71" s="253">
        <f t="shared" si="236"/>
        <v>0.74332999999999994</v>
      </c>
      <c r="F71" s="253">
        <f t="shared" si="236"/>
        <v>0.33432999999999991</v>
      </c>
      <c r="G71" s="254">
        <f t="shared" ref="G71" si="290">E71-F71</f>
        <v>0.40900000000000003</v>
      </c>
      <c r="H71" s="253">
        <f t="shared" si="238"/>
        <v>0</v>
      </c>
      <c r="I71" s="253">
        <f t="shared" si="238"/>
        <v>0.74332999999999994</v>
      </c>
      <c r="J71" s="253">
        <f t="shared" si="238"/>
        <v>0.74332999999999994</v>
      </c>
      <c r="K71" s="253">
        <f t="shared" si="238"/>
        <v>0</v>
      </c>
      <c r="L71" s="253">
        <f t="shared" si="238"/>
        <v>0</v>
      </c>
      <c r="M71" s="253">
        <f t="shared" si="238"/>
        <v>0</v>
      </c>
      <c r="N71" s="256"/>
      <c r="O71" s="253">
        <f t="shared" si="239"/>
        <v>0.33432999999999991</v>
      </c>
      <c r="P71" s="253">
        <f t="shared" si="239"/>
        <v>1.1032E-2</v>
      </c>
      <c r="Q71" s="253">
        <f t="shared" si="239"/>
        <v>0.32329799999999992</v>
      </c>
      <c r="R71" s="253">
        <f t="shared" si="239"/>
        <v>0</v>
      </c>
      <c r="S71" s="253">
        <f t="shared" si="239"/>
        <v>0</v>
      </c>
      <c r="T71" s="169"/>
      <c r="U71" s="183"/>
      <c r="V71" s="232">
        <v>0.1</v>
      </c>
      <c r="W71" s="222"/>
      <c r="X71" s="253">
        <f t="shared" ref="X71" si="291">$X$68/$V$68*V71</f>
        <v>0.40900000000000003</v>
      </c>
      <c r="Y71" s="253">
        <f t="shared" si="240"/>
        <v>0</v>
      </c>
      <c r="Z71" s="254">
        <f t="shared" ref="Z71" si="292">IFERROR(IF(AM71=100%,$X71,0),0)</f>
        <v>0</v>
      </c>
      <c r="AA71" s="255">
        <f t="shared" ref="AA71" si="293">IFERROR(IF(AND((AM71+AN71)=100%,AM71&lt;1),$X71,0),0)</f>
        <v>0.40900000000000003</v>
      </c>
      <c r="AB71" s="255">
        <f t="shared" ref="AB71" si="294">IFERROR(IF(AND((AR71+AT71)=AQ71,Z71=0),$X71,0),0)</f>
        <v>0.40900000000000003</v>
      </c>
      <c r="AC71" s="255">
        <f>IFERROR(IF(AND((AR71+AT71+AU71)=AQ71,Z71=0,AB71=0),$X71,0),0)</f>
        <v>0</v>
      </c>
      <c r="AD71" s="255">
        <f>IFERROR(IF(AND((AR71+AT71+AU71+AV71)=AQ71,Z71=0,AB71=0,AC71=0),$X71,0),0)</f>
        <v>0</v>
      </c>
      <c r="AE71" s="255">
        <f>IFERROR(IF(AND((AR71+AT71+AU71+AV71+AW71)=AQ71,Z71=0,AB71=0,AC71=0,AD71=0),$X71,0),0)</f>
        <v>0</v>
      </c>
      <c r="AF71" s="256"/>
      <c r="AG71" s="255">
        <f>IFERROR(IF(AND((AM71+AO71)=100%,AM71&lt;1),$X71,0),0)</f>
        <v>0</v>
      </c>
      <c r="AH71" s="255">
        <f>IFERROR(IF(AND((AR71+AZ71)=AQ71,Z71=0),$X71,0),0)</f>
        <v>0</v>
      </c>
      <c r="AI71" s="255">
        <f t="shared" ref="AI71" si="295">IFERROR(IF(AND((AR71+AZ71+BA71)=AQ71,Z71=0,AH71=0),$X71,0),0)</f>
        <v>0</v>
      </c>
      <c r="AJ71" s="255">
        <f t="shared" ref="AJ71" si="296">IFERROR(IF(AND((AR71+AZ71+BA71+BB71)=AQ71,Z71=0,AH71=0,AI71=0),$X71,0),0)</f>
        <v>0</v>
      </c>
      <c r="AK71" s="255">
        <f>IFERROR(IF(AND((AR71+AZ71+BC71+BA71+BB71)=AQ71,Z71=0,AH71=0,AI71=0,AJ71=0),$X71,0),0)</f>
        <v>0</v>
      </c>
      <c r="AL71" s="169"/>
      <c r="AM71" s="279">
        <f t="shared" ref="AM71" si="297">IFERROR(AR71/AQ71,0)</f>
        <v>0</v>
      </c>
      <c r="AN71" s="279">
        <f t="shared" ref="AN71" si="298">IFERROR(AS71/AQ71,0)</f>
        <v>1</v>
      </c>
      <c r="AO71" s="279">
        <f t="shared" ref="AO71" si="299">IFERROR(AY71/AQ71,0)</f>
        <v>0</v>
      </c>
      <c r="AP71" s="228"/>
      <c r="AQ71" s="364">
        <f>COUNTIF('AR | Drawing List'!$H:$H,$B71)</f>
        <v>1</v>
      </c>
      <c r="AR71" s="365">
        <f>COUNTIFS('AR | Drawing List'!$H:$H,$B71,INDEX('AR | Drawing List'!$A:$AT,,MATCH('Design Fee'!AR$8,'AR | Drawing List'!$A$1:$AT$1,0)),1)</f>
        <v>0</v>
      </c>
      <c r="AS71" s="365">
        <f>COUNTIFS('AR | Drawing List'!$H:$H,$B71,INDEX('AR | Drawing List'!$K:$AT,,MATCH('Design Fee'!AS$8,'AR | Drawing List'!$K$1:$AT$1,0)),1)</f>
        <v>1</v>
      </c>
      <c r="AT71" s="365">
        <f>COUNTIFS('AR | Drawing List'!$H:$H,$B71,INDEX('AR | Drawing List'!$K:$AT,,MATCH('Design Fee'!AT$8,'AR | Drawing List'!$K$1:$AT$1,0)),1)</f>
        <v>1</v>
      </c>
      <c r="AU71" s="365">
        <f>COUNTIFS('AR | Drawing List'!$H:$H,$B71,INDEX('AR | Drawing List'!$K:$AT,,MATCH('Design Fee'!AU$8,'AR | Drawing List'!$K$1:$AT$1,0)),1)</f>
        <v>0</v>
      </c>
      <c r="AV71" s="365">
        <f>COUNTIFS('AR | Drawing List'!$H:$H,$B71,INDEX('AR | Drawing List'!$K:$AT,,MATCH('Design Fee'!AV$8,'AR | Drawing List'!$K$1:$AT$1,0)),1)</f>
        <v>0</v>
      </c>
      <c r="AW71" s="365">
        <f>COUNTIFS('AR | Drawing List'!$H:$H,$B71,INDEX('AR | Drawing List'!$K:$AT,,MATCH('Design Fee'!AW$8,'AR | Drawing List'!$K$1:$AT$1,0)),1)</f>
        <v>0</v>
      </c>
      <c r="AX71" s="198"/>
      <c r="AY71" s="365">
        <f>COUNTIFS('AR | Drawing List'!$H:$H,$B71,INDEX('AR | Drawing List'!$K:$AT,,MATCH('Design Fee'!AY$8,'AR | Drawing List'!$K$1:$AT$1,0)),1)</f>
        <v>0</v>
      </c>
      <c r="AZ71" s="365">
        <f>COUNTIFS('AR | Drawing List'!$H:$H,$B71,INDEX('AR | Drawing List'!$K:$AT,,MATCH('Design Fee'!AZ$8,'AR | Drawing List'!$K$1:$AT$1,0)),1)</f>
        <v>0</v>
      </c>
      <c r="BA71" s="365">
        <f>COUNTIFS('AR | Drawing List'!$H:$H,$B71,INDEX('AR | Drawing List'!$K:$AT,,MATCH('Design Fee'!BA$8,'AR | Drawing List'!$K$1:$AT$1,0)),1)</f>
        <v>0</v>
      </c>
      <c r="BB71" s="365">
        <f>COUNTIFS('AR | Drawing List'!$H:$H,$B71,INDEX('AR | Drawing List'!$K:$AT,,MATCH('Design Fee'!BB$8,'AR | Drawing List'!$K$1:$AT$1,0)),1)</f>
        <v>0</v>
      </c>
      <c r="BC71" s="365">
        <f>COUNTIFS('AR | Drawing List'!$H:$H,$B71,INDEX('AR | Drawing List'!$K:$AT,,MATCH('Design Fee'!BC$8,'AR | Drawing List'!$K$1:$AT$1,0)),1)</f>
        <v>0</v>
      </c>
      <c r="BD71" s="198"/>
      <c r="BE71" s="232">
        <v>0.15</v>
      </c>
      <c r="BF71" s="222"/>
      <c r="BG71" s="253">
        <f t="shared" ref="BG71" si="300">($BG$68/$BE$68)*BE71</f>
        <v>0.32329799999999992</v>
      </c>
      <c r="BH71" s="253">
        <f>BI71+BP71</f>
        <v>0.32329799999999992</v>
      </c>
      <c r="BI71" s="254">
        <f t="shared" ref="BI71" si="301">IFERROR(IF(BV71=100%,$BG71,0),0)</f>
        <v>0</v>
      </c>
      <c r="BJ71" s="271">
        <f t="shared" ref="BJ71" si="302">IFERROR(IF(AND((BV71+BW71)=100%,BV71&lt;1),$BG71,0),0)</f>
        <v>0.32329799999999992</v>
      </c>
      <c r="BK71" s="255">
        <f t="shared" ref="BK71" si="303">IFERROR(IF(AND((CA71+CC71)=BZ71,BI71=0),$BG71,0),0)</f>
        <v>0.32329799999999992</v>
      </c>
      <c r="BL71" s="255">
        <f t="shared" ref="BL71" si="304">IFERROR(IF(AND((CA71+CC71+CD71)=BZ71,BI71=0,BK71=0),$BG71,0),0)</f>
        <v>0</v>
      </c>
      <c r="BM71" s="255">
        <f t="shared" ref="BM71" si="305">IFERROR(IF(AND((CA71+CC71+CD71+CE71)=BZ71,BI71=0,BK71=0,BL71=0),$BG71,0),0)</f>
        <v>0</v>
      </c>
      <c r="BN71" s="255">
        <f t="shared" ref="BN71" si="306">IFERROR(IF(AND((CA71+CC71+CD71+CE71+CF71)=BZ71,BI71=0,BK71=0,BL71=0,BM71=0),$BG71,0),0)</f>
        <v>0</v>
      </c>
      <c r="BO71" s="256"/>
      <c r="BP71" s="255">
        <f t="shared" ref="BP71" si="307">IFERROR(IF(AND((BV71+BX71)=100%,BV71&lt;1),$BG71,0),0)</f>
        <v>0.32329799999999992</v>
      </c>
      <c r="BQ71" s="255">
        <f t="shared" ref="BQ71" si="308">IFERROR(IF(AND((CA71+CI71)=BZ71,BI71=0),$BG71,0),0)</f>
        <v>0</v>
      </c>
      <c r="BR71" s="255">
        <f t="shared" ref="BR71" si="309">IFERROR(IF(AND((CA71+CI71+CJ71)=BZ71,BI71=0,BQ71=0),$BG71,0),0)</f>
        <v>0.32329799999999992</v>
      </c>
      <c r="BS71" s="255">
        <f t="shared" ref="BS71" si="310">IFERROR(IF(AND((CA71+CI71+CJ71+CK71)=BZ71,BI71=0,BQ71=0,BR71=0),$BG71,0),0)</f>
        <v>0</v>
      </c>
      <c r="BT71" s="255">
        <f t="shared" ref="BT71" si="311">IFERROR(IF(AND((CA71+CI71+CL71+CJ71+CK71)=BZ71,BI71=0,BQ71=0,BR71=0,BS71=0),$BG71,0),0)</f>
        <v>0</v>
      </c>
      <c r="BU71" s="169"/>
      <c r="BV71" s="279">
        <f t="shared" ref="BV71" si="312">IFERROR(CA71/BZ71,0)</f>
        <v>0</v>
      </c>
      <c r="BW71" s="279">
        <f t="shared" ref="BW71" si="313">IFERROR(CB71/BZ71,0)</f>
        <v>1</v>
      </c>
      <c r="BX71" s="279">
        <f t="shared" ref="BX71" si="314">IFERROR(CH71/BZ71,0)</f>
        <v>1</v>
      </c>
      <c r="BZ71" s="297">
        <f>COUNTIF('ST | Drawing List'!$G:$G,$B71)</f>
        <v>5</v>
      </c>
      <c r="CA71" s="191">
        <f>COUNTIFS('ST | Drawing List'!$G:$G,$B71,INDEX('ST | Drawing List'!$A:$U,,MATCH('Design Fee'!CA$8,'ST | Drawing List'!$A$1:$U$1,0)),1)</f>
        <v>0</v>
      </c>
      <c r="CB71" s="191">
        <f>COUNTIFS('ST | Drawing List'!$G:$G,$B71,INDEX('ST | Drawing List'!$J:$U,,MATCH('Design Fee'!CB$8,'ST | Drawing List'!$J$1:$U$1,0)),1)</f>
        <v>5</v>
      </c>
      <c r="CC71" s="191">
        <f>COUNTIFS('ST | Drawing List'!$G:$G,$B71,INDEX('ST | Drawing List'!$J:$U,,MATCH('Design Fee'!CC$8,'ST | Drawing List'!$J$1:$U$1,0)),1)</f>
        <v>5</v>
      </c>
      <c r="CD71" s="191">
        <f>COUNTIFS('ST | Drawing List'!$G:$G,$B71,INDEX('ST | Drawing List'!$J:$U,,MATCH('Design Fee'!CD$8,'ST | Drawing List'!$J$1:$U$1,0)),1)</f>
        <v>0</v>
      </c>
      <c r="CE71" s="191">
        <f>COUNTIFS('ST | Drawing List'!$G:$G,$B71,INDEX('ST | Drawing List'!$J:$U,,MATCH('Design Fee'!CE$8,'ST | Drawing List'!$J$1:$U$1,0)),1)</f>
        <v>0</v>
      </c>
      <c r="CF71" s="191">
        <f>COUNTIFS('ST | Drawing List'!$G:$G,$B71,INDEX('ST | Drawing List'!$J:$U,,MATCH('Design Fee'!CF$8,'ST | Drawing List'!$J$1:$U$1,0)),1)</f>
        <v>0</v>
      </c>
      <c r="CG71" s="198"/>
      <c r="CH71" s="191">
        <f>COUNTIFS('ST | Drawing List'!$G:$G,$B71,INDEX('ST | Drawing List'!$J:$U,,MATCH('Design Fee'!CH$8,'ST | Drawing List'!$J$1:$U$1,0)),1)</f>
        <v>5</v>
      </c>
      <c r="CI71" s="191">
        <f>COUNTIFS('ST | Drawing List'!$G:$G,$B71,INDEX('ST | Drawing List'!$J:$U,,MATCH('Design Fee'!CI$8,'ST | Drawing List'!$J$1:$U$1,0)),1)</f>
        <v>2</v>
      </c>
      <c r="CJ71" s="191">
        <f>COUNTIFS('ST | Drawing List'!$G:$G,$B71,INDEX('ST | Drawing List'!$J:$U,,MATCH('Design Fee'!CJ$8,'ST | Drawing List'!$J$1:$U$1,0)),1)</f>
        <v>3</v>
      </c>
      <c r="CK71" s="191">
        <f>COUNTIFS('ST | Drawing List'!$G:$G,$B71,INDEX('ST | Drawing List'!$J:$U,,MATCH('Design Fee'!CK$8,'ST | Drawing List'!$J$1:$U$1,0)),1)</f>
        <v>0</v>
      </c>
      <c r="CL71" s="191">
        <f>COUNTIFS('ST | Drawing List'!$G:$G,$B71,INDEX('ST | Drawing List'!$J:$U,,MATCH('Design Fee'!CL$8,'ST | Drawing List'!$J$1:$U$1,0)),1)</f>
        <v>0</v>
      </c>
      <c r="CM71" s="198"/>
      <c r="CN71" s="232">
        <v>0.1</v>
      </c>
      <c r="CO71" s="222"/>
      <c r="CP71" s="253">
        <f t="shared" ref="CP71" si="315">$CP$68/$CN$68*CN71</f>
        <v>1.1032E-2</v>
      </c>
      <c r="CQ71" s="253">
        <f t="shared" si="247"/>
        <v>1.1032E-2</v>
      </c>
      <c r="CR71" s="254">
        <f>IFERROR(IF(DE71=100%,$CP71,0),0)</f>
        <v>0</v>
      </c>
      <c r="CS71" s="255">
        <f>IFERROR(IF(AND((DE71+DF71)=100%,DE71&lt;1),$CP71,0),0)</f>
        <v>1.1032E-2</v>
      </c>
      <c r="CT71" s="255">
        <f>IFERROR(IF(AND((DJ71+DL71)=DI71,CR71=0),$CP71,0),0)</f>
        <v>1.1032E-2</v>
      </c>
      <c r="CU71" s="255">
        <f>IFERROR(IF(AND((DJ71+DL71+DM71)=DI71,CR71=0,CT71=0),$CP71,0),0)</f>
        <v>0</v>
      </c>
      <c r="CV71" s="255">
        <f>IFERROR(IF(AND((DJ71+DL71+DM71+DN71)=DI71,CR71=0,CT71=0,CU71=0),$CP71,0),0)</f>
        <v>0</v>
      </c>
      <c r="CW71" s="255">
        <f>IFERROR(IF(AND((DJ71+DL71+DM71+DN71+DO71)=DI71,CR71=0,CT71=0,CU71=0,CV71=0),$CP71,0),0)</f>
        <v>0</v>
      </c>
      <c r="CX71" s="256"/>
      <c r="CY71" s="255">
        <f>IFERROR(IF(AND((DE71+DG71)=100%,DE71&lt;1),$CP71,0),0)</f>
        <v>1.1032E-2</v>
      </c>
      <c r="CZ71" s="255">
        <f>IFERROR(IF(AND((DJ71+DR71)=DI71,CR71=0),$CP71,0),0)</f>
        <v>1.1032E-2</v>
      </c>
      <c r="DA71" s="255">
        <f>IFERROR(IF(AND((DJ71+DR71+DS71)=DI71,CR71=0,CZ71=0),$CP71,0),0)</f>
        <v>0</v>
      </c>
      <c r="DB71" s="255">
        <f>IFERROR(IF(AND((DJ71+DR71+DS71+DT71)=DI71,CR71=0,CZ71=0,DA71=0),$CP71,0),0)</f>
        <v>0</v>
      </c>
      <c r="DC71" s="255">
        <f>IFERROR(IF(AND((DJ71+DR71+DU71+DS71+DT71)=DI71,CR71=0,CZ71=0,DA71=0,DB71=0),$CP71,0),0)</f>
        <v>0</v>
      </c>
      <c r="DD71" s="183"/>
      <c r="DE71" s="300">
        <f t="shared" ref="DE71" si="316">IFERROR(DJ71/DI71,0)</f>
        <v>0.89473684210526316</v>
      </c>
      <c r="DF71" s="300">
        <f t="shared" ref="DF71" si="317">IFERROR(DK71/DI71,0)</f>
        <v>0.10526315789473684</v>
      </c>
      <c r="DG71" s="300">
        <f t="shared" ref="DG71" si="318">IFERROR(DQ71/DI71,0)</f>
        <v>0.10526315789473684</v>
      </c>
      <c r="DH71" s="228"/>
      <c r="DI71" s="297">
        <f>COUNTIF('MEP | Drawing List'!$I:$I,$B71)</f>
        <v>38</v>
      </c>
      <c r="DJ71" s="191">
        <f>COUNTIFS('MEP | Drawing List'!$I:$I,$B71,INDEX('MEP | Drawing List'!$B:$X,,MATCH('Design Fee'!DJ$8,'MEP | Drawing List'!$B$1:$X$1,0)),1)</f>
        <v>34</v>
      </c>
      <c r="DK71" s="191">
        <f>COUNTIFS('MEP | Drawing List'!$I:$I,$B71,INDEX('MEP | Drawing List'!$L:$X,,MATCH('Design Fee'!DK$8,'MEP | Drawing List'!$L$1:$X$1,0)),1)</f>
        <v>4</v>
      </c>
      <c r="DL71" s="191">
        <f>COUNTIFS('MEP | Drawing List'!$I:$I,$B71,INDEX('MEP | Drawing List'!$L:$X,,MATCH('Design Fee'!DL$8,'MEP | Drawing List'!$L$1:$X$1,0)),1)</f>
        <v>4</v>
      </c>
      <c r="DM71" s="191">
        <f>COUNTIFS('MEP | Drawing List'!$I:$I,$B71,INDEX('MEP | Drawing List'!$L:$X,,MATCH('Design Fee'!DM$8,'MEP | Drawing List'!$L$1:$X$1,0)),1)</f>
        <v>0</v>
      </c>
      <c r="DN71" s="191">
        <f>COUNTIFS('MEP | Drawing List'!$I:$I,$B71,INDEX('MEP | Drawing List'!$L:$X,,MATCH('Design Fee'!DN$8,'MEP | Drawing List'!$L$1:$X$1,0)),1)</f>
        <v>0</v>
      </c>
      <c r="DO71" s="191">
        <f>COUNTIFS('MEP | Drawing List'!$I:$I,$B71,INDEX('MEP | Drawing List'!$L:$X,,MATCH('Design Fee'!DO$8,'MEP | Drawing List'!$L$1:$X$1,0)),1)</f>
        <v>0</v>
      </c>
      <c r="DP71" s="198"/>
      <c r="DQ71" s="191">
        <f>COUNTIFS('MEP | Drawing List'!$I:$I,$B71,INDEX('MEP | Drawing List'!$L:$X,,MATCH('Design Fee'!DQ$8,'MEP | Drawing List'!$L$1:$X$1,0)),1)</f>
        <v>4</v>
      </c>
      <c r="DR71" s="191">
        <f>COUNTIFS('MEP | Drawing List'!$I:$I,$B71,INDEX('MEP | Drawing List'!$L:$X,,MATCH('Design Fee'!DR$8,'MEP | Drawing List'!$L$1:$X$1,0)),1)</f>
        <v>4</v>
      </c>
      <c r="DS71" s="191">
        <f>COUNTIFS('MEP | Drawing List'!$I:$I,$B71,INDEX('MEP | Drawing List'!$L:$X,,MATCH('Design Fee'!DS$8,'MEP | Drawing List'!$L$1:$X$1,0)),1)</f>
        <v>0</v>
      </c>
      <c r="DT71" s="191">
        <f>COUNTIFS('MEP | Drawing List'!$I:$I,$B71,INDEX('MEP | Drawing List'!$L:$X,,MATCH('Design Fee'!DT$8,'MEP | Drawing List'!$L$1:$X$1,0)),1)</f>
        <v>0</v>
      </c>
      <c r="DU71" s="191">
        <f>COUNTIFS('MEP | Drawing List'!$I:$I,$B71,INDEX('MEP | Drawing List'!$L:$X,,MATCH('Design Fee'!DU$8,'MEP | Drawing List'!$L$1:$X$1,0)),1)</f>
        <v>0</v>
      </c>
      <c r="DV71" s="258"/>
      <c r="DW71" s="198"/>
      <c r="DX71" s="239">
        <v>0</v>
      </c>
      <c r="DY71" s="222"/>
      <c r="DZ71" s="253"/>
      <c r="EA71" s="253">
        <f t="shared" si="251"/>
        <v>0</v>
      </c>
      <c r="EB71" s="254">
        <f>IFERROR(IF(EO71=100%,$DZ71,0),0)</f>
        <v>0</v>
      </c>
      <c r="EC71" s="255">
        <f>IFERROR(IF(AND((EO71+EP71)=100%,EO71&lt;1),$DZ71,0),0)</f>
        <v>0</v>
      </c>
      <c r="ED71" s="255">
        <f>IFERROR(IF(AND((ET71+EV71)=ES71,EB71=0),$DZ71,0),0)</f>
        <v>0</v>
      </c>
      <c r="EE71" s="255">
        <f>IFERROR(IF(AND((ET71+EV71+EW71)=ES71,EB71=0,ED71=0),$DZ71,0),0)</f>
        <v>0</v>
      </c>
      <c r="EF71" s="255">
        <f>IFERROR(IF(AND((ET71+EV71+EW71+EX71)=ES71,EB71=0,ED71=0,EE71=0),$DZ71,0),0)</f>
        <v>0</v>
      </c>
      <c r="EG71" s="255">
        <f>IFERROR(IF(AND((ET71+EV71+EW71+EX71+EY71)=ES71,EB71=0,ED71=0,EE71=0,EF71=0),$DZ71,0),0)</f>
        <v>0</v>
      </c>
      <c r="EH71" s="256"/>
      <c r="EI71" s="255">
        <f>IFERROR(IF(AND((EO71+EQ71)=100%,EO71&lt;1),$DZ71,0),0)</f>
        <v>0</v>
      </c>
      <c r="EJ71" s="255">
        <f>IFERROR(IF(AND((ET71+FB71)=ES71,EB71=0),$DZ71,0),0)</f>
        <v>0</v>
      </c>
      <c r="EK71" s="255">
        <f>IFERROR(IF(AND((ET71+FB71+FC71)=ES71,EB71=0,EJ71=0),$DZ71,0),0)</f>
        <v>0</v>
      </c>
      <c r="EL71" s="255">
        <f>IFERROR(IF(AND((ET71+FB71+FC71+FD71)=ES71,EB71=0,EJ71=0,EK71=0),$DZ71,0),0)</f>
        <v>0</v>
      </c>
      <c r="EM71" s="255">
        <f>IFERROR(IF(AND((ET71+FB71+FE71+FC71+FD71)=ES71,EB71=0,EJ71=0,EK71=0,EL71=0),$DZ71,0),0)</f>
        <v>0</v>
      </c>
      <c r="EN71" s="183"/>
      <c r="EO71" s="300">
        <f t="shared" ref="EO71" si="319">IFERROR(ET71/ES71,0)</f>
        <v>0</v>
      </c>
      <c r="EP71" s="300">
        <f t="shared" ref="EP71" si="320">IFERROR(EU71/ES71,0)</f>
        <v>0</v>
      </c>
      <c r="EQ71" s="300">
        <f t="shared" ref="EQ71" si="321">IFERROR(FA71/ES71,0)</f>
        <v>0</v>
      </c>
      <c r="ER71" s="228"/>
      <c r="ES71" s="297">
        <f>COUNTIF('LS | Drawing List'!$H:$H,$B71)</f>
        <v>0</v>
      </c>
      <c r="ET71" s="191">
        <f>COUNTIFS('LS | Drawing List'!$H:$H,$B71,INDEX('LS | Drawing List'!$A:$V,,MATCH('Design Fee'!ET$8,'LS | Drawing List'!$A$1:$V$1,0)),1)</f>
        <v>0</v>
      </c>
      <c r="EU71" s="191">
        <f>COUNTIFS('LS | Drawing List'!$H:$H,$B71,INDEX('LS | Drawing List'!$K:$V,,MATCH('Design Fee'!EU$8,'LS | Drawing List'!$K$1:$V$1,0)),1)</f>
        <v>0</v>
      </c>
      <c r="EV71" s="191">
        <f>COUNTIFS('LS | Drawing List'!$H:$H,$B71,INDEX('LS | Drawing List'!$K:$V,,MATCH('Design Fee'!EV$8,'LS | Drawing List'!$K$1:$V$1,0)),1)</f>
        <v>0</v>
      </c>
      <c r="EW71" s="191">
        <f>COUNTIFS('LS | Drawing List'!$H:$H,$B71,INDEX('LS | Drawing List'!$K:$V,,MATCH('Design Fee'!EW$8,'LS | Drawing List'!$K$1:$V$1,0)),1)</f>
        <v>0</v>
      </c>
      <c r="EX71" s="191">
        <f>COUNTIFS('LS | Drawing List'!$H:$H,$B71,INDEX('LS | Drawing List'!$K:$V,,MATCH('Design Fee'!EX$8,'LS | Drawing List'!$K$1:$V$1,0)),1)</f>
        <v>0</v>
      </c>
      <c r="EY71" s="191">
        <f>COUNTIFS('LS | Drawing List'!$H:$H,$B71,INDEX('LS | Drawing List'!$K:$V,,MATCH('Design Fee'!EY$8,'LS | Drawing List'!$K$1:$V$1,0)),1)</f>
        <v>0</v>
      </c>
      <c r="EZ71" s="198"/>
      <c r="FA71" s="191">
        <f>COUNTIFS('LS | Drawing List'!$H:$H,$B71,INDEX('LS | Drawing List'!$K:$V,,MATCH('Design Fee'!FA$8,'LS | Drawing List'!$K$1:$V$1,0)),1)</f>
        <v>0</v>
      </c>
      <c r="FB71" s="191">
        <f>COUNTIFS('LS | Drawing List'!$H:$H,$B71,INDEX('LS | Drawing List'!$K:$V,,MATCH('Design Fee'!FB$8,'LS | Drawing List'!$K$1:$V$1,0)),1)</f>
        <v>0</v>
      </c>
      <c r="FC71" s="191">
        <f>COUNTIFS('LS | Drawing List'!$H:$H,$B71,INDEX('LS | Drawing List'!$K:$V,,MATCH('Design Fee'!FC$8,'LS | Drawing List'!$K$1:$V$1,0)),1)</f>
        <v>0</v>
      </c>
      <c r="FD71" s="191">
        <f>COUNTIFS('LS | Drawing List'!$H:$H,$B71,INDEX('LS | Drawing List'!$K:$V,,MATCH('Design Fee'!FD$8,'LS | Drawing List'!$K$1:$V$1,0)),1)</f>
        <v>0</v>
      </c>
      <c r="FE71" s="191">
        <f>COUNTIFS('LS | Drawing List'!$H:$H,$B71,INDEX('LS | Drawing List'!$K:$V,,MATCH('Design Fee'!FE$8,'LS | Drawing List'!$K$1:$V$1,0)),1)</f>
        <v>0</v>
      </c>
      <c r="FF71" s="258"/>
    </row>
    <row r="72" spans="2:162" ht="11.85" customHeight="1" outlineLevel="2">
      <c r="B72" s="459" t="s">
        <v>78</v>
      </c>
      <c r="C72" s="280" t="s">
        <v>77</v>
      </c>
      <c r="E72" s="253">
        <f t="shared" si="236"/>
        <v>1.0721439999999998</v>
      </c>
      <c r="F72" s="253">
        <f t="shared" si="236"/>
        <v>2.758E-2</v>
      </c>
      <c r="G72" s="254">
        <f t="shared" si="255"/>
        <v>1.0445639999999998</v>
      </c>
      <c r="H72" s="253">
        <f t="shared" si="238"/>
        <v>2.758E-2</v>
      </c>
      <c r="I72" s="253">
        <f t="shared" si="238"/>
        <v>1.0445639999999998</v>
      </c>
      <c r="J72" s="253">
        <f t="shared" si="238"/>
        <v>1.0445639999999998</v>
      </c>
      <c r="K72" s="253">
        <f t="shared" si="238"/>
        <v>0</v>
      </c>
      <c r="L72" s="253">
        <f t="shared" si="238"/>
        <v>0</v>
      </c>
      <c r="M72" s="253">
        <f t="shared" si="238"/>
        <v>0</v>
      </c>
      <c r="N72" s="256"/>
      <c r="O72" s="253">
        <f t="shared" si="239"/>
        <v>0</v>
      </c>
      <c r="P72" s="253">
        <f t="shared" si="239"/>
        <v>0</v>
      </c>
      <c r="Q72" s="253">
        <f t="shared" si="239"/>
        <v>0</v>
      </c>
      <c r="R72" s="253">
        <f t="shared" si="239"/>
        <v>0</v>
      </c>
      <c r="S72" s="253">
        <f t="shared" si="239"/>
        <v>0</v>
      </c>
      <c r="T72" s="169"/>
      <c r="U72" s="183"/>
      <c r="V72" s="232">
        <v>0.15</v>
      </c>
      <c r="W72" s="222"/>
      <c r="X72" s="253">
        <f t="shared" si="272"/>
        <v>0.61349999999999993</v>
      </c>
      <c r="Y72" s="253">
        <f t="shared" si="240"/>
        <v>0</v>
      </c>
      <c r="Z72" s="254">
        <f t="shared" si="256"/>
        <v>0</v>
      </c>
      <c r="AA72" s="255">
        <f t="shared" si="257"/>
        <v>0.61349999999999993</v>
      </c>
      <c r="AB72" s="255">
        <f t="shared" si="273"/>
        <v>0.61349999999999993</v>
      </c>
      <c r="AC72" s="255">
        <f>IFERROR(IF(AND((AR72+AT72+AU72)=AQ72,Z72=0,AB72=0),$X72,0),0)</f>
        <v>0</v>
      </c>
      <c r="AD72" s="255">
        <f>IFERROR(IF(AND((AR72+AT72+AU72+AV72)=AQ72,Z72=0,AB72=0,AC72=0),$X72,0),0)</f>
        <v>0</v>
      </c>
      <c r="AE72" s="255">
        <f>IFERROR(IF(AND((AR72+AT72+AU72+AV72+AW72)=AQ72,Z72=0,AB72=0,AC72=0,AD72=0),$X72,0),0)</f>
        <v>0</v>
      </c>
      <c r="AF72" s="256"/>
      <c r="AG72" s="255">
        <f>IFERROR(IF(AND((AM72+AO72)=100%,AM72&lt;1),$X72,0),0)</f>
        <v>0</v>
      </c>
      <c r="AH72" s="255">
        <f>IFERROR(IF(AND((AR72+AZ72)=AQ72,Z72=0),$X72,0),0)</f>
        <v>0</v>
      </c>
      <c r="AI72" s="255">
        <f t="shared" si="258"/>
        <v>0</v>
      </c>
      <c r="AJ72" s="255">
        <f t="shared" si="259"/>
        <v>0</v>
      </c>
      <c r="AK72" s="255">
        <f>IFERROR(IF(AND((AR72+AZ72+BC72+BA72+BB72)=AQ72,Z72=0,AH72=0,AI72=0,AJ72=0),$X72,0),0)</f>
        <v>0</v>
      </c>
      <c r="AL72" s="169"/>
      <c r="AM72" s="279">
        <f t="shared" si="260"/>
        <v>0</v>
      </c>
      <c r="AN72" s="279">
        <f t="shared" si="261"/>
        <v>1</v>
      </c>
      <c r="AO72" s="279">
        <f t="shared" si="262"/>
        <v>0</v>
      </c>
      <c r="AP72" s="228"/>
      <c r="AQ72" s="364">
        <f>COUNTIF('AR | Drawing List'!$H:$H,$B72)</f>
        <v>1</v>
      </c>
      <c r="AR72" s="365">
        <f>COUNTIFS('AR | Drawing List'!$H:$H,$B72,INDEX('AR | Drawing List'!$A:$AT,,MATCH('Design Fee'!AR$8,'AR | Drawing List'!$A$1:$AT$1,0)),1)</f>
        <v>0</v>
      </c>
      <c r="AS72" s="365">
        <f>COUNTIFS('AR | Drawing List'!$H:$H,$B72,INDEX('AR | Drawing List'!$K:$AT,,MATCH('Design Fee'!AS$8,'AR | Drawing List'!$K$1:$AT$1,0)),1)</f>
        <v>1</v>
      </c>
      <c r="AT72" s="365">
        <f>COUNTIFS('AR | Drawing List'!$H:$H,$B72,INDEX('AR | Drawing List'!$K:$AT,,MATCH('Design Fee'!AT$8,'AR | Drawing List'!$K$1:$AT$1,0)),1)</f>
        <v>1</v>
      </c>
      <c r="AU72" s="365">
        <f>COUNTIFS('AR | Drawing List'!$H:$H,$B72,INDEX('AR | Drawing List'!$K:$AT,,MATCH('Design Fee'!AU$8,'AR | Drawing List'!$K$1:$AT$1,0)),1)</f>
        <v>0</v>
      </c>
      <c r="AV72" s="365">
        <f>COUNTIFS('AR | Drawing List'!$H:$H,$B72,INDEX('AR | Drawing List'!$K:$AT,,MATCH('Design Fee'!AV$8,'AR | Drawing List'!$K$1:$AT$1,0)),1)</f>
        <v>0</v>
      </c>
      <c r="AW72" s="365">
        <f>COUNTIFS('AR | Drawing List'!$H:$H,$B72,INDEX('AR | Drawing List'!$K:$AT,,MATCH('Design Fee'!AW$8,'AR | Drawing List'!$K$1:$AT$1,0)),1)</f>
        <v>0</v>
      </c>
      <c r="AX72" s="198"/>
      <c r="AY72" s="365">
        <f>COUNTIFS('AR | Drawing List'!$H:$H,$B72,INDEX('AR | Drawing List'!$K:$AT,,MATCH('Design Fee'!AY$8,'AR | Drawing List'!$K$1:$AT$1,0)),1)</f>
        <v>0</v>
      </c>
      <c r="AZ72" s="365">
        <f>COUNTIFS('AR | Drawing List'!$H:$H,$B72,INDEX('AR | Drawing List'!$K:$AT,,MATCH('Design Fee'!AZ$8,'AR | Drawing List'!$K$1:$AT$1,0)),1)</f>
        <v>0</v>
      </c>
      <c r="BA72" s="365">
        <f>COUNTIFS('AR | Drawing List'!$H:$H,$B72,INDEX('AR | Drawing List'!$K:$AT,,MATCH('Design Fee'!BA$8,'AR | Drawing List'!$K$1:$AT$1,0)),1)</f>
        <v>0</v>
      </c>
      <c r="BB72" s="365">
        <f>COUNTIFS('AR | Drawing List'!$H:$H,$B72,INDEX('AR | Drawing List'!$K:$AT,,MATCH('Design Fee'!BB$8,'AR | Drawing List'!$K$1:$AT$1,0)),1)</f>
        <v>0</v>
      </c>
      <c r="BC72" s="365">
        <f>COUNTIFS('AR | Drawing List'!$H:$H,$B72,INDEX('AR | Drawing List'!$K:$AT,,MATCH('Design Fee'!BC$8,'AR | Drawing List'!$K$1:$AT$1,0)),1)</f>
        <v>0</v>
      </c>
      <c r="BD72" s="198"/>
      <c r="BE72" s="232">
        <v>0.2</v>
      </c>
      <c r="BF72" s="222"/>
      <c r="BG72" s="253">
        <f t="shared" si="274"/>
        <v>0.43106399999999995</v>
      </c>
      <c r="BH72" s="253">
        <f t="shared" si="243"/>
        <v>0</v>
      </c>
      <c r="BI72" s="254">
        <f t="shared" si="275"/>
        <v>0</v>
      </c>
      <c r="BJ72" s="271">
        <f t="shared" si="276"/>
        <v>0.43106399999999995</v>
      </c>
      <c r="BK72" s="255">
        <f t="shared" si="277"/>
        <v>0.43106399999999995</v>
      </c>
      <c r="BL72" s="255">
        <f t="shared" si="278"/>
        <v>0</v>
      </c>
      <c r="BM72" s="255">
        <f t="shared" si="279"/>
        <v>0</v>
      </c>
      <c r="BN72" s="255">
        <f t="shared" si="280"/>
        <v>0</v>
      </c>
      <c r="BO72" s="256"/>
      <c r="BP72" s="255">
        <f t="shared" si="281"/>
        <v>0</v>
      </c>
      <c r="BQ72" s="255">
        <f t="shared" si="282"/>
        <v>0</v>
      </c>
      <c r="BR72" s="255">
        <f t="shared" si="283"/>
        <v>0</v>
      </c>
      <c r="BS72" s="255">
        <f t="shared" si="284"/>
        <v>0</v>
      </c>
      <c r="BT72" s="255">
        <f t="shared" si="285"/>
        <v>0</v>
      </c>
      <c r="BU72" s="169"/>
      <c r="BV72" s="279">
        <f t="shared" si="286"/>
        <v>0</v>
      </c>
      <c r="BW72" s="279">
        <f t="shared" si="287"/>
        <v>1</v>
      </c>
      <c r="BX72" s="279">
        <f t="shared" si="288"/>
        <v>0</v>
      </c>
      <c r="BZ72" s="297">
        <f>COUNTIF('ST | Drawing List'!$G:$G,$B72)</f>
        <v>3</v>
      </c>
      <c r="CA72" s="191">
        <f>COUNTIFS('ST | Drawing List'!$G:$G,$B72,INDEX('ST | Drawing List'!$A:$U,,MATCH('Design Fee'!CA$8,'ST | Drawing List'!$A$1:$U$1,0)),1)</f>
        <v>0</v>
      </c>
      <c r="CB72" s="191">
        <f>COUNTIFS('ST | Drawing List'!$G:$G,$B72,INDEX('ST | Drawing List'!$J:$U,,MATCH('Design Fee'!CB$8,'ST | Drawing List'!$J$1:$U$1,0)),1)</f>
        <v>3</v>
      </c>
      <c r="CC72" s="191">
        <f>COUNTIFS('ST | Drawing List'!$G:$G,$B72,INDEX('ST | Drawing List'!$J:$U,,MATCH('Design Fee'!CC$8,'ST | Drawing List'!$J$1:$U$1,0)),1)</f>
        <v>3</v>
      </c>
      <c r="CD72" s="191">
        <f>COUNTIFS('ST | Drawing List'!$G:$G,$B72,INDEX('ST | Drawing List'!$J:$U,,MATCH('Design Fee'!CD$8,'ST | Drawing List'!$J$1:$U$1,0)),1)</f>
        <v>0</v>
      </c>
      <c r="CE72" s="191">
        <f>COUNTIFS('ST | Drawing List'!$G:$G,$B72,INDEX('ST | Drawing List'!$J:$U,,MATCH('Design Fee'!CE$8,'ST | Drawing List'!$J$1:$U$1,0)),1)</f>
        <v>0</v>
      </c>
      <c r="CF72" s="191">
        <f>COUNTIFS('ST | Drawing List'!$G:$G,$B72,INDEX('ST | Drawing List'!$J:$U,,MATCH('Design Fee'!CF$8,'ST | Drawing List'!$J$1:$U$1,0)),1)</f>
        <v>0</v>
      </c>
      <c r="CG72" s="198"/>
      <c r="CH72" s="191">
        <f>COUNTIFS('ST | Drawing List'!$G:$G,$B72,INDEX('ST | Drawing List'!$J:$U,,MATCH('Design Fee'!CH$8,'ST | Drawing List'!$J$1:$U$1,0)),1)</f>
        <v>0</v>
      </c>
      <c r="CI72" s="191">
        <f>COUNTIFS('ST | Drawing List'!$G:$G,$B72,INDEX('ST | Drawing List'!$J:$U,,MATCH('Design Fee'!CI$8,'ST | Drawing List'!$J$1:$U$1,0)),1)</f>
        <v>0</v>
      </c>
      <c r="CJ72" s="191">
        <f>COUNTIFS('ST | Drawing List'!$G:$G,$B72,INDEX('ST | Drawing List'!$J:$U,,MATCH('Design Fee'!CJ$8,'ST | Drawing List'!$J$1:$U$1,0)),1)</f>
        <v>0</v>
      </c>
      <c r="CK72" s="191">
        <f>COUNTIFS('ST | Drawing List'!$G:$G,$B72,INDEX('ST | Drawing List'!$J:$U,,MATCH('Design Fee'!CK$8,'ST | Drawing List'!$J$1:$U$1,0)),1)</f>
        <v>0</v>
      </c>
      <c r="CL72" s="191">
        <f>COUNTIFS('ST | Drawing List'!$G:$G,$B72,INDEX('ST | Drawing List'!$J:$U,,MATCH('Design Fee'!CL$8,'ST | Drawing List'!$J$1:$U$1,0)),1)</f>
        <v>0</v>
      </c>
      <c r="CM72" s="198"/>
      <c r="CN72" s="232">
        <v>0.25</v>
      </c>
      <c r="CO72" s="222"/>
      <c r="CP72" s="253">
        <f t="shared" si="289"/>
        <v>2.758E-2</v>
      </c>
      <c r="CQ72" s="253">
        <f t="shared" si="247"/>
        <v>2.758E-2</v>
      </c>
      <c r="CR72" s="254">
        <f>IFERROR(IF(DE72=100%,$CP72,0),0)</f>
        <v>2.758E-2</v>
      </c>
      <c r="CS72" s="255">
        <f>IFERROR(IF(AND((DE72+DF72)=100%,DE72&lt;1),$CP72,0),0)</f>
        <v>0</v>
      </c>
      <c r="CT72" s="255">
        <f>IFERROR(IF(AND((DJ72+DL72)=DI72,CR72=0),$CP72,0),0)</f>
        <v>0</v>
      </c>
      <c r="CU72" s="255">
        <f>IFERROR(IF(AND((DJ72+DL72+DM72)=DI72,CR72=0,CT72=0),$CP72,0),0)</f>
        <v>0</v>
      </c>
      <c r="CV72" s="255">
        <f>IFERROR(IF(AND((DJ72+DL72+DM72+DN72)=DI72,CR72=0,CT72=0,CU72=0),$CP72,0),0)</f>
        <v>0</v>
      </c>
      <c r="CW72" s="255">
        <f>IFERROR(IF(AND((DJ72+DL72+DM72+DN72+DO72)=DI72,CR72=0,CT72=0,CU72=0,CV72=0),$CP72,0),0)</f>
        <v>0</v>
      </c>
      <c r="CX72" s="256"/>
      <c r="CY72" s="255">
        <f>IFERROR(IF(AND((DE72+DG72)=100%,DE72&lt;1),$CP72,0),0)</f>
        <v>0</v>
      </c>
      <c r="CZ72" s="255">
        <f>IFERROR(IF(AND((DJ72+DR72)=DI72,CR72=0),$CP72,0),0)</f>
        <v>0</v>
      </c>
      <c r="DA72" s="255">
        <f>IFERROR(IF(AND((DJ72+DR72+DS72)=DI72,CR72=0,CZ72=0),$CP72,0),0)</f>
        <v>0</v>
      </c>
      <c r="DB72" s="255">
        <f>IFERROR(IF(AND((DJ72+DR72+DS72+DT72)=DI72,CR72=0,CZ72=0,DA72=0),$CP72,0),0)</f>
        <v>0</v>
      </c>
      <c r="DC72" s="255">
        <f>IFERROR(IF(AND((DJ72+DR72+DU72+DS72+DT72)=DI72,CR72=0,CZ72=0,DA72=0,DB72=0),$CP72,0),0)</f>
        <v>0</v>
      </c>
      <c r="DD72" s="183"/>
      <c r="DE72" s="300">
        <f t="shared" si="266"/>
        <v>1</v>
      </c>
      <c r="DF72" s="300">
        <f t="shared" si="267"/>
        <v>0</v>
      </c>
      <c r="DG72" s="300">
        <f t="shared" si="268"/>
        <v>0</v>
      </c>
      <c r="DH72" s="228"/>
      <c r="DI72" s="297">
        <f>COUNTIF('MEP | Drawing List'!$I:$I,$B72)</f>
        <v>5</v>
      </c>
      <c r="DJ72" s="191">
        <f>COUNTIFS('MEP | Drawing List'!$I:$I,$B72,INDEX('MEP | Drawing List'!$B:$X,,MATCH('Design Fee'!DJ$8,'MEP | Drawing List'!$B$1:$X$1,0)),1)</f>
        <v>5</v>
      </c>
      <c r="DK72" s="191">
        <f>COUNTIFS('MEP | Drawing List'!$I:$I,$B72,INDEX('MEP | Drawing List'!$L:$X,,MATCH('Design Fee'!DK$8,'MEP | Drawing List'!$L$1:$X$1,0)),1)</f>
        <v>0</v>
      </c>
      <c r="DL72" s="191">
        <f>COUNTIFS('MEP | Drawing List'!$I:$I,$B72,INDEX('MEP | Drawing List'!$L:$X,,MATCH('Design Fee'!DL$8,'MEP | Drawing List'!$L$1:$X$1,0)),1)</f>
        <v>0</v>
      </c>
      <c r="DM72" s="191">
        <f>COUNTIFS('MEP | Drawing List'!$I:$I,$B72,INDEX('MEP | Drawing List'!$L:$X,,MATCH('Design Fee'!DM$8,'MEP | Drawing List'!$L$1:$X$1,0)),1)</f>
        <v>0</v>
      </c>
      <c r="DN72" s="191">
        <f>COUNTIFS('MEP | Drawing List'!$I:$I,$B72,INDEX('MEP | Drawing List'!$L:$X,,MATCH('Design Fee'!DN$8,'MEP | Drawing List'!$L$1:$X$1,0)),1)</f>
        <v>0</v>
      </c>
      <c r="DO72" s="191">
        <f>COUNTIFS('MEP | Drawing List'!$I:$I,$B72,INDEX('MEP | Drawing List'!$L:$X,,MATCH('Design Fee'!DO$8,'MEP | Drawing List'!$L$1:$X$1,0)),1)</f>
        <v>0</v>
      </c>
      <c r="DP72" s="198"/>
      <c r="DQ72" s="191">
        <f>COUNTIFS('MEP | Drawing List'!$I:$I,$B72,INDEX('MEP | Drawing List'!$L:$X,,MATCH('Design Fee'!DQ$8,'MEP | Drawing List'!$L$1:$X$1,0)),1)</f>
        <v>0</v>
      </c>
      <c r="DR72" s="191">
        <f>COUNTIFS('MEP | Drawing List'!$I:$I,$B72,INDEX('MEP | Drawing List'!$L:$X,,MATCH('Design Fee'!DR$8,'MEP | Drawing List'!$L$1:$X$1,0)),1)</f>
        <v>0</v>
      </c>
      <c r="DS72" s="191">
        <f>COUNTIFS('MEP | Drawing List'!$I:$I,$B72,INDEX('MEP | Drawing List'!$L:$X,,MATCH('Design Fee'!DS$8,'MEP | Drawing List'!$L$1:$X$1,0)),1)</f>
        <v>0</v>
      </c>
      <c r="DT72" s="191">
        <f>COUNTIFS('MEP | Drawing List'!$I:$I,$B72,INDEX('MEP | Drawing List'!$L:$X,,MATCH('Design Fee'!DT$8,'MEP | Drawing List'!$L$1:$X$1,0)),1)</f>
        <v>0</v>
      </c>
      <c r="DU72" s="191">
        <f>COUNTIFS('MEP | Drawing List'!$I:$I,$B72,INDEX('MEP | Drawing List'!$L:$X,,MATCH('Design Fee'!DU$8,'MEP | Drawing List'!$L$1:$X$1,0)),1)</f>
        <v>0</v>
      </c>
      <c r="DV72" s="258"/>
      <c r="DW72" s="198"/>
      <c r="DX72" s="239">
        <v>0</v>
      </c>
      <c r="DY72" s="222"/>
      <c r="DZ72" s="253"/>
      <c r="EA72" s="253">
        <f t="shared" si="251"/>
        <v>0</v>
      </c>
      <c r="EB72" s="254">
        <f>IFERROR(IF(EO72=100%,$DZ72,0),0)</f>
        <v>0</v>
      </c>
      <c r="EC72" s="255">
        <f>IFERROR(IF(AND((EO72+EP72)=100%,EO72&lt;1),$DZ72,0),0)</f>
        <v>0</v>
      </c>
      <c r="ED72" s="255">
        <f>IFERROR(IF(AND((ET72+EV72)=ES72,EB72=0),$DZ72,0),0)</f>
        <v>0</v>
      </c>
      <c r="EE72" s="255">
        <f>IFERROR(IF(AND((ET72+EV72+EW72)=ES72,EB72=0,ED72=0),$DZ72,0),0)</f>
        <v>0</v>
      </c>
      <c r="EF72" s="255">
        <f>IFERROR(IF(AND((ET72+EV72+EW72+EX72)=ES72,EB72=0,ED72=0,EE72=0),$DZ72,0),0)</f>
        <v>0</v>
      </c>
      <c r="EG72" s="255">
        <f>IFERROR(IF(AND((ET72+EV72+EW72+EX72+EY72)=ES72,EB72=0,ED72=0,EE72=0,EF72=0),$DZ72,0),0)</f>
        <v>0</v>
      </c>
      <c r="EH72" s="256"/>
      <c r="EI72" s="255">
        <f>IFERROR(IF(AND((EO72+EQ72)=100%,EO72&lt;1),$DZ72,0),0)</f>
        <v>0</v>
      </c>
      <c r="EJ72" s="255">
        <f>IFERROR(IF(AND((ET72+FB72)=ES72,EB72=0),$DZ72,0),0)</f>
        <v>0</v>
      </c>
      <c r="EK72" s="255">
        <f>IFERROR(IF(AND((ET72+FB72+FC72)=ES72,EB72=0,EJ72=0),$DZ72,0),0)</f>
        <v>0</v>
      </c>
      <c r="EL72" s="255">
        <f>IFERROR(IF(AND((ET72+FB72+FC72+FD72)=ES72,EB72=0,EJ72=0,EK72=0),$DZ72,0),0)</f>
        <v>0</v>
      </c>
      <c r="EM72" s="255">
        <f>IFERROR(IF(AND((ET72+FB72+FE72+FC72+FD72)=ES72,EB72=0,EJ72=0,EK72=0,EL72=0),$DZ72,0),0)</f>
        <v>0</v>
      </c>
      <c r="EN72" s="183"/>
      <c r="EO72" s="300">
        <f t="shared" si="269"/>
        <v>0</v>
      </c>
      <c r="EP72" s="300">
        <f t="shared" si="270"/>
        <v>0</v>
      </c>
      <c r="EQ72" s="300">
        <f t="shared" si="271"/>
        <v>0</v>
      </c>
      <c r="ER72" s="228"/>
      <c r="ES72" s="297">
        <f>COUNTIF('LS | Drawing List'!$H:$H,$B72)</f>
        <v>0</v>
      </c>
      <c r="ET72" s="191">
        <f>COUNTIFS('LS | Drawing List'!$H:$H,$B72,INDEX('LS | Drawing List'!$A:$V,,MATCH('Design Fee'!ET$8,'LS | Drawing List'!$A$1:$V$1,0)),1)</f>
        <v>0</v>
      </c>
      <c r="EU72" s="191">
        <f>COUNTIFS('LS | Drawing List'!$H:$H,$B72,INDEX('LS | Drawing List'!$K:$V,,MATCH('Design Fee'!EU$8,'LS | Drawing List'!$K$1:$V$1,0)),1)</f>
        <v>0</v>
      </c>
      <c r="EV72" s="191">
        <f>COUNTIFS('LS | Drawing List'!$H:$H,$B72,INDEX('LS | Drawing List'!$K:$V,,MATCH('Design Fee'!EV$8,'LS | Drawing List'!$K$1:$V$1,0)),1)</f>
        <v>0</v>
      </c>
      <c r="EW72" s="191">
        <f>COUNTIFS('LS | Drawing List'!$H:$H,$B72,INDEX('LS | Drawing List'!$K:$V,,MATCH('Design Fee'!EW$8,'LS | Drawing List'!$K$1:$V$1,0)),1)</f>
        <v>0</v>
      </c>
      <c r="EX72" s="191">
        <f>COUNTIFS('LS | Drawing List'!$H:$H,$B72,INDEX('LS | Drawing List'!$K:$V,,MATCH('Design Fee'!EX$8,'LS | Drawing List'!$K$1:$V$1,0)),1)</f>
        <v>0</v>
      </c>
      <c r="EY72" s="191">
        <f>COUNTIFS('LS | Drawing List'!$H:$H,$B72,INDEX('LS | Drawing List'!$K:$V,,MATCH('Design Fee'!EY$8,'LS | Drawing List'!$K$1:$V$1,0)),1)</f>
        <v>0</v>
      </c>
      <c r="EZ72" s="198"/>
      <c r="FA72" s="191">
        <f>COUNTIFS('LS | Drawing List'!$H:$H,$B72,INDEX('LS | Drawing List'!$K:$V,,MATCH('Design Fee'!FA$8,'LS | Drawing List'!$K$1:$V$1,0)),1)</f>
        <v>0</v>
      </c>
      <c r="FB72" s="191">
        <f>COUNTIFS('LS | Drawing List'!$H:$H,$B72,INDEX('LS | Drawing List'!$K:$V,,MATCH('Design Fee'!FB$8,'LS | Drawing List'!$K$1:$V$1,0)),1)</f>
        <v>0</v>
      </c>
      <c r="FC72" s="191">
        <f>COUNTIFS('LS | Drawing List'!$H:$H,$B72,INDEX('LS | Drawing List'!$K:$V,,MATCH('Design Fee'!FC$8,'LS | Drawing List'!$K$1:$V$1,0)),1)</f>
        <v>0</v>
      </c>
      <c r="FD72" s="191">
        <f>COUNTIFS('LS | Drawing List'!$H:$H,$B72,INDEX('LS | Drawing List'!$K:$V,,MATCH('Design Fee'!FD$8,'LS | Drawing List'!$K$1:$V$1,0)),1)</f>
        <v>0</v>
      </c>
      <c r="FE72" s="191">
        <f>COUNTIFS('LS | Drawing List'!$H:$H,$B72,INDEX('LS | Drawing List'!$K:$V,,MATCH('Design Fee'!FE$8,'LS | Drawing List'!$K$1:$V$1,0)),1)</f>
        <v>0</v>
      </c>
      <c r="FF72" s="258"/>
    </row>
    <row r="73" spans="2:162" ht="11.85" customHeight="1" outlineLevel="2">
      <c r="B73" s="459" t="s">
        <v>162</v>
      </c>
      <c r="C73" s="547" t="s">
        <v>79</v>
      </c>
      <c r="D73" s="257"/>
      <c r="E73" s="253">
        <f t="shared" si="236"/>
        <v>0.84006400000000003</v>
      </c>
      <c r="F73" s="253">
        <f t="shared" si="236"/>
        <v>2.2064E-2</v>
      </c>
      <c r="G73" s="254">
        <f t="shared" si="255"/>
        <v>0.81800000000000006</v>
      </c>
      <c r="H73" s="253">
        <f t="shared" si="238"/>
        <v>2.2064E-2</v>
      </c>
      <c r="I73" s="253">
        <f t="shared" si="238"/>
        <v>0.81800000000000006</v>
      </c>
      <c r="J73" s="253">
        <f t="shared" si="238"/>
        <v>0.81800000000000006</v>
      </c>
      <c r="K73" s="253">
        <f t="shared" si="238"/>
        <v>0</v>
      </c>
      <c r="L73" s="253">
        <f t="shared" si="238"/>
        <v>0</v>
      </c>
      <c r="M73" s="253">
        <f t="shared" si="238"/>
        <v>0</v>
      </c>
      <c r="N73" s="256"/>
      <c r="O73" s="253">
        <f t="shared" si="239"/>
        <v>0</v>
      </c>
      <c r="P73" s="253">
        <f t="shared" si="239"/>
        <v>0</v>
      </c>
      <c r="Q73" s="253">
        <f t="shared" si="239"/>
        <v>0</v>
      </c>
      <c r="R73" s="253">
        <f t="shared" si="239"/>
        <v>0</v>
      </c>
      <c r="S73" s="253">
        <f t="shared" si="239"/>
        <v>0</v>
      </c>
      <c r="T73" s="169"/>
      <c r="U73" s="183"/>
      <c r="V73" s="232">
        <v>0.2</v>
      </c>
      <c r="W73" s="222"/>
      <c r="X73" s="253">
        <f t="shared" si="272"/>
        <v>0.81800000000000006</v>
      </c>
      <c r="Y73" s="253">
        <f t="shared" si="240"/>
        <v>0</v>
      </c>
      <c r="Z73" s="254">
        <f t="shared" si="256"/>
        <v>0</v>
      </c>
      <c r="AA73" s="255">
        <f t="shared" si="257"/>
        <v>0.81800000000000006</v>
      </c>
      <c r="AB73" s="255">
        <f t="shared" si="273"/>
        <v>0.81800000000000006</v>
      </c>
      <c r="AC73" s="255">
        <f>IFERROR(IF(AND((AR73+AT73+AU73)=AQ73,Z73=0,AB73=0),$X73,0),0)</f>
        <v>0</v>
      </c>
      <c r="AD73" s="255">
        <f>IFERROR(IF(AND((AR73+AT73+AU73+AV73)=AQ73,Z73=0,AB73=0,AC73=0),$X73,0),0)</f>
        <v>0</v>
      </c>
      <c r="AE73" s="255">
        <f>IFERROR(IF(AND((AR73+AT73+AU73+AV73+AW73)=AQ73,Z73=0,AB73=0,AC73=0,AD73=0),$X73,0),0)</f>
        <v>0</v>
      </c>
      <c r="AF73" s="256"/>
      <c r="AG73" s="255">
        <f>IFERROR(IF(AND((AM73+AO73)=100%,AM73&lt;1),$X73,0),0)</f>
        <v>0</v>
      </c>
      <c r="AH73" s="255">
        <f>IFERROR(IF(AND((AR73+AZ73)=AQ73,Z73=0),$X73,0),0)</f>
        <v>0</v>
      </c>
      <c r="AI73" s="255">
        <f t="shared" si="258"/>
        <v>0</v>
      </c>
      <c r="AJ73" s="255">
        <f t="shared" si="259"/>
        <v>0</v>
      </c>
      <c r="AK73" s="255">
        <f>IFERROR(IF(AND((AR73+AZ73+BC73+BA73+BB73)=AQ73,Z73=0,AH73=0,AI73=0,AJ73=0),$X73,0),0)</f>
        <v>0</v>
      </c>
      <c r="AL73" s="169"/>
      <c r="AM73" s="279">
        <f t="shared" si="260"/>
        <v>0</v>
      </c>
      <c r="AN73" s="279">
        <f t="shared" si="261"/>
        <v>1</v>
      </c>
      <c r="AO73" s="279">
        <f t="shared" si="262"/>
        <v>0.55882352941176472</v>
      </c>
      <c r="AP73" s="228"/>
      <c r="AQ73" s="364">
        <f>COUNTIF('AR | Drawing List'!$H:$H,$B73)</f>
        <v>34</v>
      </c>
      <c r="AR73" s="365">
        <f>COUNTIFS('AR | Drawing List'!$H:$H,$B73,INDEX('AR | Drawing List'!$A:$AT,,MATCH('Design Fee'!AR$8,'AR | Drawing List'!$A$1:$AT$1,0)),1)</f>
        <v>0</v>
      </c>
      <c r="AS73" s="365">
        <f>COUNTIFS('AR | Drawing List'!$H:$H,$B73,INDEX('AR | Drawing List'!$K:$AT,,MATCH('Design Fee'!AS$8,'AR | Drawing List'!$K$1:$AT$1,0)),1)</f>
        <v>34</v>
      </c>
      <c r="AT73" s="365">
        <f>COUNTIFS('AR | Drawing List'!$H:$H,$B73,INDEX('AR | Drawing List'!$K:$AT,,MATCH('Design Fee'!AT$8,'AR | Drawing List'!$K$1:$AT$1,0)),1)</f>
        <v>34</v>
      </c>
      <c r="AU73" s="365">
        <f>COUNTIFS('AR | Drawing List'!$H:$H,$B73,INDEX('AR | Drawing List'!$K:$AT,,MATCH('Design Fee'!AU$8,'AR | Drawing List'!$K$1:$AT$1,0)),1)</f>
        <v>0</v>
      </c>
      <c r="AV73" s="365">
        <f>COUNTIFS('AR | Drawing List'!$H:$H,$B73,INDEX('AR | Drawing List'!$K:$AT,,MATCH('Design Fee'!AV$8,'AR | Drawing List'!$K$1:$AT$1,0)),1)</f>
        <v>0</v>
      </c>
      <c r="AW73" s="365">
        <f>COUNTIFS('AR | Drawing List'!$H:$H,$B73,INDEX('AR | Drawing List'!$K:$AT,,MATCH('Design Fee'!AW$8,'AR | Drawing List'!$K$1:$AT$1,0)),1)</f>
        <v>0</v>
      </c>
      <c r="AX73" s="198"/>
      <c r="AY73" s="365">
        <f>COUNTIFS('AR | Drawing List'!$H:$H,$B73,INDEX('AR | Drawing List'!$K:$AT,,MATCH('Design Fee'!AY$8,'AR | Drawing List'!$K$1:$AT$1,0)),1)</f>
        <v>19</v>
      </c>
      <c r="AZ73" s="365">
        <f>COUNTIFS('AR | Drawing List'!$H:$H,$B73,INDEX('AR | Drawing List'!$K:$AT,,MATCH('Design Fee'!AZ$8,'AR | Drawing List'!$K$1:$AT$1,0)),1)</f>
        <v>19</v>
      </c>
      <c r="BA73" s="365">
        <f>COUNTIFS('AR | Drawing List'!$H:$H,$B73,INDEX('AR | Drawing List'!$K:$AT,,MATCH('Design Fee'!BA$8,'AR | Drawing List'!$K$1:$AT$1,0)),1)</f>
        <v>0</v>
      </c>
      <c r="BB73" s="365">
        <f>COUNTIFS('AR | Drawing List'!$H:$H,$B73,INDEX('AR | Drawing List'!$K:$AT,,MATCH('Design Fee'!BB$8,'AR | Drawing List'!$K$1:$AT$1,0)),1)</f>
        <v>0</v>
      </c>
      <c r="BC73" s="365">
        <f>COUNTIFS('AR | Drawing List'!$H:$H,$B73,INDEX('AR | Drawing List'!$K:$AT,,MATCH('Design Fee'!BC$8,'AR | Drawing List'!$K$1:$AT$1,0)),1)</f>
        <v>0</v>
      </c>
      <c r="BD73" s="198"/>
      <c r="BE73" s="232">
        <v>0</v>
      </c>
      <c r="BF73" s="222"/>
      <c r="BG73" s="253">
        <f t="shared" si="274"/>
        <v>0</v>
      </c>
      <c r="BH73" s="253">
        <f t="shared" si="243"/>
        <v>0</v>
      </c>
      <c r="BI73" s="254">
        <f t="shared" si="275"/>
        <v>0</v>
      </c>
      <c r="BJ73" s="271">
        <f t="shared" si="276"/>
        <v>0</v>
      </c>
      <c r="BK73" s="255">
        <f t="shared" si="277"/>
        <v>0</v>
      </c>
      <c r="BL73" s="255">
        <f t="shared" si="278"/>
        <v>0</v>
      </c>
      <c r="BM73" s="255">
        <f t="shared" si="279"/>
        <v>0</v>
      </c>
      <c r="BN73" s="255">
        <f t="shared" si="280"/>
        <v>0</v>
      </c>
      <c r="BO73" s="256"/>
      <c r="BP73" s="255">
        <f t="shared" si="281"/>
        <v>0</v>
      </c>
      <c r="BQ73" s="255">
        <f t="shared" si="282"/>
        <v>0</v>
      </c>
      <c r="BR73" s="255">
        <f t="shared" si="283"/>
        <v>0</v>
      </c>
      <c r="BS73" s="255">
        <f t="shared" si="284"/>
        <v>0</v>
      </c>
      <c r="BT73" s="255">
        <f t="shared" si="285"/>
        <v>0</v>
      </c>
      <c r="BU73" s="169"/>
      <c r="BV73" s="279">
        <f t="shared" si="286"/>
        <v>0</v>
      </c>
      <c r="BW73" s="279">
        <f t="shared" si="287"/>
        <v>0</v>
      </c>
      <c r="BX73" s="279">
        <f t="shared" si="288"/>
        <v>0</v>
      </c>
      <c r="BZ73" s="297">
        <f>COUNTIF('ST | Drawing List'!$G:$G,$B73)</f>
        <v>0</v>
      </c>
      <c r="CA73" s="191">
        <f>COUNTIFS('ST | Drawing List'!$G:$G,$B73,INDEX('ST | Drawing List'!$A:$U,,MATCH('Design Fee'!CA$8,'ST | Drawing List'!$A$1:$U$1,0)),1)</f>
        <v>0</v>
      </c>
      <c r="CB73" s="191">
        <f>COUNTIFS('ST | Drawing List'!$G:$G,$B73,INDEX('ST | Drawing List'!$J:$U,,MATCH('Design Fee'!CB$8,'ST | Drawing List'!$J$1:$U$1,0)),1)</f>
        <v>0</v>
      </c>
      <c r="CC73" s="191">
        <f>COUNTIFS('ST | Drawing List'!$G:$G,$B73,INDEX('ST | Drawing List'!$J:$U,,MATCH('Design Fee'!CC$8,'ST | Drawing List'!$J$1:$U$1,0)),1)</f>
        <v>0</v>
      </c>
      <c r="CD73" s="191">
        <f>COUNTIFS('ST | Drawing List'!$G:$G,$B73,INDEX('ST | Drawing List'!$J:$U,,MATCH('Design Fee'!CD$8,'ST | Drawing List'!$J$1:$U$1,0)),1)</f>
        <v>0</v>
      </c>
      <c r="CE73" s="191">
        <f>COUNTIFS('ST | Drawing List'!$G:$G,$B73,INDEX('ST | Drawing List'!$J:$U,,MATCH('Design Fee'!CE$8,'ST | Drawing List'!$J$1:$U$1,0)),1)</f>
        <v>0</v>
      </c>
      <c r="CF73" s="191">
        <f>COUNTIFS('ST | Drawing List'!$G:$G,$B73,INDEX('ST | Drawing List'!$J:$U,,MATCH('Design Fee'!CF$8,'ST | Drawing List'!$J$1:$U$1,0)),1)</f>
        <v>0</v>
      </c>
      <c r="CG73" s="198"/>
      <c r="CH73" s="191">
        <f>COUNTIFS('ST | Drawing List'!$G:$G,$B73,INDEX('ST | Drawing List'!$J:$U,,MATCH('Design Fee'!CH$8,'ST | Drawing List'!$J$1:$U$1,0)),1)</f>
        <v>0</v>
      </c>
      <c r="CI73" s="191">
        <f>COUNTIFS('ST | Drawing List'!$G:$G,$B73,INDEX('ST | Drawing List'!$J:$U,,MATCH('Design Fee'!CI$8,'ST | Drawing List'!$J$1:$U$1,0)),1)</f>
        <v>0</v>
      </c>
      <c r="CJ73" s="191">
        <f>COUNTIFS('ST | Drawing List'!$G:$G,$B73,INDEX('ST | Drawing List'!$J:$U,,MATCH('Design Fee'!CJ$8,'ST | Drawing List'!$J$1:$U$1,0)),1)</f>
        <v>0</v>
      </c>
      <c r="CK73" s="191">
        <f>COUNTIFS('ST | Drawing List'!$G:$G,$B73,INDEX('ST | Drawing List'!$J:$U,,MATCH('Design Fee'!CK$8,'ST | Drawing List'!$J$1:$U$1,0)),1)</f>
        <v>0</v>
      </c>
      <c r="CL73" s="191">
        <f>COUNTIFS('ST | Drawing List'!$G:$G,$B73,INDEX('ST | Drawing List'!$J:$U,,MATCH('Design Fee'!CL$8,'ST | Drawing List'!$J$1:$U$1,0)),1)</f>
        <v>0</v>
      </c>
      <c r="CM73" s="198"/>
      <c r="CN73" s="232">
        <v>0.2</v>
      </c>
      <c r="CO73" s="222"/>
      <c r="CP73" s="253">
        <f t="shared" si="289"/>
        <v>2.2064E-2</v>
      </c>
      <c r="CQ73" s="253">
        <f t="shared" si="247"/>
        <v>2.2064E-2</v>
      </c>
      <c r="CR73" s="254">
        <f>IFERROR(IF(DE73=100%,$CP73,0),0)</f>
        <v>2.2064E-2</v>
      </c>
      <c r="CS73" s="255">
        <f>IFERROR(IF(AND((DE73+DF73)=100%,DE73&lt;1),$CP73,0),0)</f>
        <v>0</v>
      </c>
      <c r="CT73" s="255">
        <f>IFERROR(IF(AND((DJ73+DL73)=DI73,CR73=0),$CP73,0),0)</f>
        <v>0</v>
      </c>
      <c r="CU73" s="255">
        <f>IFERROR(IF(AND((DJ73+DL73+DM73)=DI73,CR73=0,CT73=0),$CP73,0),0)</f>
        <v>0</v>
      </c>
      <c r="CV73" s="255">
        <f>IFERROR(IF(AND((DJ73+DL73+DM73+DN73)=DI73,CR73=0,CT73=0,CU73=0),$CP73,0),0)</f>
        <v>0</v>
      </c>
      <c r="CW73" s="255">
        <f>IFERROR(IF(AND((DJ73+DL73+DM73+DN73+DO73)=DI73,CR73=0,CT73=0,CU73=0,CV73=0),$CP73,0),0)</f>
        <v>0</v>
      </c>
      <c r="CX73" s="256"/>
      <c r="CY73" s="255">
        <f>IFERROR(IF(AND((DE73+DG73)=100%,DE73&lt;1),$CP73,0),0)</f>
        <v>0</v>
      </c>
      <c r="CZ73" s="255">
        <f>IFERROR(IF(AND((DJ73+DR73)=DI73,CR73=0),$CP73,0),0)</f>
        <v>0</v>
      </c>
      <c r="DA73" s="255">
        <f>IFERROR(IF(AND((DJ73+DR73+DS73)=DI73,CR73=0,CZ73=0),$CP73,0),0)</f>
        <v>0</v>
      </c>
      <c r="DB73" s="255">
        <f>IFERROR(IF(AND((DJ73+DR73+DS73+DT73)=DI73,CR73=0,CZ73=0,DA73=0),$CP73,0),0)</f>
        <v>0</v>
      </c>
      <c r="DC73" s="255">
        <f>IFERROR(IF(AND((DJ73+DR73+DU73+DS73+DT73)=DI73,CR73=0,CZ73=0,DA73=0,DB73=0),$CP73,0),0)</f>
        <v>0</v>
      </c>
      <c r="DD73" s="183"/>
      <c r="DE73" s="300">
        <f t="shared" si="266"/>
        <v>1</v>
      </c>
      <c r="DF73" s="300">
        <f t="shared" si="267"/>
        <v>0</v>
      </c>
      <c r="DG73" s="300">
        <f t="shared" si="268"/>
        <v>0</v>
      </c>
      <c r="DH73" s="228"/>
      <c r="DI73" s="297">
        <f>COUNTIF('MEP | Drawing List'!$I:$I,$B73)</f>
        <v>7</v>
      </c>
      <c r="DJ73" s="191">
        <f>COUNTIFS('MEP | Drawing List'!$I:$I,$B73,INDEX('MEP | Drawing List'!$B:$X,,MATCH('Design Fee'!DJ$8,'MEP | Drawing List'!$B$1:$X$1,0)),1)</f>
        <v>7</v>
      </c>
      <c r="DK73" s="191">
        <f>COUNTIFS('MEP | Drawing List'!$I:$I,$B73,INDEX('MEP | Drawing List'!$L:$X,,MATCH('Design Fee'!DK$8,'MEP | Drawing List'!$L$1:$X$1,0)),1)</f>
        <v>0</v>
      </c>
      <c r="DL73" s="191">
        <f>COUNTIFS('MEP | Drawing List'!$I:$I,$B73,INDEX('MEP | Drawing List'!$L:$X,,MATCH('Design Fee'!DL$8,'MEP | Drawing List'!$L$1:$X$1,0)),1)</f>
        <v>0</v>
      </c>
      <c r="DM73" s="191">
        <f>COUNTIFS('MEP | Drawing List'!$I:$I,$B73,INDEX('MEP | Drawing List'!$L:$X,,MATCH('Design Fee'!DM$8,'MEP | Drawing List'!$L$1:$X$1,0)),1)</f>
        <v>0</v>
      </c>
      <c r="DN73" s="191">
        <f>COUNTIFS('MEP | Drawing List'!$I:$I,$B73,INDEX('MEP | Drawing List'!$L:$X,,MATCH('Design Fee'!DN$8,'MEP | Drawing List'!$L$1:$X$1,0)),1)</f>
        <v>0</v>
      </c>
      <c r="DO73" s="191">
        <f>COUNTIFS('MEP | Drawing List'!$I:$I,$B73,INDEX('MEP | Drawing List'!$L:$X,,MATCH('Design Fee'!DO$8,'MEP | Drawing List'!$L$1:$X$1,0)),1)</f>
        <v>0</v>
      </c>
      <c r="DP73" s="198"/>
      <c r="DQ73" s="191">
        <f>COUNTIFS('MEP | Drawing List'!$I:$I,$B73,INDEX('MEP | Drawing List'!$L:$X,,MATCH('Design Fee'!DQ$8,'MEP | Drawing List'!$L$1:$X$1,0)),1)</f>
        <v>0</v>
      </c>
      <c r="DR73" s="191">
        <f>COUNTIFS('MEP | Drawing List'!$I:$I,$B73,INDEX('MEP | Drawing List'!$L:$X,,MATCH('Design Fee'!DR$8,'MEP | Drawing List'!$L$1:$X$1,0)),1)</f>
        <v>0</v>
      </c>
      <c r="DS73" s="191">
        <f>COUNTIFS('MEP | Drawing List'!$I:$I,$B73,INDEX('MEP | Drawing List'!$L:$X,,MATCH('Design Fee'!DS$8,'MEP | Drawing List'!$L$1:$X$1,0)),1)</f>
        <v>0</v>
      </c>
      <c r="DT73" s="191">
        <f>COUNTIFS('MEP | Drawing List'!$I:$I,$B73,INDEX('MEP | Drawing List'!$L:$X,,MATCH('Design Fee'!DT$8,'MEP | Drawing List'!$L$1:$X$1,0)),1)</f>
        <v>0</v>
      </c>
      <c r="DU73" s="191">
        <f>COUNTIFS('MEP | Drawing List'!$I:$I,$B73,INDEX('MEP | Drawing List'!$L:$X,,MATCH('Design Fee'!DU$8,'MEP | Drawing List'!$L$1:$X$1,0)),1)</f>
        <v>0</v>
      </c>
      <c r="DV73" s="207"/>
      <c r="DW73" s="198"/>
      <c r="DX73" s="239">
        <v>0</v>
      </c>
      <c r="DY73" s="222"/>
      <c r="DZ73" s="253"/>
      <c r="EA73" s="253">
        <f t="shared" si="251"/>
        <v>0</v>
      </c>
      <c r="EB73" s="254">
        <f>IFERROR(IF(EO73=100%,$DZ73,0),0)</f>
        <v>0</v>
      </c>
      <c r="EC73" s="255">
        <f>IFERROR(IF(AND((EO73+EP73)=100%,EO73&lt;1),$DZ73,0),0)</f>
        <v>0</v>
      </c>
      <c r="ED73" s="255">
        <f>IFERROR(IF(AND((ET73+EV73)=ES73,EB73=0),$DZ73,0),0)</f>
        <v>0</v>
      </c>
      <c r="EE73" s="255">
        <f>IFERROR(IF(AND((ET73+EV73+EW73)=ES73,EB73=0,ED73=0),$DZ73,0),0)</f>
        <v>0</v>
      </c>
      <c r="EF73" s="255">
        <f>IFERROR(IF(AND((ET73+EV73+EW73+EX73)=ES73,EB73=0,ED73=0,EE73=0),$DZ73,0),0)</f>
        <v>0</v>
      </c>
      <c r="EG73" s="255">
        <f>IFERROR(IF(AND((ET73+EV73+EW73+EX73+EY73)=ES73,EB73=0,ED73=0,EE73=0,EF73=0),$DZ73,0),0)</f>
        <v>0</v>
      </c>
      <c r="EH73" s="256"/>
      <c r="EI73" s="255">
        <f>IFERROR(IF(AND((EO73+EQ73)=100%,EO73&lt;1),$DZ73,0),0)</f>
        <v>0</v>
      </c>
      <c r="EJ73" s="255">
        <f>IFERROR(IF(AND((ET73+FB73)=ES73,EB73=0),$DZ73,0),0)</f>
        <v>0</v>
      </c>
      <c r="EK73" s="255">
        <f>IFERROR(IF(AND((ET73+FB73+FC73)=ES73,EB73=0,EJ73=0),$DZ73,0),0)</f>
        <v>0</v>
      </c>
      <c r="EL73" s="255">
        <f>IFERROR(IF(AND((ET73+FB73+FC73+FD73)=ES73,EB73=0,EJ73=0,EK73=0),$DZ73,0),0)</f>
        <v>0</v>
      </c>
      <c r="EM73" s="255">
        <f>IFERROR(IF(AND((ET73+FB73+FE73+FC73+FD73)=ES73,EB73=0,EJ73=0,EK73=0,EL73=0),$DZ73,0),0)</f>
        <v>0</v>
      </c>
      <c r="EN73" s="183"/>
      <c r="EO73" s="300">
        <f t="shared" si="269"/>
        <v>0</v>
      </c>
      <c r="EP73" s="300">
        <f t="shared" si="270"/>
        <v>0</v>
      </c>
      <c r="EQ73" s="300">
        <f t="shared" si="271"/>
        <v>0</v>
      </c>
      <c r="ER73" s="228"/>
      <c r="ES73" s="297">
        <f>COUNTIF('LS | Drawing List'!$H:$H,$B73)</f>
        <v>0</v>
      </c>
      <c r="ET73" s="191">
        <f>COUNTIFS('LS | Drawing List'!$H:$H,$B73,INDEX('LS | Drawing List'!$A:$V,,MATCH('Design Fee'!ET$8,'LS | Drawing List'!$A$1:$V$1,0)),1)</f>
        <v>0</v>
      </c>
      <c r="EU73" s="191">
        <f>COUNTIFS('LS | Drawing List'!$H:$H,$B73,INDEX('LS | Drawing List'!$K:$V,,MATCH('Design Fee'!EU$8,'LS | Drawing List'!$K$1:$V$1,0)),1)</f>
        <v>0</v>
      </c>
      <c r="EV73" s="191">
        <f>COUNTIFS('LS | Drawing List'!$H:$H,$B73,INDEX('LS | Drawing List'!$K:$V,,MATCH('Design Fee'!EV$8,'LS | Drawing List'!$K$1:$V$1,0)),1)</f>
        <v>0</v>
      </c>
      <c r="EW73" s="191">
        <f>COUNTIFS('LS | Drawing List'!$H:$H,$B73,INDEX('LS | Drawing List'!$K:$V,,MATCH('Design Fee'!EW$8,'LS | Drawing List'!$K$1:$V$1,0)),1)</f>
        <v>0</v>
      </c>
      <c r="EX73" s="191">
        <f>COUNTIFS('LS | Drawing List'!$H:$H,$B73,INDEX('LS | Drawing List'!$K:$V,,MATCH('Design Fee'!EX$8,'LS | Drawing List'!$K$1:$V$1,0)),1)</f>
        <v>0</v>
      </c>
      <c r="EY73" s="191">
        <f>COUNTIFS('LS | Drawing List'!$H:$H,$B73,INDEX('LS | Drawing List'!$K:$V,,MATCH('Design Fee'!EY$8,'LS | Drawing List'!$K$1:$V$1,0)),1)</f>
        <v>0</v>
      </c>
      <c r="EZ73" s="198"/>
      <c r="FA73" s="191">
        <f>COUNTIFS('LS | Drawing List'!$H:$H,$B73,INDEX('LS | Drawing List'!$K:$V,,MATCH('Design Fee'!FA$8,'LS | Drawing List'!$K$1:$V$1,0)),1)</f>
        <v>0</v>
      </c>
      <c r="FB73" s="191">
        <f>COUNTIFS('LS | Drawing List'!$H:$H,$B73,INDEX('LS | Drawing List'!$K:$V,,MATCH('Design Fee'!FB$8,'LS | Drawing List'!$K$1:$V$1,0)),1)</f>
        <v>0</v>
      </c>
      <c r="FC73" s="191">
        <f>COUNTIFS('LS | Drawing List'!$H:$H,$B73,INDEX('LS | Drawing List'!$K:$V,,MATCH('Design Fee'!FC$8,'LS | Drawing List'!$K$1:$V$1,0)),1)</f>
        <v>0</v>
      </c>
      <c r="FD73" s="191">
        <f>COUNTIFS('LS | Drawing List'!$H:$H,$B73,INDEX('LS | Drawing List'!$K:$V,,MATCH('Design Fee'!FD$8,'LS | Drawing List'!$K$1:$V$1,0)),1)</f>
        <v>0</v>
      </c>
      <c r="FE73" s="191">
        <f>COUNTIFS('LS | Drawing List'!$H:$H,$B73,INDEX('LS | Drawing List'!$K:$V,,MATCH('Design Fee'!FE$8,'LS | Drawing List'!$K$1:$V$1,0)),1)</f>
        <v>0</v>
      </c>
      <c r="FF73" s="207"/>
    </row>
    <row r="74" spans="2:162" ht="3" customHeight="1" outlineLevel="1">
      <c r="B74" s="265"/>
      <c r="H74" s="254"/>
      <c r="I74" s="254"/>
      <c r="J74" s="254"/>
      <c r="K74" s="254"/>
      <c r="L74" s="254"/>
      <c r="M74" s="254"/>
      <c r="N74" s="260"/>
      <c r="O74" s="254"/>
      <c r="P74" s="254"/>
      <c r="Q74" s="254"/>
      <c r="R74" s="254"/>
      <c r="S74" s="254"/>
      <c r="T74" s="169"/>
      <c r="U74" s="183"/>
      <c r="V74" s="232"/>
      <c r="W74" s="222"/>
      <c r="X74" s="253"/>
      <c r="Y74" s="253"/>
      <c r="Z74" s="254"/>
      <c r="AA74" s="254"/>
      <c r="AB74" s="254"/>
      <c r="AC74" s="254"/>
      <c r="AD74" s="254"/>
      <c r="AE74" s="254"/>
      <c r="AF74" s="260"/>
      <c r="AG74" s="255">
        <f>IFERROR(IF(AND((#REF!+AM74)=100%,#REF!&lt;1),$X74,0),0)</f>
        <v>0</v>
      </c>
      <c r="AH74" s="255">
        <f>IFERROR(IF(AND((AP74+AW74)=AO74,Z74=0),$X74,0),0)</f>
        <v>0</v>
      </c>
      <c r="AI74" s="255">
        <f>IFERROR(IF(AND((AP74+AW74+#REF!)=AO74,Z74=0,AH74=0),X74,0),0)</f>
        <v>0</v>
      </c>
      <c r="AJ74" s="255"/>
      <c r="AK74" s="255">
        <f>IFERROR(IF(AND((AP74+AW74+#REF!+#REF!+#REF!)=AO74,Z74=0,AH74=0,AI74=0,AJ74=0),$X74,0),0)</f>
        <v>0</v>
      </c>
      <c r="AL74" s="169"/>
      <c r="AP74" s="228"/>
      <c r="AR74" s="198"/>
      <c r="AS74" s="198"/>
      <c r="AT74" s="198"/>
      <c r="AU74" s="198"/>
      <c r="AV74" s="198"/>
      <c r="AW74" s="198"/>
      <c r="AX74" s="198"/>
      <c r="AY74" s="207"/>
      <c r="AZ74" s="207"/>
      <c r="BA74" s="207"/>
      <c r="BB74" s="207"/>
      <c r="BC74" s="207"/>
      <c r="BD74" s="198"/>
      <c r="BE74" s="261"/>
      <c r="BF74" s="222"/>
      <c r="BG74" s="253"/>
      <c r="BH74" s="253"/>
      <c r="BI74" s="254"/>
      <c r="BJ74" s="254"/>
      <c r="BK74" s="254"/>
      <c r="BL74" s="254"/>
      <c r="BM74" s="254"/>
      <c r="BN74" s="254"/>
      <c r="BO74" s="260"/>
      <c r="BP74" s="255">
        <f>IFERROR(IF(AND((#REF!+BV74)=100%,#REF!&lt;1),$BG74,0),0)</f>
        <v>0</v>
      </c>
      <c r="BQ74" s="255">
        <f>IFERROR(IF(AND((BY74+CF74)=BX74,BI74=0),$BG74,0),0)</f>
        <v>0</v>
      </c>
      <c r="BR74" s="255">
        <f>IFERROR(IF(AND((BY74+CF74+#REF!)=BX74,BI74=0,BQ74=0),BG74,0),0)</f>
        <v>0</v>
      </c>
      <c r="BS74" s="255"/>
      <c r="BT74" s="255">
        <f>IFERROR(IF(AND((BY74+CF74+#REF!+#REF!+#REF!)=BX74,BI74=0,BQ74=0,BR74=0,BS74=0),$BG74,0),0)</f>
        <v>0</v>
      </c>
      <c r="BU74" s="169"/>
      <c r="CA74" s="198"/>
      <c r="CB74" s="198"/>
      <c r="CC74" s="198"/>
      <c r="CD74" s="198"/>
      <c r="CE74" s="198"/>
      <c r="CF74" s="198"/>
      <c r="CG74" s="198"/>
      <c r="CH74" s="207"/>
      <c r="CI74" s="207"/>
      <c r="CJ74" s="207"/>
      <c r="CK74" s="207"/>
      <c r="CL74" s="207"/>
      <c r="CM74" s="198"/>
      <c r="CN74" s="261"/>
      <c r="CO74" s="222"/>
      <c r="CP74" s="253"/>
      <c r="CQ74" s="253"/>
      <c r="CR74" s="254"/>
      <c r="CS74" s="254"/>
      <c r="CT74" s="254"/>
      <c r="CU74" s="254"/>
      <c r="CV74" s="254"/>
      <c r="CW74" s="254"/>
      <c r="CX74" s="260"/>
      <c r="CY74" s="255">
        <f>IFERROR(IF(AND((#REF!+DE74)=100%,#REF!&lt;1),$CP74,0),0)</f>
        <v>0</v>
      </c>
      <c r="CZ74" s="255">
        <f>IFERROR(IF(AND((DH74+DO74)=DG74,CR74=0),$CP74,0),0)</f>
        <v>0</v>
      </c>
      <c r="DA74" s="255">
        <f>IFERROR(IF(AND((DH74+DO74+#REF!)=DG74,CR74=0,CZ74=0),CP74,0),0)</f>
        <v>0</v>
      </c>
      <c r="DB74" s="255"/>
      <c r="DC74" s="255">
        <f>IFERROR(IF(AND((DH74+DO74+#REF!+#REF!+#REF!)=DG74,CR74=0,CZ74=0,DA74=0,DB74=0),$CP74,0),0)</f>
        <v>0</v>
      </c>
      <c r="DD74" s="183"/>
      <c r="DE74" s="227"/>
      <c r="DF74" s="227"/>
      <c r="DG74" s="227"/>
      <c r="DH74" s="228"/>
      <c r="DJ74" s="198"/>
      <c r="DK74" s="198"/>
      <c r="DL74" s="198"/>
      <c r="DM74" s="198"/>
      <c r="DN74" s="198"/>
      <c r="DO74" s="198"/>
      <c r="DP74" s="198"/>
      <c r="DQ74" s="207"/>
      <c r="DR74" s="207"/>
      <c r="DS74" s="207"/>
      <c r="DT74" s="207"/>
      <c r="DU74" s="207"/>
      <c r="DV74" s="207"/>
      <c r="DW74" s="198"/>
      <c r="DX74" s="261"/>
      <c r="DY74" s="222"/>
      <c r="DZ74" s="253"/>
      <c r="EA74" s="253"/>
      <c r="EB74" s="254"/>
      <c r="EC74" s="254"/>
      <c r="ED74" s="254"/>
      <c r="EE74" s="254"/>
      <c r="EF74" s="254"/>
      <c r="EG74" s="254"/>
      <c r="EH74" s="260"/>
      <c r="EI74" s="255">
        <f>IFERROR(IF(AND((#REF!+EO74)=100%,#REF!&lt;1),$DZ74,0),0)</f>
        <v>0</v>
      </c>
      <c r="EJ74" s="255">
        <f>IFERROR(IF(AND((ER74+EY74)=EQ74,EB74=0),$DZ74,0),0)</f>
        <v>0</v>
      </c>
      <c r="EK74" s="255">
        <f>IFERROR(IF(AND((ER74+EY74+#REF!)=EQ74,EB74=0,EJ74=0),DZ74,0),0)</f>
        <v>0</v>
      </c>
      <c r="EL74" s="255"/>
      <c r="EM74" s="255">
        <f>IFERROR(IF(AND((ER74+EY74+#REF!+#REF!+#REF!)=EQ74,EB74=0,EJ74=0,EK74=0,EL74=0),$DZ74,0),0)</f>
        <v>0</v>
      </c>
      <c r="EN74" s="183"/>
      <c r="EO74" s="227"/>
      <c r="EP74" s="227"/>
      <c r="EQ74" s="227"/>
      <c r="ER74" s="228"/>
      <c r="ET74" s="198"/>
      <c r="EU74" s="198"/>
      <c r="EV74" s="198"/>
      <c r="EW74" s="198"/>
      <c r="EX74" s="198"/>
      <c r="EY74" s="198"/>
      <c r="EZ74" s="198"/>
      <c r="FA74" s="207"/>
      <c r="FB74" s="207"/>
      <c r="FC74" s="207"/>
      <c r="FD74" s="207"/>
      <c r="FE74" s="207"/>
      <c r="FF74" s="207"/>
    </row>
    <row r="75" spans="2:162" ht="15" outlineLevel="1">
      <c r="B75" s="208" t="s">
        <v>80</v>
      </c>
      <c r="C75" s="209" t="s">
        <v>81</v>
      </c>
      <c r="D75" s="313"/>
      <c r="E75" s="332">
        <f t="shared" ref="E75:E83" si="322">X75+BG75+CP75+DZ75</f>
        <v>4.6391566557260697</v>
      </c>
      <c r="F75" s="332">
        <f t="shared" ref="F75:F83" si="323">Y75+BH75+CQ75+EA75</f>
        <v>0.69524624589727613</v>
      </c>
      <c r="G75" s="332">
        <f t="shared" ref="G75" si="324">E75-F75</f>
        <v>3.9439104098287938</v>
      </c>
      <c r="H75" s="332">
        <f t="shared" ref="H75:H83" si="325">Z75+BI75+CR75+EB75</f>
        <v>0.58121647946575872</v>
      </c>
      <c r="I75" s="332">
        <f t="shared" ref="I75:I83" si="326">AA75+BJ75+CS75+EC75</f>
        <v>4.0572792275103104</v>
      </c>
      <c r="J75" s="332">
        <f t="shared" ref="J75:J83" si="327">AB75+BK75+CT75+ED75</f>
        <v>1.6806860164315176</v>
      </c>
      <c r="K75" s="332">
        <f t="shared" ref="K75:K83" si="328">AC75+BL75+CU75+EE75</f>
        <v>0.63690946518151736</v>
      </c>
      <c r="L75" s="332">
        <f t="shared" ref="L75:L83" si="329">AD75+BM75+CV75+EF75</f>
        <v>1.7396837458972763</v>
      </c>
      <c r="M75" s="332">
        <f t="shared" ref="M75:M83" si="330">AE75+BN75+CW75+EG75</f>
        <v>0</v>
      </c>
      <c r="N75" s="333"/>
      <c r="O75" s="334">
        <f t="shared" ref="O75:O83" si="331">AG75+BP75+CY75+EI75</f>
        <v>0.11402976643151733</v>
      </c>
      <c r="P75" s="334">
        <f t="shared" ref="P75:P83" si="332">AH75+BQ75+CZ75+EJ75</f>
        <v>0.11402976643151733</v>
      </c>
      <c r="Q75" s="334">
        <f t="shared" ref="Q75:Q83" si="333">AI75+BR75+DA75+EK75</f>
        <v>0</v>
      </c>
      <c r="R75" s="334">
        <f t="shared" ref="R75:R83" si="334">AJ75+BS75+DB75+EL75</f>
        <v>0</v>
      </c>
      <c r="S75" s="334">
        <f t="shared" ref="S75:S83" si="335">AK75+BT75+DC75+EM75</f>
        <v>0</v>
      </c>
      <c r="T75" s="331"/>
      <c r="U75" s="183"/>
      <c r="V75" s="210">
        <v>0.5</v>
      </c>
      <c r="W75" s="210"/>
      <c r="X75" s="251">
        <f>V75*($V$4*'BOQ COST'!$E$17)</f>
        <v>4.1777500000000005</v>
      </c>
      <c r="Y75" s="251">
        <f t="shared" ref="Y75:Y83" si="336">Z75+AG75</f>
        <v>0.52221875000000006</v>
      </c>
      <c r="Z75" s="295">
        <f t="shared" ref="Z75" si="337">SUM(Z76:Z78)</f>
        <v>0.52221875000000006</v>
      </c>
      <c r="AA75" s="295">
        <f>SUM(AA76:AA83)</f>
        <v>3.6555312500000001</v>
      </c>
      <c r="AB75" s="295">
        <f>SUM(AB76:AB83)</f>
        <v>1.5666562500000003</v>
      </c>
      <c r="AC75" s="295">
        <f>SUM(AC76:AC83)</f>
        <v>0.52221875000000006</v>
      </c>
      <c r="AD75" s="295">
        <f>SUM(AD76:AD83)</f>
        <v>1.5666562500000003</v>
      </c>
      <c r="AE75" s="295">
        <f>SUM(AE76:AE83)</f>
        <v>0</v>
      </c>
      <c r="AF75" s="252"/>
      <c r="AG75" s="295">
        <f>SUM(AG76:AG83)</f>
        <v>0</v>
      </c>
      <c r="AH75" s="295">
        <f>SUM(AH76:AH83)</f>
        <v>0</v>
      </c>
      <c r="AI75" s="295">
        <f>SUM(AI76:AI83)</f>
        <v>0</v>
      </c>
      <c r="AJ75" s="295">
        <f>SUM(AJ76:AJ83)</f>
        <v>0</v>
      </c>
      <c r="AK75" s="295">
        <f>SUM(AK76:AK83)</f>
        <v>0</v>
      </c>
      <c r="AL75" s="169"/>
      <c r="AM75" s="353"/>
      <c r="AN75" s="353"/>
      <c r="AO75" s="353"/>
      <c r="AP75" s="267"/>
      <c r="AQ75" s="367">
        <f t="shared" ref="AQ75:AW75" si="338">SUM(AQ76:AQ83)</f>
        <v>189</v>
      </c>
      <c r="AR75" s="367">
        <f t="shared" si="338"/>
        <v>147</v>
      </c>
      <c r="AS75" s="367">
        <f t="shared" si="338"/>
        <v>42</v>
      </c>
      <c r="AT75" s="367">
        <f t="shared" si="338"/>
        <v>18</v>
      </c>
      <c r="AU75" s="367">
        <f t="shared" si="338"/>
        <v>6</v>
      </c>
      <c r="AV75" s="367">
        <f t="shared" si="338"/>
        <v>18</v>
      </c>
      <c r="AW75" s="367">
        <f t="shared" si="338"/>
        <v>0</v>
      </c>
      <c r="AX75" s="198"/>
      <c r="AY75" s="367">
        <f>SUM(AY76:AY83)</f>
        <v>0</v>
      </c>
      <c r="AZ75" s="367">
        <f>SUM(AZ76:AZ83)</f>
        <v>0</v>
      </c>
      <c r="BA75" s="367">
        <f>SUM(BA76:BA83)</f>
        <v>0</v>
      </c>
      <c r="BB75" s="367">
        <f>SUM(BB76:BB83)</f>
        <v>0</v>
      </c>
      <c r="BC75" s="367">
        <f>SUM(BC76:BC83)</f>
        <v>0</v>
      </c>
      <c r="BD75" s="219"/>
      <c r="BE75" s="301">
        <f>SUM(BE76:BE78)</f>
        <v>0</v>
      </c>
      <c r="BF75" s="210"/>
      <c r="BG75" s="251"/>
      <c r="BH75" s="251">
        <f t="shared" ref="BH75:BH83" si="339">BI75+BP75</f>
        <v>0</v>
      </c>
      <c r="BI75" s="295">
        <f t="shared" ref="BI75" si="340">SUM(BI76:BI78)</f>
        <v>0</v>
      </c>
      <c r="BJ75" s="295">
        <f>SUM(BJ76:BJ83)</f>
        <v>0</v>
      </c>
      <c r="BK75" s="295">
        <f>SUM(BK76:BK83)</f>
        <v>0</v>
      </c>
      <c r="BL75" s="295">
        <f>SUM(BL76:BL83)</f>
        <v>0</v>
      </c>
      <c r="BM75" s="295">
        <f>SUM(BM76:BM83)</f>
        <v>0</v>
      </c>
      <c r="BN75" s="295">
        <f>SUM(BN76:BN83)</f>
        <v>0</v>
      </c>
      <c r="BO75" s="252"/>
      <c r="BP75" s="295">
        <f>SUM(BP76:BP83)</f>
        <v>0</v>
      </c>
      <c r="BQ75" s="295">
        <f>SUM(BQ76:BQ83)</f>
        <v>0</v>
      </c>
      <c r="BR75" s="295">
        <f>SUM(BR76:BR83)</f>
        <v>0</v>
      </c>
      <c r="BS75" s="295">
        <f>SUM(BS76:BS83)</f>
        <v>0</v>
      </c>
      <c r="BT75" s="295">
        <f>SUM(BT76:BT83)</f>
        <v>0</v>
      </c>
      <c r="BU75" s="169"/>
      <c r="BV75" s="353"/>
      <c r="BW75" s="353"/>
      <c r="BX75" s="353"/>
      <c r="BY75" s="359"/>
      <c r="BZ75" s="295">
        <f t="shared" ref="BZ75:CF75" si="341">SUM(BZ76:BZ83)</f>
        <v>0</v>
      </c>
      <c r="CA75" s="295">
        <f t="shared" si="341"/>
        <v>0</v>
      </c>
      <c r="CB75" s="295">
        <f t="shared" si="341"/>
        <v>0</v>
      </c>
      <c r="CC75" s="295">
        <f t="shared" si="341"/>
        <v>0</v>
      </c>
      <c r="CD75" s="295">
        <f t="shared" si="341"/>
        <v>0</v>
      </c>
      <c r="CE75" s="295">
        <f t="shared" si="341"/>
        <v>0</v>
      </c>
      <c r="CF75" s="295">
        <f t="shared" si="341"/>
        <v>0</v>
      </c>
      <c r="CG75" s="198"/>
      <c r="CH75" s="295">
        <f>SUM(CH76:CH83)</f>
        <v>0</v>
      </c>
      <c r="CI75" s="295">
        <f>SUM(CI76:CI83)</f>
        <v>0</v>
      </c>
      <c r="CJ75" s="295">
        <f>SUM(CJ76:CJ83)</f>
        <v>0</v>
      </c>
      <c r="CK75" s="295">
        <f>SUM(CK76:CK83)</f>
        <v>0</v>
      </c>
      <c r="CL75" s="295">
        <f>SUM(CL76:CL83)</f>
        <v>0</v>
      </c>
      <c r="CM75" s="219"/>
      <c r="CN75" s="262">
        <v>0.65</v>
      </c>
      <c r="CO75" s="210"/>
      <c r="CP75" s="292">
        <f>CN75*($CN$4*'BOQ COST'!$G$17)</f>
        <v>0.45611906572606931</v>
      </c>
      <c r="CQ75" s="251">
        <f t="shared" ref="CQ75:CQ83" si="342">CR75+CY75</f>
        <v>0.171044649647276</v>
      </c>
      <c r="CR75" s="295">
        <f t="shared" ref="CR75" si="343">SUM(CR76:CR78)</f>
        <v>5.7014883215758663E-2</v>
      </c>
      <c r="CS75" s="295">
        <f>SUM(CS76:CS83)</f>
        <v>0.3991041825103106</v>
      </c>
      <c r="CT75" s="295">
        <f>SUM(CT76:CT83)</f>
        <v>0.11402976643151733</v>
      </c>
      <c r="CU75" s="295">
        <f>SUM(CU76:CU83)</f>
        <v>0.11402976643151733</v>
      </c>
      <c r="CV75" s="295">
        <f>SUM(CV76:CV83)</f>
        <v>0.171044649647276</v>
      </c>
      <c r="CW75" s="295">
        <f>SUM(CW76:CW83)</f>
        <v>0</v>
      </c>
      <c r="CX75" s="252"/>
      <c r="CY75" s="295">
        <f>SUM(CY76:CY83)</f>
        <v>0.11402976643151733</v>
      </c>
      <c r="CZ75" s="295">
        <f>SUM(CZ76:CZ83)</f>
        <v>0.11402976643151733</v>
      </c>
      <c r="DA75" s="295">
        <f>SUM(DA76:DA83)</f>
        <v>0</v>
      </c>
      <c r="DB75" s="295">
        <f>SUM(DB76:DB83)</f>
        <v>0</v>
      </c>
      <c r="DC75" s="295">
        <f>SUM(DC76:DC83)</f>
        <v>0</v>
      </c>
      <c r="DD75" s="169"/>
      <c r="DE75" s="266"/>
      <c r="DF75" s="266"/>
      <c r="DG75" s="266"/>
      <c r="DH75" s="267"/>
      <c r="DI75" s="295">
        <f t="shared" ref="DI75:DO75" si="344">SUM(DI76:DI83)</f>
        <v>245</v>
      </c>
      <c r="DJ75" s="295">
        <f t="shared" si="344"/>
        <v>50</v>
      </c>
      <c r="DK75" s="295">
        <f t="shared" si="344"/>
        <v>195</v>
      </c>
      <c r="DL75" s="295">
        <f t="shared" si="344"/>
        <v>80</v>
      </c>
      <c r="DM75" s="295">
        <f t="shared" si="344"/>
        <v>40</v>
      </c>
      <c r="DN75" s="295">
        <f t="shared" si="344"/>
        <v>75</v>
      </c>
      <c r="DO75" s="295">
        <f t="shared" si="344"/>
        <v>0</v>
      </c>
      <c r="DP75" s="198"/>
      <c r="DQ75" s="295">
        <f>SUM(DQ76:DQ83)</f>
        <v>80</v>
      </c>
      <c r="DR75" s="295">
        <f>SUM(DR76:DR83)</f>
        <v>80</v>
      </c>
      <c r="DS75" s="295">
        <f>SUM(DS76:DS83)</f>
        <v>0</v>
      </c>
      <c r="DT75" s="295">
        <f>SUM(DT76:DT83)</f>
        <v>0</v>
      </c>
      <c r="DU75" s="295">
        <f>SUM(DU76:DU83)</f>
        <v>0</v>
      </c>
      <c r="DV75" s="218"/>
      <c r="DW75" s="219"/>
      <c r="DX75" s="210">
        <v>0.55000000000000004</v>
      </c>
      <c r="DY75" s="210"/>
      <c r="DZ75" s="292">
        <f>DX75*($DX$4*'BOQ COST'!$H$17)</f>
        <v>5.2875900000000009E-3</v>
      </c>
      <c r="EA75" s="251">
        <f t="shared" ref="EA75:EA83" si="345">EB75+EI75</f>
        <v>1.9828462500000002E-3</v>
      </c>
      <c r="EB75" s="295">
        <f t="shared" ref="EB75" si="346">SUM(EB76:EB78)</f>
        <v>1.9828462500000002E-3</v>
      </c>
      <c r="EC75" s="295">
        <f>SUM(EC76:EC83)</f>
        <v>2.6437950000000004E-3</v>
      </c>
      <c r="ED75" s="295">
        <f>SUM(ED76:ED83)</f>
        <v>0</v>
      </c>
      <c r="EE75" s="295">
        <f>SUM(EE76:EE83)</f>
        <v>6.6094875000000011E-4</v>
      </c>
      <c r="EF75" s="295">
        <f>SUM(EF76:EF83)</f>
        <v>1.9828462500000002E-3</v>
      </c>
      <c r="EG75" s="295">
        <f>SUM(EG76:EG83)</f>
        <v>0</v>
      </c>
      <c r="EH75" s="252"/>
      <c r="EI75" s="295">
        <f>SUM(EI76:EI83)</f>
        <v>0</v>
      </c>
      <c r="EJ75" s="295">
        <f>SUM(EJ76:EJ83)</f>
        <v>0</v>
      </c>
      <c r="EK75" s="295">
        <f>SUM(EK76:EK83)</f>
        <v>0</v>
      </c>
      <c r="EL75" s="295">
        <f>SUM(EL76:EL83)</f>
        <v>0</v>
      </c>
      <c r="EM75" s="295">
        <f>SUM(EM76:EM83)</f>
        <v>0</v>
      </c>
      <c r="EN75" s="169"/>
      <c r="EO75" s="266"/>
      <c r="EP75" s="266"/>
      <c r="EQ75" s="266"/>
      <c r="ER75" s="267"/>
      <c r="ES75" s="295">
        <f t="shared" ref="ES75:EY75" si="347">SUM(ES76:ES83)</f>
        <v>64</v>
      </c>
      <c r="ET75" s="295">
        <f t="shared" si="347"/>
        <v>30</v>
      </c>
      <c r="EU75" s="295">
        <f t="shared" si="347"/>
        <v>34</v>
      </c>
      <c r="EV75" s="295">
        <f t="shared" si="347"/>
        <v>0</v>
      </c>
      <c r="EW75" s="295">
        <f t="shared" si="347"/>
        <v>10</v>
      </c>
      <c r="EX75" s="295">
        <f t="shared" si="347"/>
        <v>24</v>
      </c>
      <c r="EY75" s="295">
        <f t="shared" si="347"/>
        <v>0</v>
      </c>
      <c r="EZ75" s="198"/>
      <c r="FA75" s="295">
        <f>SUM(FA76:FA83)</f>
        <v>0</v>
      </c>
      <c r="FB75" s="295">
        <f>SUM(FB76:FB83)</f>
        <v>0</v>
      </c>
      <c r="FC75" s="295">
        <f>SUM(FC76:FC83)</f>
        <v>0</v>
      </c>
      <c r="FD75" s="295">
        <f>SUM(FD76:FD83)</f>
        <v>0</v>
      </c>
      <c r="FE75" s="295">
        <f>SUM(FE76:FE83)</f>
        <v>0</v>
      </c>
      <c r="FF75" s="218"/>
    </row>
    <row r="76" spans="2:162" ht="11.85" customHeight="1" outlineLevel="2">
      <c r="B76" s="459" t="s">
        <v>82</v>
      </c>
      <c r="C76" s="547" t="s">
        <v>83</v>
      </c>
      <c r="D76" s="257"/>
      <c r="E76" s="253">
        <f t="shared" si="322"/>
        <v>0.57989458196575872</v>
      </c>
      <c r="F76" s="253">
        <f t="shared" si="323"/>
        <v>0.57989458196575872</v>
      </c>
      <c r="G76" s="254">
        <f t="shared" ref="G76:G79" si="348">E76-F76</f>
        <v>0</v>
      </c>
      <c r="H76" s="253">
        <f t="shared" si="325"/>
        <v>0.57989458196575872</v>
      </c>
      <c r="I76" s="253">
        <f t="shared" si="326"/>
        <v>0</v>
      </c>
      <c r="J76" s="253">
        <f t="shared" si="327"/>
        <v>0</v>
      </c>
      <c r="K76" s="253">
        <f t="shared" si="328"/>
        <v>0</v>
      </c>
      <c r="L76" s="253">
        <f t="shared" si="329"/>
        <v>0</v>
      </c>
      <c r="M76" s="253">
        <f t="shared" si="330"/>
        <v>0</v>
      </c>
      <c r="N76" s="256"/>
      <c r="O76" s="253">
        <f t="shared" si="331"/>
        <v>0</v>
      </c>
      <c r="P76" s="253">
        <f t="shared" si="332"/>
        <v>0</v>
      </c>
      <c r="Q76" s="253">
        <f t="shared" si="333"/>
        <v>0</v>
      </c>
      <c r="R76" s="253">
        <f t="shared" si="334"/>
        <v>0</v>
      </c>
      <c r="S76" s="253">
        <f t="shared" si="335"/>
        <v>0</v>
      </c>
      <c r="T76" s="169"/>
      <c r="U76" s="183"/>
      <c r="V76" s="545">
        <f t="shared" ref="V76:V83" si="349">$V$75/8</f>
        <v>6.25E-2</v>
      </c>
      <c r="W76" s="222"/>
      <c r="X76" s="253">
        <f>$X$75/$V$75*V76</f>
        <v>0.52221875000000006</v>
      </c>
      <c r="Y76" s="253">
        <f t="shared" si="336"/>
        <v>0.52221875000000006</v>
      </c>
      <c r="Z76" s="254">
        <f t="shared" ref="Z76:Z79" si="350">IFERROR(IF(AM76=100%,$X76,0),0)</f>
        <v>0.52221875000000006</v>
      </c>
      <c r="AA76" s="255">
        <f t="shared" ref="AA76:AA79" si="351">IFERROR(IF(AND((AM76+AN76)=100%,AM76&lt;1),$X76,0),0)</f>
        <v>0</v>
      </c>
      <c r="AB76" s="255">
        <f>IFERROR(IF(AND((AR76+AT76)=AQ76,Z76=0),$X76,0),0)</f>
        <v>0</v>
      </c>
      <c r="AC76" s="255">
        <f>IFERROR(IF(AND((AR76+AT76+AU76)=AQ76,Z76=0,AB76=0),$X76,0),0)</f>
        <v>0</v>
      </c>
      <c r="AD76" s="255">
        <f>IFERROR(IF(AND((AR76+AT76+AU76+AV76)=AQ76,Z76=0,AB76=0,AC76=0),$X76,0),0)</f>
        <v>0</v>
      </c>
      <c r="AE76" s="255">
        <f>IFERROR(IF(AND((AR76+AT76+AU76+AV76+AW76)=AQ76,Z76=0,AB76=0,AC76=0,AD76=0),$X76,0),0)</f>
        <v>0</v>
      </c>
      <c r="AF76" s="256"/>
      <c r="AG76" s="255">
        <f t="shared" ref="AG76:AG79" si="352">IFERROR(IF(AND((AM76+AO76)=100%,AM76&lt;1),$X76,0),0)</f>
        <v>0</v>
      </c>
      <c r="AH76" s="255">
        <f>IFERROR(IF(AND((AR76+AZ76)=AQ76,Z76=0),$X76,0),0)</f>
        <v>0</v>
      </c>
      <c r="AI76" s="255">
        <f t="shared" ref="AI76:AI79" si="353">IFERROR(IF(AND((AR76+AZ76+BA76)=AQ76,Z76=0,AH76=0),X76,0),0)</f>
        <v>0</v>
      </c>
      <c r="AJ76" s="255">
        <f t="shared" ref="AJ76:AJ79" si="354">IFERROR(IF(AND((AR76+AZ76+BA76+BB76)=AQ76,Z76=0,AH76=0,AI76=0),$X76,0),0)</f>
        <v>0</v>
      </c>
      <c r="AK76" s="255">
        <f>IFERROR(IF(AND((AR76+AZ76+BC76+BA76+BB76)=AQ76,Z76=0,AH76=0,AI76=0,AJ76=0),$X76,0),0)</f>
        <v>0</v>
      </c>
      <c r="AL76" s="169"/>
      <c r="AM76" s="279">
        <f t="shared" ref="AM76:AM78" si="355">IFERROR(AR76/AQ76,0)</f>
        <v>1</v>
      </c>
      <c r="AN76" s="279">
        <f t="shared" ref="AN76:AN78" si="356">IFERROR(AS76/AQ76,0)</f>
        <v>0</v>
      </c>
      <c r="AO76" s="279">
        <f t="shared" ref="AO76:AO79" si="357">IFERROR(AY76/AQ76,0)</f>
        <v>0</v>
      </c>
      <c r="AP76" s="228"/>
      <c r="AQ76" s="364">
        <f>COUNTIF('AR | Drawing List'!$H:$H,$B76)</f>
        <v>147</v>
      </c>
      <c r="AR76" s="365">
        <f>COUNTIFS('AR | Drawing List'!$H:$H,$B76,INDEX('AR | Drawing List'!$A:$AT,,MATCH('Design Fee'!AR$8,'AR | Drawing List'!$A$1:$AT$1,0)),1)</f>
        <v>147</v>
      </c>
      <c r="AS76" s="365">
        <f>COUNTIFS('AR | Drawing List'!$H:$H,$B76,INDEX('AR | Drawing List'!$K:$AT,,MATCH('Design Fee'!AS$8,'AR | Drawing List'!$K$1:$AT$1,0)),1)</f>
        <v>0</v>
      </c>
      <c r="AT76" s="365">
        <f>COUNTIFS('AR | Drawing List'!$H:$H,$B76,INDEX('AR | Drawing List'!$K:$AT,,MATCH('Design Fee'!AT$8,'AR | Drawing List'!$K$1:$AT$1,0)),1)</f>
        <v>0</v>
      </c>
      <c r="AU76" s="365">
        <f>COUNTIFS('AR | Drawing List'!$H:$H,$B76,INDEX('AR | Drawing List'!$K:$AT,,MATCH('Design Fee'!AU$8,'AR | Drawing List'!$K$1:$AT$1,0)),1)</f>
        <v>0</v>
      </c>
      <c r="AV76" s="365">
        <f>COUNTIFS('AR | Drawing List'!$H:$H,$B76,INDEX('AR | Drawing List'!$K:$AT,,MATCH('Design Fee'!AV$8,'AR | Drawing List'!$K$1:$AT$1,0)),1)</f>
        <v>0</v>
      </c>
      <c r="AW76" s="365">
        <f>COUNTIFS('AR | Drawing List'!$H:$H,$B76,INDEX('AR | Drawing List'!$K:$AT,,MATCH('Design Fee'!AW$8,'AR | Drawing List'!$K$1:$AT$1,0)),1)</f>
        <v>0</v>
      </c>
      <c r="AX76" s="198"/>
      <c r="AY76" s="365">
        <f>COUNTIFS('AR | Drawing List'!$H:$H,$B76,INDEX('AR | Drawing List'!$K:$AT,,MATCH('Design Fee'!AY$8,'AR | Drawing List'!$K$1:$AT$1,0)),1)</f>
        <v>0</v>
      </c>
      <c r="AZ76" s="365">
        <f>COUNTIFS('AR | Drawing List'!$H:$H,$B76,INDEX('AR | Drawing List'!$K:$AT,,MATCH('Design Fee'!AZ$8,'AR | Drawing List'!$K$1:$AT$1,0)),1)</f>
        <v>0</v>
      </c>
      <c r="BA76" s="365">
        <f>COUNTIFS('AR | Drawing List'!$H:$H,$B76,INDEX('AR | Drawing List'!$K:$AT,,MATCH('Design Fee'!BA$8,'AR | Drawing List'!$K$1:$AT$1,0)),1)</f>
        <v>0</v>
      </c>
      <c r="BB76" s="365">
        <f>COUNTIFS('AR | Drawing List'!$H:$H,$B76,INDEX('AR | Drawing List'!$K:$AT,,MATCH('Design Fee'!BB$8,'AR | Drawing List'!$K$1:$AT$1,0)),1)</f>
        <v>0</v>
      </c>
      <c r="BC76" s="365">
        <f>COUNTIFS('AR | Drawing List'!$H:$H,$B76,INDEX('AR | Drawing List'!$K:$AT,,MATCH('Design Fee'!BC$8,'AR | Drawing List'!$K$1:$AT$1,0)),1)</f>
        <v>0</v>
      </c>
      <c r="BD76" s="198"/>
      <c r="BE76" s="261">
        <v>0</v>
      </c>
      <c r="BF76" s="222"/>
      <c r="BG76" s="253"/>
      <c r="BH76" s="253">
        <f t="shared" si="339"/>
        <v>0</v>
      </c>
      <c r="BI76" s="254">
        <f>IFERROR(IF(BV76=100%,$BG76,0),0)</f>
        <v>0</v>
      </c>
      <c r="BJ76" s="255">
        <f>IFERROR(IF(AND((BV76+BW76)=100%,BV76&lt;1),$BG76,0),0)</f>
        <v>0</v>
      </c>
      <c r="BK76" s="255">
        <f>IFERROR(IF(AND((CA76+CC76)=BZ76,BI76=0),$BG76,0),0)</f>
        <v>0</v>
      </c>
      <c r="BL76" s="255">
        <f>IFERROR(IF(AND((CA76+CC76+CD76)=BZ76,BI76=0,BK76=0),$BG76,0),0)</f>
        <v>0</v>
      </c>
      <c r="BM76" s="255">
        <f>IFERROR(IF(AND((CA76+CC76+CD76+CE76)=BZ76,BI76=0,BK76=0,BL76=0),$BG76,0),0)</f>
        <v>0</v>
      </c>
      <c r="BN76" s="255">
        <f>IFERROR(IF(AND((CA76+CC76+CD76+CE76+CF76)=BZ76,BI76=0,BK76=0,BL76=0,BM76=0),$BG76,0),0)</f>
        <v>0</v>
      </c>
      <c r="BO76" s="256"/>
      <c r="BP76" s="255">
        <f>IFERROR(IF(AND((BV76+BX76)=100%,BV76&lt;1),$BG76,0),0)</f>
        <v>0</v>
      </c>
      <c r="BQ76" s="255">
        <f>IFERROR(IF(AND((CA76+CI76)=BZ76,BI76=0),$BG76,0),0)</f>
        <v>0</v>
      </c>
      <c r="BR76" s="255">
        <f t="shared" ref="BR76:BR79" si="358">IFERROR(IF(AND((CA76+CI76+CJ76)=BZ76,BI76=0,BQ76=0),BG76,0),0)</f>
        <v>0</v>
      </c>
      <c r="BS76" s="255">
        <f>IFERROR(IF(AND((CA76+CI76+CJ76+CK76)=BZ76,BI76=0,BQ76=0,BR76=0),$BG76,0),0)</f>
        <v>0</v>
      </c>
      <c r="BT76" s="255">
        <f>IFERROR(IF(AND((CA76+CI76+CL76+CJ76+CK76)=BZ76,BI76=0,BQ76=0,BR76=0,BS76=0),$BG76,0),0)</f>
        <v>0</v>
      </c>
      <c r="BU76" s="169"/>
      <c r="BV76" s="279">
        <f t="shared" ref="BV76:BV79" si="359">IFERROR(CA76/BZ76,0)</f>
        <v>0</v>
      </c>
      <c r="BW76" s="279">
        <f t="shared" ref="BW76:BW79" si="360">IFERROR(CB76/BZ76,0)</f>
        <v>0</v>
      </c>
      <c r="BX76" s="279">
        <f>IFERROR(#REF!/BZ76,0)</f>
        <v>0</v>
      </c>
      <c r="BZ76" s="297">
        <f>COUNTIF('ST | Drawing List'!$G:$G,$B76)</f>
        <v>0</v>
      </c>
      <c r="CA76" s="191">
        <f>COUNTIFS('ST | Drawing List'!$G:$G,$B76,INDEX('ST | Drawing List'!$A:$U,,MATCH('Design Fee'!CA$8,'ST | Drawing List'!$A$1:$U$1,0)),1)</f>
        <v>0</v>
      </c>
      <c r="CB76" s="191">
        <f>COUNTIFS('ST | Drawing List'!$G:$G,$B76,INDEX('ST | Drawing List'!$J:$U,,MATCH('Design Fee'!CB$8,'ST | Drawing List'!$J$1:$U$1,0)),1)</f>
        <v>0</v>
      </c>
      <c r="CC76" s="191">
        <f>COUNTIFS('ST | Drawing List'!$G:$G,$B76,INDEX('ST | Drawing List'!$J:$U,,MATCH('Design Fee'!CC$8,'ST | Drawing List'!$J$1:$U$1,0)),1)</f>
        <v>0</v>
      </c>
      <c r="CD76" s="191">
        <f>COUNTIFS('ST | Drawing List'!$G:$G,$B76,INDEX('ST | Drawing List'!$J:$U,,MATCH('Design Fee'!CD$8,'ST | Drawing List'!$J$1:$U$1,0)),1)</f>
        <v>0</v>
      </c>
      <c r="CE76" s="191">
        <f>COUNTIFS('ST | Drawing List'!$G:$G,$B76,INDEX('ST | Drawing List'!$J:$U,,MATCH('Design Fee'!CE$8,'ST | Drawing List'!$J$1:$U$1,0)),1)</f>
        <v>0</v>
      </c>
      <c r="CF76" s="191">
        <f>COUNTIFS('ST | Drawing List'!$G:$G,$B76,INDEX('ST | Drawing List'!$J:$U,,MATCH('Design Fee'!CF$8,'ST | Drawing List'!$J$1:$U$1,0)),1)</f>
        <v>0</v>
      </c>
      <c r="CG76" s="198"/>
      <c r="CH76" s="191">
        <f>COUNTIFS('ST | Drawing List'!$G:$G,$B76,INDEX('ST | Drawing List'!$J:$U,,MATCH('Design Fee'!CH$8,'ST | Drawing List'!$J$1:$U$1,0)),1)</f>
        <v>0</v>
      </c>
      <c r="CI76" s="191">
        <f>COUNTIFS('ST | Drawing List'!$G:$G,$B76,INDEX('ST | Drawing List'!$J:$U,,MATCH('Design Fee'!CI$8,'ST | Drawing List'!$J$1:$U$1,0)),1)</f>
        <v>0</v>
      </c>
      <c r="CJ76" s="191">
        <f>COUNTIFS('ST | Drawing List'!$G:$G,$B76,INDEX('ST | Drawing List'!$J:$U,,MATCH('Design Fee'!CJ$8,'ST | Drawing List'!$J$1:$U$1,0)),1)</f>
        <v>0</v>
      </c>
      <c r="CK76" s="191">
        <f>COUNTIFS('ST | Drawing List'!$G:$G,$B76,INDEX('ST | Drawing List'!$J:$U,,MATCH('Design Fee'!CK$8,'ST | Drawing List'!$J$1:$U$1,0)),1)</f>
        <v>0</v>
      </c>
      <c r="CL76" s="191">
        <f>COUNTIFS('ST | Drawing List'!$G:$G,$B76,INDEX('ST | Drawing List'!$J:$U,,MATCH('Design Fee'!CL$8,'ST | Drawing List'!$J$1:$U$1,0)),1)</f>
        <v>0</v>
      </c>
      <c r="CM76" s="198"/>
      <c r="CN76" s="545">
        <f t="shared" ref="CN76:CN83" si="361">$CN$75/8</f>
        <v>8.1250000000000003E-2</v>
      </c>
      <c r="CO76" s="222"/>
      <c r="CP76" s="253">
        <f>$CP$75/$CN$75*CN76</f>
        <v>5.7014883215758663E-2</v>
      </c>
      <c r="CQ76" s="253">
        <f t="shared" si="342"/>
        <v>5.7014883215758663E-2</v>
      </c>
      <c r="CR76" s="254">
        <f>IFERROR(IF(DE76=100%,$CP76,0),0)</f>
        <v>5.7014883215758663E-2</v>
      </c>
      <c r="CS76" s="255">
        <f>IFERROR(IF(AND((DE76+DF76)=100%,DE76&lt;1),$CP76,0),0)</f>
        <v>0</v>
      </c>
      <c r="CT76" s="255">
        <f>IFERROR(IF(AND((DJ76+DL76)=DI76,CR76=0),$CP76,0),0)</f>
        <v>0</v>
      </c>
      <c r="CU76" s="255">
        <f>IFERROR(IF(AND((DJ76+DL76+DM76)=DI76,CR76=0,CT76=0),$CP76,0),0)</f>
        <v>0</v>
      </c>
      <c r="CV76" s="255">
        <f>IFERROR(IF(AND((DJ76+DL76+DM76+DN76)=DI76,CR76=0,CT76=0,CU76=0),$CP76,0),0)</f>
        <v>0</v>
      </c>
      <c r="CW76" s="255">
        <f>IFERROR(IF(AND((DJ76+DL76+DM76+DN76+DO76)=DI76,CR76=0,CT76=0,CU76=0,CV76=0),$CP76,0),0)</f>
        <v>0</v>
      </c>
      <c r="CX76" s="256"/>
      <c r="CY76" s="255">
        <f>IFERROR(IF(AND((DE76+DG76)=100%,DE76&lt;1),$CP76,0),0)</f>
        <v>0</v>
      </c>
      <c r="CZ76" s="255">
        <f>IFERROR(IF(AND((DJ76+DR76)=DI76,CR76=0),$CP76,0),0)</f>
        <v>0</v>
      </c>
      <c r="DA76" s="255">
        <f t="shared" ref="DA76:DA79" si="362">IFERROR(IF(AND((DJ76+DR76+DS76)=DI76,CR76=0,CZ76=0),CP76,0),0)</f>
        <v>0</v>
      </c>
      <c r="DB76" s="255">
        <f>IFERROR(IF(AND((DJ76+DR76+DS76+DT76)=DI76,CR76=0,CZ76=0,DA76=0),$CP76,0),0)</f>
        <v>0</v>
      </c>
      <c r="DC76" s="255">
        <f>IFERROR(IF(AND((DJ76+DR76+DU76+DS76+DT76)=DI76,CR76=0,CZ76=0,DA76=0,DB76=0),$CP76,0),0)</f>
        <v>0</v>
      </c>
      <c r="DD76" s="183"/>
      <c r="DE76" s="300">
        <f t="shared" ref="DE76:DE79" si="363">IFERROR(DJ76/DI76,0)</f>
        <v>1</v>
      </c>
      <c r="DF76" s="300">
        <f t="shared" ref="DF76:DF79" si="364">IFERROR(DK76/DI76,0)</f>
        <v>0</v>
      </c>
      <c r="DG76" s="300">
        <f t="shared" ref="DG76:DG79" si="365">IFERROR(DQ76/DI76,0)</f>
        <v>0</v>
      </c>
      <c r="DH76" s="228"/>
      <c r="DI76" s="297">
        <f>COUNTIF('MEP | Drawing List'!$I:$I,$B76)</f>
        <v>48</v>
      </c>
      <c r="DJ76" s="191">
        <f>COUNTIFS('MEP | Drawing List'!$I:$I,$B76,INDEX('MEP | Drawing List'!$B:$X,,MATCH('Design Fee'!DJ$8,'MEP | Drawing List'!$B$1:$X$1,0)),1)</f>
        <v>48</v>
      </c>
      <c r="DK76" s="191">
        <f>COUNTIFS('MEP | Drawing List'!$I:$I,$B76,INDEX('MEP | Drawing List'!$L:$X,,MATCH('Design Fee'!DK$8,'MEP | Drawing List'!$L$1:$X$1,0)),1)</f>
        <v>0</v>
      </c>
      <c r="DL76" s="191">
        <f>COUNTIFS('MEP | Drawing List'!$I:$I,$B76,INDEX('MEP | Drawing List'!$L:$X,,MATCH('Design Fee'!DL$8,'MEP | Drawing List'!$L$1:$X$1,0)),1)</f>
        <v>0</v>
      </c>
      <c r="DM76" s="191">
        <f>COUNTIFS('MEP | Drawing List'!$I:$I,$B76,INDEX('MEP | Drawing List'!$L:$X,,MATCH('Design Fee'!DM$8,'MEP | Drawing List'!$L$1:$X$1,0)),1)</f>
        <v>0</v>
      </c>
      <c r="DN76" s="191">
        <f>COUNTIFS('MEP | Drawing List'!$I:$I,$B76,INDEX('MEP | Drawing List'!$L:$X,,MATCH('Design Fee'!DN$8,'MEP | Drawing List'!$L$1:$X$1,0)),1)</f>
        <v>0</v>
      </c>
      <c r="DO76" s="191">
        <f>COUNTIFS('MEP | Drawing List'!$I:$I,$B76,INDEX('MEP | Drawing List'!$L:$X,,MATCH('Design Fee'!DO$8,'MEP | Drawing List'!$L$1:$X$1,0)),1)</f>
        <v>0</v>
      </c>
      <c r="DP76" s="198"/>
      <c r="DQ76" s="191">
        <f>COUNTIFS('MEP | Drawing List'!$I:$I,$B76,INDEX('MEP | Drawing List'!$L:$X,,MATCH('Design Fee'!DQ$8,'MEP | Drawing List'!$L$1:$X$1,0)),1)</f>
        <v>0</v>
      </c>
      <c r="DR76" s="191">
        <f>COUNTIFS('MEP | Drawing List'!$I:$I,$B76,INDEX('MEP | Drawing List'!$L:$X,,MATCH('Design Fee'!DR$8,'MEP | Drawing List'!$L$1:$X$1,0)),1)</f>
        <v>0</v>
      </c>
      <c r="DS76" s="191">
        <f>COUNTIFS('MEP | Drawing List'!$I:$I,$B76,INDEX('MEP | Drawing List'!$L:$X,,MATCH('Design Fee'!DS$8,'MEP | Drawing List'!$L$1:$X$1,0)),1)</f>
        <v>0</v>
      </c>
      <c r="DT76" s="191">
        <f>COUNTIFS('MEP | Drawing List'!$I:$I,$B76,INDEX('MEP | Drawing List'!$L:$X,,MATCH('Design Fee'!DT$8,'MEP | Drawing List'!$L$1:$X$1,0)),1)</f>
        <v>0</v>
      </c>
      <c r="DU76" s="191">
        <f>COUNTIFS('MEP | Drawing List'!$I:$I,$B76,INDEX('MEP | Drawing List'!$L:$X,,MATCH('Design Fee'!DU$8,'MEP | Drawing List'!$L$1:$X$1,0)),1)</f>
        <v>0</v>
      </c>
      <c r="DV76" s="207"/>
      <c r="DW76" s="198"/>
      <c r="DX76" s="232">
        <f t="shared" ref="DX76:DX83" si="366">$DX$75/8</f>
        <v>6.8750000000000006E-2</v>
      </c>
      <c r="DY76" s="222"/>
      <c r="DZ76" s="253">
        <f>$DZ$75/$DX$75*DX76</f>
        <v>6.6094875000000011E-4</v>
      </c>
      <c r="EA76" s="253">
        <f t="shared" si="345"/>
        <v>6.6094875000000011E-4</v>
      </c>
      <c r="EB76" s="254">
        <f>IFERROR(IF(EO76=100%,$DZ76,0),0)</f>
        <v>6.6094875000000011E-4</v>
      </c>
      <c r="EC76" s="255">
        <f>IFERROR(IF(AND((EO76+EP76)=100%,EO76&lt;1),$DZ76,0),0)</f>
        <v>0</v>
      </c>
      <c r="ED76" s="255">
        <f>IFERROR(IF(AND((ET76+EV76)=ES76,EB76=0),$DZ76,0),0)</f>
        <v>0</v>
      </c>
      <c r="EE76" s="255">
        <f>IFERROR(IF(AND((ET76+EV76+EW76)=ES76,EB76=0,ED76=0),$DZ76,0),0)</f>
        <v>0</v>
      </c>
      <c r="EF76" s="255">
        <f>IFERROR(IF(AND((ET76+EV76+EW76+EX76)=ES76,EB76=0,ED76=0,EE76=0),$DZ76,0),0)</f>
        <v>0</v>
      </c>
      <c r="EG76" s="255">
        <f>IFERROR(IF(AND((ET76+EV76+EW76+EX76+EY76)=ES76,EB76=0,ED76=0,EE76=0,EF76=0),$DZ76,0),0)</f>
        <v>0</v>
      </c>
      <c r="EH76" s="256"/>
      <c r="EI76" s="255">
        <f>IFERROR(IF(AND((EO76+EQ76)=100%,EO76&lt;1),$DZ76,0),0)</f>
        <v>0</v>
      </c>
      <c r="EJ76" s="255">
        <f>IFERROR(IF(AND((ET76+FB76)=ES76,EB76=0),$DZ76,0),0)</f>
        <v>0</v>
      </c>
      <c r="EK76" s="255">
        <f>IFERROR(IF(AND((ET76+FB76+FC76)=ES76,EB76=0,EJ76=0),DZ76,0),0)</f>
        <v>0</v>
      </c>
      <c r="EL76" s="255">
        <f>IFERROR(IF(AND((ET76+FB76+FC76+FD76)=ES76,EB76=0,EJ76=0,EK76=0),$DZ76,0),0)</f>
        <v>0</v>
      </c>
      <c r="EM76" s="255">
        <f>IFERROR(IF(AND((ET76+FB76+FE76+FC76+FD76)=ES76,EB76=0,EJ76=0,EK76=0,EL76=0),$DZ76,0),0)</f>
        <v>0</v>
      </c>
      <c r="EN76" s="183"/>
      <c r="EO76" s="300">
        <f t="shared" ref="EO76:EO79" si="367">IFERROR(ET76/ES76,0)</f>
        <v>1</v>
      </c>
      <c r="EP76" s="300">
        <f t="shared" ref="EP76:EP79" si="368">IFERROR(EU76/ES76,0)</f>
        <v>0</v>
      </c>
      <c r="EQ76" s="300">
        <f t="shared" ref="EQ76:EQ79" si="369">IFERROR(FA76/ES76,0)</f>
        <v>0</v>
      </c>
      <c r="ER76" s="228"/>
      <c r="ES76" s="297">
        <f>COUNTIF('LS | Drawing List'!$H:$H,$B76)</f>
        <v>6</v>
      </c>
      <c r="ET76" s="191">
        <f>COUNTIFS('LS | Drawing List'!$H:$H,$B76,INDEX('LS | Drawing List'!$A:$V,,MATCH('Design Fee'!ET$8,'LS | Drawing List'!$A$1:$V$1,0)),1)</f>
        <v>6</v>
      </c>
      <c r="EU76" s="191">
        <f>COUNTIFS('LS | Drawing List'!$H:$H,$B76,INDEX('LS | Drawing List'!$K:$V,,MATCH('Design Fee'!EU$8,'LS | Drawing List'!$K$1:$V$1,0)),1)</f>
        <v>0</v>
      </c>
      <c r="EV76" s="191">
        <f>COUNTIFS('LS | Drawing List'!$H:$H,$B76,INDEX('LS | Drawing List'!$K:$V,,MATCH('Design Fee'!EV$8,'LS | Drawing List'!$K$1:$V$1,0)),1)</f>
        <v>0</v>
      </c>
      <c r="EW76" s="191">
        <f>COUNTIFS('LS | Drawing List'!$H:$H,$B76,INDEX('LS | Drawing List'!$K:$V,,MATCH('Design Fee'!EW$8,'LS | Drawing List'!$K$1:$V$1,0)),1)</f>
        <v>0</v>
      </c>
      <c r="EX76" s="191">
        <f>COUNTIFS('LS | Drawing List'!$H:$H,$B76,INDEX('LS | Drawing List'!$K:$V,,MATCH('Design Fee'!EX$8,'LS | Drawing List'!$K$1:$V$1,0)),1)</f>
        <v>0</v>
      </c>
      <c r="EY76" s="191">
        <f>COUNTIFS('LS | Drawing List'!$H:$H,$B76,INDEX('LS | Drawing List'!$K:$V,,MATCH('Design Fee'!EY$8,'LS | Drawing List'!$K$1:$V$1,0)),1)</f>
        <v>0</v>
      </c>
      <c r="EZ76" s="198"/>
      <c r="FA76" s="191">
        <f>COUNTIFS('LS | Drawing List'!$H:$H,$B76,INDEX('LS | Drawing List'!$K:$V,,MATCH('Design Fee'!FA$8,'LS | Drawing List'!$K$1:$V$1,0)),1)</f>
        <v>0</v>
      </c>
      <c r="FB76" s="191">
        <f>COUNTIFS('LS | Drawing List'!$H:$H,$B76,INDEX('LS | Drawing List'!$K:$V,,MATCH('Design Fee'!FB$8,'LS | Drawing List'!$K$1:$V$1,0)),1)</f>
        <v>0</v>
      </c>
      <c r="FC76" s="191">
        <f>COUNTIFS('LS | Drawing List'!$H:$H,$B76,INDEX('LS | Drawing List'!$K:$V,,MATCH('Design Fee'!FC$8,'LS | Drawing List'!$K$1:$V$1,0)),1)</f>
        <v>0</v>
      </c>
      <c r="FD76" s="191">
        <f>COUNTIFS('LS | Drawing List'!$H:$H,$B76,INDEX('LS | Drawing List'!$K:$V,,MATCH('Design Fee'!FD$8,'LS | Drawing List'!$K$1:$V$1,0)),1)</f>
        <v>0</v>
      </c>
      <c r="FE76" s="191">
        <f>COUNTIFS('LS | Drawing List'!$H:$H,$B76,INDEX('LS | Drawing List'!$K:$V,,MATCH('Design Fee'!FE$8,'LS | Drawing List'!$K$1:$V$1,0)),1)</f>
        <v>0</v>
      </c>
      <c r="FF76" s="207"/>
    </row>
    <row r="77" spans="2:162" ht="11.85" customHeight="1" outlineLevel="2">
      <c r="B77" s="459" t="s">
        <v>84</v>
      </c>
      <c r="C77" s="547" t="s">
        <v>85</v>
      </c>
      <c r="D77" s="257"/>
      <c r="E77" s="253">
        <f t="shared" si="322"/>
        <v>0.57989458196575872</v>
      </c>
      <c r="F77" s="253">
        <f t="shared" si="323"/>
        <v>5.7675831965758664E-2</v>
      </c>
      <c r="G77" s="254">
        <f t="shared" si="348"/>
        <v>0.52221875000000006</v>
      </c>
      <c r="H77" s="253">
        <f t="shared" si="325"/>
        <v>6.6094875000000011E-4</v>
      </c>
      <c r="I77" s="253">
        <f t="shared" si="326"/>
        <v>0.57923363321575871</v>
      </c>
      <c r="J77" s="253">
        <f t="shared" si="327"/>
        <v>0.57923363321575871</v>
      </c>
      <c r="K77" s="253">
        <f t="shared" si="328"/>
        <v>0</v>
      </c>
      <c r="L77" s="253">
        <f t="shared" si="329"/>
        <v>0</v>
      </c>
      <c r="M77" s="253">
        <f t="shared" si="330"/>
        <v>0</v>
      </c>
      <c r="N77" s="256"/>
      <c r="O77" s="253">
        <f t="shared" si="331"/>
        <v>5.7014883215758663E-2</v>
      </c>
      <c r="P77" s="253">
        <f t="shared" si="332"/>
        <v>5.7014883215758663E-2</v>
      </c>
      <c r="Q77" s="253">
        <f t="shared" si="333"/>
        <v>0</v>
      </c>
      <c r="R77" s="253">
        <f t="shared" si="334"/>
        <v>0</v>
      </c>
      <c r="S77" s="253">
        <f t="shared" si="335"/>
        <v>0</v>
      </c>
      <c r="T77" s="169"/>
      <c r="U77" s="183"/>
      <c r="V77" s="545">
        <f t="shared" si="349"/>
        <v>6.25E-2</v>
      </c>
      <c r="W77" s="222"/>
      <c r="X77" s="253">
        <f t="shared" ref="X77:X79" si="370">$X$75/$V$75*V77</f>
        <v>0.52221875000000006</v>
      </c>
      <c r="Y77" s="253">
        <f t="shared" si="336"/>
        <v>0</v>
      </c>
      <c r="Z77" s="254">
        <f t="shared" si="350"/>
        <v>0</v>
      </c>
      <c r="AA77" s="255">
        <f t="shared" si="351"/>
        <v>0.52221875000000006</v>
      </c>
      <c r="AB77" s="255">
        <f t="shared" ref="AB77:AB79" si="371">IFERROR(IF(AND((AR77+AT77)=AQ77,Z77=0),$X77,0),0)</f>
        <v>0.52221875000000006</v>
      </c>
      <c r="AC77" s="255">
        <f>IFERROR(IF(AND((AR77+AT77+AU77)=AQ77,Z77=0,AB77=0),$X77,0),0)</f>
        <v>0</v>
      </c>
      <c r="AD77" s="255">
        <f>IFERROR(IF(AND((AR77+AT77+AU77+AV77)=AQ77,Z77=0,AB77=0,AC77=0),$X77,0),0)</f>
        <v>0</v>
      </c>
      <c r="AE77" s="255">
        <f>IFERROR(IF(AND((AR77+AT77+AU77+AV77+AW77)=AQ77,Z77=0,AB77=0,AC77=0,AD77=0),$X77,0),0)</f>
        <v>0</v>
      </c>
      <c r="AF77" s="256"/>
      <c r="AG77" s="255">
        <f t="shared" si="352"/>
        <v>0</v>
      </c>
      <c r="AH77" s="255">
        <f>IFERROR(IF(AND((AR77+AZ77)=AQ77,Z77=0),$X77,0),0)</f>
        <v>0</v>
      </c>
      <c r="AI77" s="255">
        <f t="shared" si="353"/>
        <v>0</v>
      </c>
      <c r="AJ77" s="255">
        <f t="shared" si="354"/>
        <v>0</v>
      </c>
      <c r="AK77" s="255">
        <f>IFERROR(IF(AND((AR77+AZ77+BC77+BA77+BB77)=AQ77,Z77=0,AH77=0,AI77=0,AJ77=0),$X77,0),0)</f>
        <v>0</v>
      </c>
      <c r="AL77" s="169"/>
      <c r="AM77" s="281">
        <f t="shared" si="355"/>
        <v>0</v>
      </c>
      <c r="AN77" s="281">
        <f t="shared" si="356"/>
        <v>1</v>
      </c>
      <c r="AO77" s="279">
        <f t="shared" si="357"/>
        <v>0</v>
      </c>
      <c r="AP77" s="228"/>
      <c r="AQ77" s="364">
        <f>COUNTIF('AR | Drawing List'!$H:$H,$B77)</f>
        <v>6</v>
      </c>
      <c r="AR77" s="365">
        <f>COUNTIFS('AR | Drawing List'!$H:$H,$B77,INDEX('AR | Drawing List'!$A:$AT,,MATCH('Design Fee'!AR$8,'AR | Drawing List'!$A$1:$AT$1,0)),1)</f>
        <v>0</v>
      </c>
      <c r="AS77" s="365">
        <f>COUNTIFS('AR | Drawing List'!$H:$H,$B77,INDEX('AR | Drawing List'!$K:$AT,,MATCH('Design Fee'!AS$8,'AR | Drawing List'!$K$1:$AT$1,0)),1)</f>
        <v>6</v>
      </c>
      <c r="AT77" s="365">
        <f>COUNTIFS('AR | Drawing List'!$H:$H,$B77,INDEX('AR | Drawing List'!$K:$AT,,MATCH('Design Fee'!AT$8,'AR | Drawing List'!$K$1:$AT$1,0)),1)</f>
        <v>6</v>
      </c>
      <c r="AU77" s="365">
        <f>COUNTIFS('AR | Drawing List'!$H:$H,$B77,INDEX('AR | Drawing List'!$K:$AT,,MATCH('Design Fee'!AU$8,'AR | Drawing List'!$K$1:$AT$1,0)),1)</f>
        <v>0</v>
      </c>
      <c r="AV77" s="365">
        <f>COUNTIFS('AR | Drawing List'!$H:$H,$B77,INDEX('AR | Drawing List'!$K:$AT,,MATCH('Design Fee'!AV$8,'AR | Drawing List'!$K$1:$AT$1,0)),1)</f>
        <v>0</v>
      </c>
      <c r="AW77" s="365">
        <f>COUNTIFS('AR | Drawing List'!$H:$H,$B77,INDEX('AR | Drawing List'!$K:$AT,,MATCH('Design Fee'!AW$8,'AR | Drawing List'!$K$1:$AT$1,0)),1)</f>
        <v>0</v>
      </c>
      <c r="AX77" s="198"/>
      <c r="AY77" s="365">
        <f>COUNTIFS('AR | Drawing List'!$H:$H,$B77,INDEX('AR | Drawing List'!$K:$AT,,MATCH('Design Fee'!AY$8,'AR | Drawing List'!$K$1:$AT$1,0)),1)</f>
        <v>0</v>
      </c>
      <c r="AZ77" s="365">
        <f>COUNTIFS('AR | Drawing List'!$H:$H,$B77,INDEX('AR | Drawing List'!$K:$AT,,MATCH('Design Fee'!AZ$8,'AR | Drawing List'!$K$1:$AT$1,0)),1)</f>
        <v>0</v>
      </c>
      <c r="BA77" s="365">
        <f>COUNTIFS('AR | Drawing List'!$H:$H,$B77,INDEX('AR | Drawing List'!$K:$AT,,MATCH('Design Fee'!BA$8,'AR | Drawing List'!$K$1:$AT$1,0)),1)</f>
        <v>0</v>
      </c>
      <c r="BB77" s="365">
        <f>COUNTIFS('AR | Drawing List'!$H:$H,$B77,INDEX('AR | Drawing List'!$K:$AT,,MATCH('Design Fee'!BB$8,'AR | Drawing List'!$K$1:$AT$1,0)),1)</f>
        <v>0</v>
      </c>
      <c r="BC77" s="365">
        <f>COUNTIFS('AR | Drawing List'!$H:$H,$B77,INDEX('AR | Drawing List'!$K:$AT,,MATCH('Design Fee'!BC$8,'AR | Drawing List'!$K$1:$AT$1,0)),1)</f>
        <v>0</v>
      </c>
      <c r="BD77" s="198"/>
      <c r="BE77" s="261">
        <v>0</v>
      </c>
      <c r="BF77" s="222"/>
      <c r="BG77" s="253"/>
      <c r="BH77" s="253">
        <f t="shared" si="339"/>
        <v>0</v>
      </c>
      <c r="BI77" s="254">
        <f>IFERROR(IF(BV77=100%,$BG77,0),0)</f>
        <v>0</v>
      </c>
      <c r="BJ77" s="255">
        <f>IFERROR(IF(AND((BV77+BW77)=100%,BV77&lt;1),$BG77,0),0)</f>
        <v>0</v>
      </c>
      <c r="BK77" s="255">
        <f>IFERROR(IF(AND((CA77+CC77)=BZ77,BI77=0),$BG77,0),0)</f>
        <v>0</v>
      </c>
      <c r="BL77" s="255">
        <f>IFERROR(IF(AND((CA77+CC77+CD77)=BZ77,BI77=0,BK77=0),$BG77,0),0)</f>
        <v>0</v>
      </c>
      <c r="BM77" s="255">
        <f>IFERROR(IF(AND((CA77+CC77+CD77+CE77)=BZ77,BI77=0,BK77=0,BL77=0),$BG77,0),0)</f>
        <v>0</v>
      </c>
      <c r="BN77" s="255">
        <f>IFERROR(IF(AND((CA77+CC77+CD77+CE77+CF77)=BZ77,BI77=0,BK77=0,BL77=0,BM77=0),$BG77,0),0)</f>
        <v>0</v>
      </c>
      <c r="BO77" s="256"/>
      <c r="BP77" s="255">
        <f>IFERROR(IF(AND((BV77+BX77)=100%,BV77&lt;1),$BG77,0),0)</f>
        <v>0</v>
      </c>
      <c r="BQ77" s="255">
        <f>IFERROR(IF(AND((CA77+CI77)=BZ77,BI77=0),$BG77,0),0)</f>
        <v>0</v>
      </c>
      <c r="BR77" s="255">
        <f t="shared" si="358"/>
        <v>0</v>
      </c>
      <c r="BS77" s="255">
        <f>IFERROR(IF(AND((CA77+CI77+CJ77+CK77)=BZ77,BI77=0,BQ77=0,BR77=0),$BG77,0),0)</f>
        <v>0</v>
      </c>
      <c r="BT77" s="255">
        <f>IFERROR(IF(AND((CA77+CI77+CL77+CJ77+CK77)=BZ77,BI77=0,BQ77=0,BR77=0,BS77=0),$BG77,0),0)</f>
        <v>0</v>
      </c>
      <c r="BU77" s="169"/>
      <c r="BV77" s="281">
        <f t="shared" si="359"/>
        <v>0</v>
      </c>
      <c r="BW77" s="281">
        <f t="shared" si="360"/>
        <v>0</v>
      </c>
      <c r="BX77" s="281">
        <f>IFERROR(#REF!/BZ77,0)</f>
        <v>0</v>
      </c>
      <c r="BZ77" s="297">
        <f>COUNTIF('ST | Drawing List'!$G:$G,$B77)</f>
        <v>0</v>
      </c>
      <c r="CA77" s="191">
        <f>COUNTIFS('ST | Drawing List'!$G:$G,$B77,INDEX('ST | Drawing List'!$A:$U,,MATCH('Design Fee'!CA$8,'ST | Drawing List'!$A$1:$U$1,0)),1)</f>
        <v>0</v>
      </c>
      <c r="CB77" s="191">
        <f>COUNTIFS('ST | Drawing List'!$G:$G,$B77,INDEX('ST | Drawing List'!$J:$U,,MATCH('Design Fee'!CB$8,'ST | Drawing List'!$J$1:$U$1,0)),1)</f>
        <v>0</v>
      </c>
      <c r="CC77" s="191">
        <f>COUNTIFS('ST | Drawing List'!$G:$G,$B77,INDEX('ST | Drawing List'!$J:$U,,MATCH('Design Fee'!CC$8,'ST | Drawing List'!$J$1:$U$1,0)),1)</f>
        <v>0</v>
      </c>
      <c r="CD77" s="191">
        <f>COUNTIFS('ST | Drawing List'!$G:$G,$B77,INDEX('ST | Drawing List'!$J:$U,,MATCH('Design Fee'!CD$8,'ST | Drawing List'!$J$1:$U$1,0)),1)</f>
        <v>0</v>
      </c>
      <c r="CE77" s="191">
        <f>COUNTIFS('ST | Drawing List'!$G:$G,$B77,INDEX('ST | Drawing List'!$J:$U,,MATCH('Design Fee'!CE$8,'ST | Drawing List'!$J$1:$U$1,0)),1)</f>
        <v>0</v>
      </c>
      <c r="CF77" s="191">
        <f>COUNTIFS('ST | Drawing List'!$G:$G,$B77,INDEX('ST | Drawing List'!$J:$U,,MATCH('Design Fee'!CF$8,'ST | Drawing List'!$J$1:$U$1,0)),1)</f>
        <v>0</v>
      </c>
      <c r="CG77" s="198"/>
      <c r="CH77" s="191">
        <f>COUNTIFS('ST | Drawing List'!$G:$G,$B77,INDEX('ST | Drawing List'!$J:$U,,MATCH('Design Fee'!CH$8,'ST | Drawing List'!$J$1:$U$1,0)),1)</f>
        <v>0</v>
      </c>
      <c r="CI77" s="191">
        <f>COUNTIFS('ST | Drawing List'!$G:$G,$B77,INDEX('ST | Drawing List'!$J:$U,,MATCH('Design Fee'!CI$8,'ST | Drawing List'!$J$1:$U$1,0)),1)</f>
        <v>0</v>
      </c>
      <c r="CJ77" s="191">
        <f>COUNTIFS('ST | Drawing List'!$G:$G,$B77,INDEX('ST | Drawing List'!$J:$U,,MATCH('Design Fee'!CJ$8,'ST | Drawing List'!$J$1:$U$1,0)),1)</f>
        <v>0</v>
      </c>
      <c r="CK77" s="191">
        <f>COUNTIFS('ST | Drawing List'!$G:$G,$B77,INDEX('ST | Drawing List'!$J:$U,,MATCH('Design Fee'!CK$8,'ST | Drawing List'!$J$1:$U$1,0)),1)</f>
        <v>0</v>
      </c>
      <c r="CL77" s="191">
        <f>COUNTIFS('ST | Drawing List'!$G:$G,$B77,INDEX('ST | Drawing List'!$J:$U,,MATCH('Design Fee'!CL$8,'ST | Drawing List'!$J$1:$U$1,0)),1)</f>
        <v>0</v>
      </c>
      <c r="CM77" s="198"/>
      <c r="CN77" s="545">
        <f t="shared" si="361"/>
        <v>8.1250000000000003E-2</v>
      </c>
      <c r="CO77" s="222"/>
      <c r="CP77" s="253">
        <f t="shared" ref="CP77:CP79" si="372">$CP$75/$CN$75*CN77</f>
        <v>5.7014883215758663E-2</v>
      </c>
      <c r="CQ77" s="253">
        <f t="shared" si="342"/>
        <v>5.7014883215758663E-2</v>
      </c>
      <c r="CR77" s="254">
        <f>IFERROR(IF(DE77=100%,$CP77,0),0)</f>
        <v>0</v>
      </c>
      <c r="CS77" s="255">
        <f>IFERROR(IF(AND((DE77+DF77)=100%,DE77&lt;1),$CP77,0),0)</f>
        <v>5.7014883215758663E-2</v>
      </c>
      <c r="CT77" s="255">
        <f>IFERROR(IF(AND((DJ77+DL77)=DI77,CR77=0),$CP77,0),0)</f>
        <v>5.7014883215758663E-2</v>
      </c>
      <c r="CU77" s="255">
        <f>IFERROR(IF(AND((DJ77+DL77+DM77)=DI77,CR77=0,CT77=0),$CP77,0),0)</f>
        <v>0</v>
      </c>
      <c r="CV77" s="255">
        <f>IFERROR(IF(AND((DJ77+DL77+DM77+DN77)=DI77,CR77=0,CT77=0,CU77=0),$CP77,0),0)</f>
        <v>0</v>
      </c>
      <c r="CW77" s="255">
        <f>IFERROR(IF(AND((DJ77+DL77+DM77+DN77+DO77)=DI77,CR77=0,CT77=0,CU77=0,CV77=0),$CP77,0),0)</f>
        <v>0</v>
      </c>
      <c r="CX77" s="256"/>
      <c r="CY77" s="255">
        <f>IFERROR(IF(AND((DE77+DG77)=100%,DE77&lt;1),$CP77,0),0)</f>
        <v>5.7014883215758663E-2</v>
      </c>
      <c r="CZ77" s="255">
        <f>IFERROR(IF(AND((DJ77+DR77)=DI77,CR77=0),$CP77,0),0)</f>
        <v>5.7014883215758663E-2</v>
      </c>
      <c r="DA77" s="255">
        <f t="shared" si="362"/>
        <v>0</v>
      </c>
      <c r="DB77" s="255">
        <f>IFERROR(IF(AND((DJ77+DR77+DS77+DT77)=DI77,CR77=0,CZ77=0,DA77=0),$CP77,0),0)</f>
        <v>0</v>
      </c>
      <c r="DC77" s="255">
        <f>IFERROR(IF(AND((DJ77+DR77+DU77+DS77+DT77)=DI77,CR77=0,CZ77=0,DA77=0,DB77=0),$CP77,0),0)</f>
        <v>0</v>
      </c>
      <c r="DD77" s="183"/>
      <c r="DE77" s="305">
        <f t="shared" si="363"/>
        <v>0</v>
      </c>
      <c r="DF77" s="305">
        <f t="shared" si="364"/>
        <v>1</v>
      </c>
      <c r="DG77" s="300">
        <f t="shared" si="365"/>
        <v>1</v>
      </c>
      <c r="DH77" s="228"/>
      <c r="DI77" s="297">
        <f>COUNTIF('MEP | Drawing List'!$I:$I,$B77)</f>
        <v>42</v>
      </c>
      <c r="DJ77" s="191">
        <f>COUNTIFS('MEP | Drawing List'!$I:$I,$B77,INDEX('MEP | Drawing List'!$B:$X,,MATCH('Design Fee'!DJ$8,'MEP | Drawing List'!$B$1:$X$1,0)),1)</f>
        <v>0</v>
      </c>
      <c r="DK77" s="191">
        <f>COUNTIFS('MEP | Drawing List'!$I:$I,$B77,INDEX('MEP | Drawing List'!$L:$X,,MATCH('Design Fee'!DK$8,'MEP | Drawing List'!$L$1:$X$1,0)),1)</f>
        <v>42</v>
      </c>
      <c r="DL77" s="191">
        <f>COUNTIFS('MEP | Drawing List'!$I:$I,$B77,INDEX('MEP | Drawing List'!$L:$X,,MATCH('Design Fee'!DL$8,'MEP | Drawing List'!$L$1:$X$1,0)),1)</f>
        <v>42</v>
      </c>
      <c r="DM77" s="191">
        <f>COUNTIFS('MEP | Drawing List'!$I:$I,$B77,INDEX('MEP | Drawing List'!$L:$X,,MATCH('Design Fee'!DM$8,'MEP | Drawing List'!$L$1:$X$1,0)),1)</f>
        <v>0</v>
      </c>
      <c r="DN77" s="191">
        <f>COUNTIFS('MEP | Drawing List'!$I:$I,$B77,INDEX('MEP | Drawing List'!$L:$X,,MATCH('Design Fee'!DN$8,'MEP | Drawing List'!$L$1:$X$1,0)),1)</f>
        <v>0</v>
      </c>
      <c r="DO77" s="191">
        <f>COUNTIFS('MEP | Drawing List'!$I:$I,$B77,INDEX('MEP | Drawing List'!$L:$X,,MATCH('Design Fee'!DO$8,'MEP | Drawing List'!$L$1:$X$1,0)),1)</f>
        <v>0</v>
      </c>
      <c r="DP77" s="198"/>
      <c r="DQ77" s="191">
        <f>COUNTIFS('MEP | Drawing List'!$I:$I,$B77,INDEX('MEP | Drawing List'!$L:$X,,MATCH('Design Fee'!DQ$8,'MEP | Drawing List'!$L$1:$X$1,0)),1)</f>
        <v>42</v>
      </c>
      <c r="DR77" s="191">
        <f>COUNTIFS('MEP | Drawing List'!$I:$I,$B77,INDEX('MEP | Drawing List'!$L:$X,,MATCH('Design Fee'!DR$8,'MEP | Drawing List'!$L$1:$X$1,0)),1)</f>
        <v>42</v>
      </c>
      <c r="DS77" s="191">
        <f>COUNTIFS('MEP | Drawing List'!$I:$I,$B77,INDEX('MEP | Drawing List'!$L:$X,,MATCH('Design Fee'!DS$8,'MEP | Drawing List'!$L$1:$X$1,0)),1)</f>
        <v>0</v>
      </c>
      <c r="DT77" s="191">
        <f>COUNTIFS('MEP | Drawing List'!$I:$I,$B77,INDEX('MEP | Drawing List'!$L:$X,,MATCH('Design Fee'!DT$8,'MEP | Drawing List'!$L$1:$X$1,0)),1)</f>
        <v>0</v>
      </c>
      <c r="DU77" s="191">
        <f>COUNTIFS('MEP | Drawing List'!$I:$I,$B77,INDEX('MEP | Drawing List'!$L:$X,,MATCH('Design Fee'!DU$8,'MEP | Drawing List'!$L$1:$X$1,0)),1)</f>
        <v>0</v>
      </c>
      <c r="DV77" s="207"/>
      <c r="DW77" s="198"/>
      <c r="DX77" s="232">
        <f t="shared" si="366"/>
        <v>6.8750000000000006E-2</v>
      </c>
      <c r="DY77" s="222"/>
      <c r="DZ77" s="253">
        <f t="shared" ref="DZ77:DZ79" si="373">$DZ$75/$DX$75*DX77</f>
        <v>6.6094875000000011E-4</v>
      </c>
      <c r="EA77" s="253">
        <f t="shared" si="345"/>
        <v>6.6094875000000011E-4</v>
      </c>
      <c r="EB77" s="254">
        <f>IFERROR(IF(EO77=100%,$DZ77,0),0)</f>
        <v>6.6094875000000011E-4</v>
      </c>
      <c r="EC77" s="255">
        <f>IFERROR(IF(AND((EO77+EP77)=100%,EO77&lt;1),$DZ77,0),0)</f>
        <v>0</v>
      </c>
      <c r="ED77" s="255">
        <f>IFERROR(IF(AND((ET77+EV77)=ES77,EB77=0),$DZ77,0),0)</f>
        <v>0</v>
      </c>
      <c r="EE77" s="255">
        <f>IFERROR(IF(AND((ET77+EV77+EW77)=ES77,EB77=0,ED77=0),$DZ77,0),0)</f>
        <v>0</v>
      </c>
      <c r="EF77" s="255">
        <f>IFERROR(IF(AND((ET77+EV77+EW77+EX77)=ES77,EB77=0,ED77=0,EE77=0),$DZ77,0),0)</f>
        <v>0</v>
      </c>
      <c r="EG77" s="255">
        <f>IFERROR(IF(AND((ET77+EV77+EW77+EX77+EY77)=ES77,EB77=0,ED77=0,EE77=0,EF77=0),$DZ77,0),0)</f>
        <v>0</v>
      </c>
      <c r="EH77" s="256"/>
      <c r="EI77" s="255">
        <f>IFERROR(IF(AND((EO77+EQ77)=100%,EO77&lt;1),$DZ77,0),0)</f>
        <v>0</v>
      </c>
      <c r="EJ77" s="255">
        <f>IFERROR(IF(AND((ET77+FB77)=ES77,EB77=0),$DZ77,0),0)</f>
        <v>0</v>
      </c>
      <c r="EK77" s="255">
        <f>IFERROR(IF(AND((ET77+FB77+FC77)=ES77,EB77=0,EJ77=0),DZ77,0),0)</f>
        <v>0</v>
      </c>
      <c r="EL77" s="255">
        <f>IFERROR(IF(AND((ET77+FB77+FC77+FD77)=ES77,EB77=0,EJ77=0,EK77=0),$DZ77,0),0)</f>
        <v>0</v>
      </c>
      <c r="EM77" s="255">
        <f>IFERROR(IF(AND((ET77+FB77+FE77+FC77+FD77)=ES77,EB77=0,EJ77=0,EK77=0,EL77=0),$DZ77,0),0)</f>
        <v>0</v>
      </c>
      <c r="EN77" s="183"/>
      <c r="EO77" s="305">
        <f t="shared" si="367"/>
        <v>1</v>
      </c>
      <c r="EP77" s="305">
        <f t="shared" si="368"/>
        <v>0</v>
      </c>
      <c r="EQ77" s="300">
        <f t="shared" si="369"/>
        <v>0</v>
      </c>
      <c r="ER77" s="228"/>
      <c r="ES77" s="297">
        <f>COUNTIF('LS | Drawing List'!$H:$H,$B77)</f>
        <v>8</v>
      </c>
      <c r="ET77" s="191">
        <f>COUNTIFS('LS | Drawing List'!$H:$H,$B77,INDEX('LS | Drawing List'!$A:$V,,MATCH('Design Fee'!ET$8,'LS | Drawing List'!$A$1:$V$1,0)),1)</f>
        <v>8</v>
      </c>
      <c r="EU77" s="191">
        <f>COUNTIFS('LS | Drawing List'!$H:$H,$B77,INDEX('LS | Drawing List'!$K:$V,,MATCH('Design Fee'!EU$8,'LS | Drawing List'!$K$1:$V$1,0)),1)</f>
        <v>0</v>
      </c>
      <c r="EV77" s="191">
        <f>COUNTIFS('LS | Drawing List'!$H:$H,$B77,INDEX('LS | Drawing List'!$K:$V,,MATCH('Design Fee'!EV$8,'LS | Drawing List'!$K$1:$V$1,0)),1)</f>
        <v>0</v>
      </c>
      <c r="EW77" s="191">
        <f>COUNTIFS('LS | Drawing List'!$H:$H,$B77,INDEX('LS | Drawing List'!$K:$V,,MATCH('Design Fee'!EW$8,'LS | Drawing List'!$K$1:$V$1,0)),1)</f>
        <v>0</v>
      </c>
      <c r="EX77" s="191">
        <f>COUNTIFS('LS | Drawing List'!$H:$H,$B77,INDEX('LS | Drawing List'!$K:$V,,MATCH('Design Fee'!EX$8,'LS | Drawing List'!$K$1:$V$1,0)),1)</f>
        <v>0</v>
      </c>
      <c r="EY77" s="191">
        <f>COUNTIFS('LS | Drawing List'!$H:$H,$B77,INDEX('LS | Drawing List'!$K:$V,,MATCH('Design Fee'!EY$8,'LS | Drawing List'!$K$1:$V$1,0)),1)</f>
        <v>0</v>
      </c>
      <c r="EZ77" s="198"/>
      <c r="FA77" s="191">
        <f>COUNTIFS('LS | Drawing List'!$H:$H,$B77,INDEX('LS | Drawing List'!$K:$V,,MATCH('Design Fee'!FA$8,'LS | Drawing List'!$K$1:$V$1,0)),1)</f>
        <v>0</v>
      </c>
      <c r="FB77" s="191">
        <f>COUNTIFS('LS | Drawing List'!$H:$H,$B77,INDEX('LS | Drawing List'!$K:$V,,MATCH('Design Fee'!FB$8,'LS | Drawing List'!$K$1:$V$1,0)),1)</f>
        <v>0</v>
      </c>
      <c r="FC77" s="191">
        <f>COUNTIFS('LS | Drawing List'!$H:$H,$B77,INDEX('LS | Drawing List'!$K:$V,,MATCH('Design Fee'!FC$8,'LS | Drawing List'!$K$1:$V$1,0)),1)</f>
        <v>0</v>
      </c>
      <c r="FD77" s="191">
        <f>COUNTIFS('LS | Drawing List'!$H:$H,$B77,INDEX('LS | Drawing List'!$K:$V,,MATCH('Design Fee'!FD$8,'LS | Drawing List'!$K$1:$V$1,0)),1)</f>
        <v>0</v>
      </c>
      <c r="FE77" s="191">
        <f>COUNTIFS('LS | Drawing List'!$H:$H,$B77,INDEX('LS | Drawing List'!$K:$V,,MATCH('Design Fee'!FE$8,'LS | Drawing List'!$K$1:$V$1,0)),1)</f>
        <v>0</v>
      </c>
      <c r="FF77" s="207"/>
    </row>
    <row r="78" spans="2:162" ht="11.85" customHeight="1" outlineLevel="2">
      <c r="B78" s="459" t="s">
        <v>86</v>
      </c>
      <c r="C78" s="547" t="s">
        <v>87</v>
      </c>
      <c r="D78" s="257"/>
      <c r="E78" s="253">
        <f t="shared" si="322"/>
        <v>0.57989458196575872</v>
      </c>
      <c r="F78" s="253">
        <f t="shared" si="323"/>
        <v>5.7675831965758664E-2</v>
      </c>
      <c r="G78" s="254">
        <f t="shared" si="348"/>
        <v>0.52221875000000006</v>
      </c>
      <c r="H78" s="253">
        <f t="shared" si="325"/>
        <v>6.6094875000000011E-4</v>
      </c>
      <c r="I78" s="253">
        <f t="shared" si="326"/>
        <v>0.57923363321575871</v>
      </c>
      <c r="J78" s="253">
        <f t="shared" si="327"/>
        <v>0.57923363321575871</v>
      </c>
      <c r="K78" s="253">
        <f t="shared" si="328"/>
        <v>0</v>
      </c>
      <c r="L78" s="253">
        <f t="shared" si="329"/>
        <v>0</v>
      </c>
      <c r="M78" s="253">
        <f t="shared" si="330"/>
        <v>0</v>
      </c>
      <c r="N78" s="256"/>
      <c r="O78" s="253">
        <f t="shared" si="331"/>
        <v>5.7014883215758663E-2</v>
      </c>
      <c r="P78" s="253">
        <f t="shared" si="332"/>
        <v>5.7014883215758663E-2</v>
      </c>
      <c r="Q78" s="253">
        <f t="shared" si="333"/>
        <v>0</v>
      </c>
      <c r="R78" s="253">
        <f t="shared" si="334"/>
        <v>0</v>
      </c>
      <c r="S78" s="253">
        <f t="shared" si="335"/>
        <v>0</v>
      </c>
      <c r="T78" s="169"/>
      <c r="U78" s="183"/>
      <c r="V78" s="545">
        <f t="shared" si="349"/>
        <v>6.25E-2</v>
      </c>
      <c r="W78" s="222"/>
      <c r="X78" s="253">
        <f t="shared" si="370"/>
        <v>0.52221875000000006</v>
      </c>
      <c r="Y78" s="253">
        <f t="shared" si="336"/>
        <v>0</v>
      </c>
      <c r="Z78" s="254">
        <f t="shared" si="350"/>
        <v>0</v>
      </c>
      <c r="AA78" s="255">
        <f t="shared" si="351"/>
        <v>0.52221875000000006</v>
      </c>
      <c r="AB78" s="255">
        <f t="shared" si="371"/>
        <v>0.52221875000000006</v>
      </c>
      <c r="AC78" s="255">
        <f>IFERROR(IF(AND((AR78+AT78+AU78)=AQ78,Z78=0,AB78=0),$X78,0),0)</f>
        <v>0</v>
      </c>
      <c r="AD78" s="255">
        <f>IFERROR(IF(AND((AR78+AT78+AU78+AV78)=AQ78,Z78=0,AB78=0,AC78=0),$X78,0),0)</f>
        <v>0</v>
      </c>
      <c r="AE78" s="255">
        <f>IFERROR(IF(AND((AR78+AT78+AU78+AV78+AW78)=AQ78,Z78=0,AB78=0,AC78=0,AD78=0),$X78,0),0)</f>
        <v>0</v>
      </c>
      <c r="AF78" s="256"/>
      <c r="AG78" s="255">
        <f t="shared" si="352"/>
        <v>0</v>
      </c>
      <c r="AH78" s="255">
        <f>IFERROR(IF(AND((AR78+AZ78)=AQ78,Z78=0),$X78,0),0)</f>
        <v>0</v>
      </c>
      <c r="AI78" s="255">
        <f t="shared" si="353"/>
        <v>0</v>
      </c>
      <c r="AJ78" s="255">
        <f t="shared" si="354"/>
        <v>0</v>
      </c>
      <c r="AK78" s="255">
        <f>IFERROR(IF(AND((AR78+AZ78+BC78+BA78+BB78)=AQ78,Z78=0,AH78=0,AI78=0,AJ78=0),$X78,0),0)</f>
        <v>0</v>
      </c>
      <c r="AL78" s="169"/>
      <c r="AM78" s="279">
        <f t="shared" si="355"/>
        <v>0</v>
      </c>
      <c r="AN78" s="279">
        <f t="shared" si="356"/>
        <v>1</v>
      </c>
      <c r="AO78" s="279">
        <f t="shared" si="357"/>
        <v>0</v>
      </c>
      <c r="AP78" s="228"/>
      <c r="AQ78" s="364">
        <f>COUNTIF('AR | Drawing List'!$H:$H,$B78)</f>
        <v>6</v>
      </c>
      <c r="AR78" s="365">
        <f>COUNTIFS('AR | Drawing List'!$H:$H,$B78,INDEX('AR | Drawing List'!$A:$AT,,MATCH('Design Fee'!AR$8,'AR | Drawing List'!$A$1:$AT$1,0)),1)</f>
        <v>0</v>
      </c>
      <c r="AS78" s="365">
        <f>COUNTIFS('AR | Drawing List'!$H:$H,$B78,INDEX('AR | Drawing List'!$K:$AT,,MATCH('Design Fee'!AS$8,'AR | Drawing List'!$K$1:$AT$1,0)),1)</f>
        <v>6</v>
      </c>
      <c r="AT78" s="365">
        <f>COUNTIFS('AR | Drawing List'!$H:$H,$B78,INDEX('AR | Drawing List'!$K:$AT,,MATCH('Design Fee'!AT$8,'AR | Drawing List'!$K$1:$AT$1,0)),1)</f>
        <v>6</v>
      </c>
      <c r="AU78" s="365">
        <f>COUNTIFS('AR | Drawing List'!$H:$H,$B78,INDEX('AR | Drawing List'!$K:$AT,,MATCH('Design Fee'!AU$8,'AR | Drawing List'!$K$1:$AT$1,0)),1)</f>
        <v>0</v>
      </c>
      <c r="AV78" s="365">
        <f>COUNTIFS('AR | Drawing List'!$H:$H,$B78,INDEX('AR | Drawing List'!$K:$AT,,MATCH('Design Fee'!AV$8,'AR | Drawing List'!$K$1:$AT$1,0)),1)</f>
        <v>0</v>
      </c>
      <c r="AW78" s="365">
        <f>COUNTIFS('AR | Drawing List'!$H:$H,$B78,INDEX('AR | Drawing List'!$K:$AT,,MATCH('Design Fee'!AW$8,'AR | Drawing List'!$K$1:$AT$1,0)),1)</f>
        <v>0</v>
      </c>
      <c r="AX78" s="198"/>
      <c r="AY78" s="365">
        <f>COUNTIFS('AR | Drawing List'!$H:$H,$B78,INDEX('AR | Drawing List'!$K:$AT,,MATCH('Design Fee'!AY$8,'AR | Drawing List'!$K$1:$AT$1,0)),1)</f>
        <v>0</v>
      </c>
      <c r="AZ78" s="365">
        <f>COUNTIFS('AR | Drawing List'!$H:$H,$B78,INDEX('AR | Drawing List'!$K:$AT,,MATCH('Design Fee'!AZ$8,'AR | Drawing List'!$K$1:$AT$1,0)),1)</f>
        <v>0</v>
      </c>
      <c r="BA78" s="365">
        <f>COUNTIFS('AR | Drawing List'!$H:$H,$B78,INDEX('AR | Drawing List'!$K:$AT,,MATCH('Design Fee'!BA$8,'AR | Drawing List'!$K$1:$AT$1,0)),1)</f>
        <v>0</v>
      </c>
      <c r="BB78" s="365">
        <f>COUNTIFS('AR | Drawing List'!$H:$H,$B78,INDEX('AR | Drawing List'!$K:$AT,,MATCH('Design Fee'!BB$8,'AR | Drawing List'!$K$1:$AT$1,0)),1)</f>
        <v>0</v>
      </c>
      <c r="BC78" s="365">
        <f>COUNTIFS('AR | Drawing List'!$H:$H,$B78,INDEX('AR | Drawing List'!$K:$AT,,MATCH('Design Fee'!BC$8,'AR | Drawing List'!$K$1:$AT$1,0)),1)</f>
        <v>0</v>
      </c>
      <c r="BD78" s="198"/>
      <c r="BE78" s="261">
        <v>0</v>
      </c>
      <c r="BF78" s="222"/>
      <c r="BG78" s="253"/>
      <c r="BH78" s="253">
        <f t="shared" si="339"/>
        <v>0</v>
      </c>
      <c r="BI78" s="254">
        <f>IFERROR(IF(BV78=100%,$BG78,0),0)</f>
        <v>0</v>
      </c>
      <c r="BJ78" s="255">
        <f>IFERROR(IF(AND((BV78+BW78)=100%,BV78&lt;1),$BG78,0),0)</f>
        <v>0</v>
      </c>
      <c r="BK78" s="255">
        <f>IFERROR(IF(AND((CA78+CC78)=BZ78,BI78=0),$BG78,0),0)</f>
        <v>0</v>
      </c>
      <c r="BL78" s="255">
        <f>IFERROR(IF(AND((CA78+CC78+CD78)=BZ78,BI78=0,BK78=0),$BG78,0),0)</f>
        <v>0</v>
      </c>
      <c r="BM78" s="255">
        <f>IFERROR(IF(AND((CA78+CC78+CD78+CE78)=BZ78,BI78=0,BK78=0,BL78=0),$BG78,0),0)</f>
        <v>0</v>
      </c>
      <c r="BN78" s="255">
        <f>IFERROR(IF(AND((CA78+CC78+CD78+CE78+CF78)=BZ78,BI78=0,BK78=0,BL78=0,BM78=0),$BG78,0),0)</f>
        <v>0</v>
      </c>
      <c r="BO78" s="256"/>
      <c r="BP78" s="255">
        <f>IFERROR(IF(AND((BV78+BX78)=100%,BV78&lt;1),$BG78,0),0)</f>
        <v>0</v>
      </c>
      <c r="BQ78" s="255">
        <f>IFERROR(IF(AND((CA78+CI78)=BZ78,BI78=0),$BG78,0),0)</f>
        <v>0</v>
      </c>
      <c r="BR78" s="255">
        <f t="shared" si="358"/>
        <v>0</v>
      </c>
      <c r="BS78" s="255">
        <f>IFERROR(IF(AND((CA78+CI78+CJ78+CK78)=BZ78,BI78=0,BQ78=0,BR78=0),$BG78,0),0)</f>
        <v>0</v>
      </c>
      <c r="BT78" s="255">
        <f>IFERROR(IF(AND((CA78+CI78+CL78+CJ78+CK78)=BZ78,BI78=0,BQ78=0,BR78=0,BS78=0),$BG78,0),0)</f>
        <v>0</v>
      </c>
      <c r="BU78" s="169"/>
      <c r="BV78" s="279">
        <f t="shared" si="359"/>
        <v>0</v>
      </c>
      <c r="BW78" s="279">
        <f t="shared" si="360"/>
        <v>0</v>
      </c>
      <c r="BX78" s="279">
        <f>IFERROR(#REF!/BZ78,0)</f>
        <v>0</v>
      </c>
      <c r="BZ78" s="297">
        <f>COUNTIF('ST | Drawing List'!$G:$G,$B78)</f>
        <v>0</v>
      </c>
      <c r="CA78" s="191">
        <f>COUNTIFS('ST | Drawing List'!$G:$G,$B78,INDEX('ST | Drawing List'!$A:$U,,MATCH('Design Fee'!CA$8,'ST | Drawing List'!$A$1:$U$1,0)),1)</f>
        <v>0</v>
      </c>
      <c r="CB78" s="191">
        <f>COUNTIFS('ST | Drawing List'!$G:$G,$B78,INDEX('ST | Drawing List'!$J:$U,,MATCH('Design Fee'!CB$8,'ST | Drawing List'!$J$1:$U$1,0)),1)</f>
        <v>0</v>
      </c>
      <c r="CC78" s="191">
        <f>COUNTIFS('ST | Drawing List'!$G:$G,$B78,INDEX('ST | Drawing List'!$J:$U,,MATCH('Design Fee'!CC$8,'ST | Drawing List'!$J$1:$U$1,0)),1)</f>
        <v>0</v>
      </c>
      <c r="CD78" s="191">
        <f>COUNTIFS('ST | Drawing List'!$G:$G,$B78,INDEX('ST | Drawing List'!$J:$U,,MATCH('Design Fee'!CD$8,'ST | Drawing List'!$J$1:$U$1,0)),1)</f>
        <v>0</v>
      </c>
      <c r="CE78" s="191">
        <f>COUNTIFS('ST | Drawing List'!$G:$G,$B78,INDEX('ST | Drawing List'!$J:$U,,MATCH('Design Fee'!CE$8,'ST | Drawing List'!$J$1:$U$1,0)),1)</f>
        <v>0</v>
      </c>
      <c r="CF78" s="191">
        <f>COUNTIFS('ST | Drawing List'!$G:$G,$B78,INDEX('ST | Drawing List'!$J:$U,,MATCH('Design Fee'!CF$8,'ST | Drawing List'!$J$1:$U$1,0)),1)</f>
        <v>0</v>
      </c>
      <c r="CG78" s="198"/>
      <c r="CH78" s="191">
        <f>COUNTIFS('ST | Drawing List'!$G:$G,$B78,INDEX('ST | Drawing List'!$J:$U,,MATCH('Design Fee'!CH$8,'ST | Drawing List'!$J$1:$U$1,0)),1)</f>
        <v>0</v>
      </c>
      <c r="CI78" s="191">
        <f>COUNTIFS('ST | Drawing List'!$G:$G,$B78,INDEX('ST | Drawing List'!$J:$U,,MATCH('Design Fee'!CI$8,'ST | Drawing List'!$J$1:$U$1,0)),1)</f>
        <v>0</v>
      </c>
      <c r="CJ78" s="191">
        <f>COUNTIFS('ST | Drawing List'!$G:$G,$B78,INDEX('ST | Drawing List'!$J:$U,,MATCH('Design Fee'!CJ$8,'ST | Drawing List'!$J$1:$U$1,0)),1)</f>
        <v>0</v>
      </c>
      <c r="CK78" s="191">
        <f>COUNTIFS('ST | Drawing List'!$G:$G,$B78,INDEX('ST | Drawing List'!$J:$U,,MATCH('Design Fee'!CK$8,'ST | Drawing List'!$J$1:$U$1,0)),1)</f>
        <v>0</v>
      </c>
      <c r="CL78" s="191">
        <f>COUNTIFS('ST | Drawing List'!$G:$G,$B78,INDEX('ST | Drawing List'!$J:$U,,MATCH('Design Fee'!CL$8,'ST | Drawing List'!$J$1:$U$1,0)),1)</f>
        <v>0</v>
      </c>
      <c r="CM78" s="198"/>
      <c r="CN78" s="545">
        <f t="shared" si="361"/>
        <v>8.1250000000000003E-2</v>
      </c>
      <c r="CO78" s="222"/>
      <c r="CP78" s="253">
        <f t="shared" si="372"/>
        <v>5.7014883215758663E-2</v>
      </c>
      <c r="CQ78" s="253">
        <f t="shared" si="342"/>
        <v>5.7014883215758663E-2</v>
      </c>
      <c r="CR78" s="254">
        <f>IFERROR(IF(DE78=100%,$CP78,0),0)</f>
        <v>0</v>
      </c>
      <c r="CS78" s="255">
        <f>IFERROR(IF(AND((DE78+DF78)=100%,DE78&lt;1),$CP78,0),0)</f>
        <v>5.7014883215758663E-2</v>
      </c>
      <c r="CT78" s="255">
        <f>IFERROR(IF(AND((DJ78+DL78)=DI78,CR78=0),$CP78,0),0)</f>
        <v>5.7014883215758663E-2</v>
      </c>
      <c r="CU78" s="255">
        <f>IFERROR(IF(AND((DJ78+DL78+DM78)=DI78,CR78=0,CT78=0),$CP78,0),0)</f>
        <v>0</v>
      </c>
      <c r="CV78" s="255">
        <f>IFERROR(IF(AND((DJ78+DL78+DM78+DN78)=DI78,CR78=0,CT78=0,CU78=0),$CP78,0),0)</f>
        <v>0</v>
      </c>
      <c r="CW78" s="255">
        <f>IFERROR(IF(AND((DJ78+DL78+DM78+DN78+DO78)=DI78,CR78=0,CT78=0,CU78=0,CV78=0),$CP78,0),0)</f>
        <v>0</v>
      </c>
      <c r="CX78" s="256"/>
      <c r="CY78" s="255">
        <f>IFERROR(IF(AND((DE78+DG78)=100%,DE78&lt;1),$CP78,0),0)</f>
        <v>5.7014883215758663E-2</v>
      </c>
      <c r="CZ78" s="255">
        <f>IFERROR(IF(AND((DJ78+DR78)=DI78,CR78=0),$CP78,0),0)</f>
        <v>5.7014883215758663E-2</v>
      </c>
      <c r="DA78" s="255">
        <f t="shared" si="362"/>
        <v>0</v>
      </c>
      <c r="DB78" s="255">
        <f>IFERROR(IF(AND((DJ78+DR78+DS78+DT78)=DI78,CR78=0,CZ78=0,DA78=0),$CP78,0),0)</f>
        <v>0</v>
      </c>
      <c r="DC78" s="255">
        <f>IFERROR(IF(AND((DJ78+DR78+DU78+DS78+DT78)=DI78,CR78=0,CZ78=0,DA78=0,DB78=0),$CP78,0),0)</f>
        <v>0</v>
      </c>
      <c r="DD78" s="183"/>
      <c r="DE78" s="300">
        <f t="shared" si="363"/>
        <v>0</v>
      </c>
      <c r="DF78" s="300">
        <f t="shared" si="364"/>
        <v>1</v>
      </c>
      <c r="DG78" s="300">
        <f t="shared" si="365"/>
        <v>1</v>
      </c>
      <c r="DH78" s="228"/>
      <c r="DI78" s="297">
        <f>COUNTIF('MEP | Drawing List'!$I:$I,$B78)</f>
        <v>38</v>
      </c>
      <c r="DJ78" s="191">
        <f>COUNTIFS('MEP | Drawing List'!$I:$I,$B78,INDEX('MEP | Drawing List'!$B:$X,,MATCH('Design Fee'!DJ$8,'MEP | Drawing List'!$B$1:$X$1,0)),1)</f>
        <v>0</v>
      </c>
      <c r="DK78" s="191">
        <f>COUNTIFS('MEP | Drawing List'!$I:$I,$B78,INDEX('MEP | Drawing List'!$L:$X,,MATCH('Design Fee'!DK$8,'MEP | Drawing List'!$L$1:$X$1,0)),1)</f>
        <v>38</v>
      </c>
      <c r="DL78" s="191">
        <f>COUNTIFS('MEP | Drawing List'!$I:$I,$B78,INDEX('MEP | Drawing List'!$L:$X,,MATCH('Design Fee'!DL$8,'MEP | Drawing List'!$L$1:$X$1,0)),1)</f>
        <v>38</v>
      </c>
      <c r="DM78" s="191">
        <f>COUNTIFS('MEP | Drawing List'!$I:$I,$B78,INDEX('MEP | Drawing List'!$L:$X,,MATCH('Design Fee'!DM$8,'MEP | Drawing List'!$L$1:$X$1,0)),1)</f>
        <v>0</v>
      </c>
      <c r="DN78" s="191">
        <f>COUNTIFS('MEP | Drawing List'!$I:$I,$B78,INDEX('MEP | Drawing List'!$L:$X,,MATCH('Design Fee'!DN$8,'MEP | Drawing List'!$L$1:$X$1,0)),1)</f>
        <v>0</v>
      </c>
      <c r="DO78" s="191">
        <f>COUNTIFS('MEP | Drawing List'!$I:$I,$B78,INDEX('MEP | Drawing List'!$L:$X,,MATCH('Design Fee'!DO$8,'MEP | Drawing List'!$L$1:$X$1,0)),1)</f>
        <v>0</v>
      </c>
      <c r="DP78" s="198"/>
      <c r="DQ78" s="191">
        <f>COUNTIFS('MEP | Drawing List'!$I:$I,$B78,INDEX('MEP | Drawing List'!$L:$X,,MATCH('Design Fee'!DQ$8,'MEP | Drawing List'!$L$1:$X$1,0)),1)</f>
        <v>38</v>
      </c>
      <c r="DR78" s="191">
        <f>COUNTIFS('MEP | Drawing List'!$I:$I,$B78,INDEX('MEP | Drawing List'!$L:$X,,MATCH('Design Fee'!DR$8,'MEP | Drawing List'!$L$1:$X$1,0)),1)</f>
        <v>38</v>
      </c>
      <c r="DS78" s="191">
        <f>COUNTIFS('MEP | Drawing List'!$I:$I,$B78,INDEX('MEP | Drawing List'!$L:$X,,MATCH('Design Fee'!DS$8,'MEP | Drawing List'!$L$1:$X$1,0)),1)</f>
        <v>0</v>
      </c>
      <c r="DT78" s="191">
        <f>COUNTIFS('MEP | Drawing List'!$I:$I,$B78,INDEX('MEP | Drawing List'!$L:$X,,MATCH('Design Fee'!DT$8,'MEP | Drawing List'!$L$1:$X$1,0)),1)</f>
        <v>0</v>
      </c>
      <c r="DU78" s="191">
        <f>COUNTIFS('MEP | Drawing List'!$I:$I,$B78,INDEX('MEP | Drawing List'!$L:$X,,MATCH('Design Fee'!DU$8,'MEP | Drawing List'!$L$1:$X$1,0)),1)</f>
        <v>0</v>
      </c>
      <c r="DV78" s="207"/>
      <c r="DW78" s="198"/>
      <c r="DX78" s="232">
        <f t="shared" si="366"/>
        <v>6.8750000000000006E-2</v>
      </c>
      <c r="DY78" s="222"/>
      <c r="DZ78" s="253">
        <f t="shared" si="373"/>
        <v>6.6094875000000011E-4</v>
      </c>
      <c r="EA78" s="253">
        <f t="shared" si="345"/>
        <v>6.6094875000000011E-4</v>
      </c>
      <c r="EB78" s="254">
        <f>IFERROR(IF(EO78=100%,$DZ78,0),0)</f>
        <v>6.6094875000000011E-4</v>
      </c>
      <c r="EC78" s="255">
        <f>IFERROR(IF(AND((EO78+EP78)=100%,EO78&lt;1),$DZ78,0),0)</f>
        <v>0</v>
      </c>
      <c r="ED78" s="255">
        <f>IFERROR(IF(AND((ET78+EV78)=ES78,EB78=0),$DZ78,0),0)</f>
        <v>0</v>
      </c>
      <c r="EE78" s="255">
        <f>IFERROR(IF(AND((ET78+EV78+EW78)=ES78,EB78=0,ED78=0),$DZ78,0),0)</f>
        <v>0</v>
      </c>
      <c r="EF78" s="255">
        <f>IFERROR(IF(AND((ET78+EV78+EW78+EX78)=ES78,EB78=0,ED78=0,EE78=0),$DZ78,0),0)</f>
        <v>0</v>
      </c>
      <c r="EG78" s="255">
        <f>IFERROR(IF(AND((ET78+EV78+EW78+EX78+EY78)=ES78,EB78=0,ED78=0,EE78=0,EF78=0),$DZ78,0),0)</f>
        <v>0</v>
      </c>
      <c r="EH78" s="256"/>
      <c r="EI78" s="255">
        <f>IFERROR(IF(AND((EO78+EQ78)=100%,EO78&lt;1),$DZ78,0),0)</f>
        <v>0</v>
      </c>
      <c r="EJ78" s="255">
        <f>IFERROR(IF(AND((ET78+FB78)=ES78,EB78=0),$DZ78,0),0)</f>
        <v>0</v>
      </c>
      <c r="EK78" s="255">
        <f>IFERROR(IF(AND((ET78+FB78+FC78)=ES78,EB78=0,EJ78=0),DZ78,0),0)</f>
        <v>0</v>
      </c>
      <c r="EL78" s="255">
        <f>IFERROR(IF(AND((ET78+FB78+FC78+FD78)=ES78,EB78=0,EJ78=0,EK78=0),$DZ78,0),0)</f>
        <v>0</v>
      </c>
      <c r="EM78" s="255">
        <f>IFERROR(IF(AND((ET78+FB78+FE78+FC78+FD78)=ES78,EB78=0,EJ78=0,EK78=0,EL78=0),$DZ78,0),0)</f>
        <v>0</v>
      </c>
      <c r="EN78" s="183"/>
      <c r="EO78" s="300">
        <f t="shared" si="367"/>
        <v>1</v>
      </c>
      <c r="EP78" s="300">
        <f t="shared" si="368"/>
        <v>0</v>
      </c>
      <c r="EQ78" s="300">
        <f t="shared" si="369"/>
        <v>0</v>
      </c>
      <c r="ER78" s="228"/>
      <c r="ES78" s="297">
        <f>COUNTIF('LS | Drawing List'!$H:$H,$B78)</f>
        <v>8</v>
      </c>
      <c r="ET78" s="191">
        <f>COUNTIFS('LS | Drawing List'!$H:$H,$B78,INDEX('LS | Drawing List'!$A:$V,,MATCH('Design Fee'!ET$8,'LS | Drawing List'!$A$1:$V$1,0)),1)</f>
        <v>8</v>
      </c>
      <c r="EU78" s="191">
        <f>COUNTIFS('LS | Drawing List'!$H:$H,$B78,INDEX('LS | Drawing List'!$K:$V,,MATCH('Design Fee'!EU$8,'LS | Drawing List'!$K$1:$V$1,0)),1)</f>
        <v>0</v>
      </c>
      <c r="EV78" s="191">
        <f>COUNTIFS('LS | Drawing List'!$H:$H,$B78,INDEX('LS | Drawing List'!$K:$V,,MATCH('Design Fee'!EV$8,'LS | Drawing List'!$K$1:$V$1,0)),1)</f>
        <v>0</v>
      </c>
      <c r="EW78" s="191">
        <f>COUNTIFS('LS | Drawing List'!$H:$H,$B78,INDEX('LS | Drawing List'!$K:$V,,MATCH('Design Fee'!EW$8,'LS | Drawing List'!$K$1:$V$1,0)),1)</f>
        <v>0</v>
      </c>
      <c r="EX78" s="191">
        <f>COUNTIFS('LS | Drawing List'!$H:$H,$B78,INDEX('LS | Drawing List'!$K:$V,,MATCH('Design Fee'!EX$8,'LS | Drawing List'!$K$1:$V$1,0)),1)</f>
        <v>0</v>
      </c>
      <c r="EY78" s="191">
        <f>COUNTIFS('LS | Drawing List'!$H:$H,$B78,INDEX('LS | Drawing List'!$K:$V,,MATCH('Design Fee'!EY$8,'LS | Drawing List'!$K$1:$V$1,0)),1)</f>
        <v>0</v>
      </c>
      <c r="EZ78" s="198"/>
      <c r="FA78" s="191">
        <f>COUNTIFS('LS | Drawing List'!$H:$H,$B78,INDEX('LS | Drawing List'!$K:$V,,MATCH('Design Fee'!FA$8,'LS | Drawing List'!$K$1:$V$1,0)),1)</f>
        <v>0</v>
      </c>
      <c r="FB78" s="191">
        <f>COUNTIFS('LS | Drawing List'!$H:$H,$B78,INDEX('LS | Drawing List'!$K:$V,,MATCH('Design Fee'!FB$8,'LS | Drawing List'!$K$1:$V$1,0)),1)</f>
        <v>0</v>
      </c>
      <c r="FC78" s="191">
        <f>COUNTIFS('LS | Drawing List'!$H:$H,$B78,INDEX('LS | Drawing List'!$K:$V,,MATCH('Design Fee'!FC$8,'LS | Drawing List'!$K$1:$V$1,0)),1)</f>
        <v>0</v>
      </c>
      <c r="FD78" s="191">
        <f>COUNTIFS('LS | Drawing List'!$H:$H,$B78,INDEX('LS | Drawing List'!$K:$V,,MATCH('Design Fee'!FD$8,'LS | Drawing List'!$K$1:$V$1,0)),1)</f>
        <v>0</v>
      </c>
      <c r="FE78" s="191">
        <f>COUNTIFS('LS | Drawing List'!$H:$H,$B78,INDEX('LS | Drawing List'!$K:$V,,MATCH('Design Fee'!FE$8,'LS | Drawing List'!$K$1:$V$1,0)),1)</f>
        <v>0</v>
      </c>
      <c r="FF78" s="207"/>
    </row>
    <row r="79" spans="2:162" s="268" customFormat="1" ht="11.85" customHeight="1" outlineLevel="2">
      <c r="B79" s="459" t="s">
        <v>88</v>
      </c>
      <c r="C79" s="547" t="s">
        <v>89</v>
      </c>
      <c r="D79" s="257"/>
      <c r="E79" s="253">
        <f t="shared" si="322"/>
        <v>0.57989458196575872</v>
      </c>
      <c r="F79" s="253">
        <f t="shared" si="323"/>
        <v>6.6094875000000011E-4</v>
      </c>
      <c r="G79" s="254">
        <f t="shared" si="348"/>
        <v>0.57923363321575871</v>
      </c>
      <c r="H79" s="253">
        <f t="shared" si="325"/>
        <v>6.6094875000000011E-4</v>
      </c>
      <c r="I79" s="253">
        <f t="shared" si="326"/>
        <v>0.57923363321575871</v>
      </c>
      <c r="J79" s="253">
        <f t="shared" si="327"/>
        <v>0.52221875000000006</v>
      </c>
      <c r="K79" s="253">
        <f t="shared" si="328"/>
        <v>5.7014883215758663E-2</v>
      </c>
      <c r="L79" s="253">
        <f t="shared" si="329"/>
        <v>0</v>
      </c>
      <c r="M79" s="253">
        <f t="shared" si="330"/>
        <v>0</v>
      </c>
      <c r="N79" s="256"/>
      <c r="O79" s="253">
        <f t="shared" si="331"/>
        <v>0</v>
      </c>
      <c r="P79" s="253">
        <f t="shared" si="332"/>
        <v>0</v>
      </c>
      <c r="Q79" s="253">
        <f t="shared" si="333"/>
        <v>0</v>
      </c>
      <c r="R79" s="253">
        <f t="shared" si="334"/>
        <v>0</v>
      </c>
      <c r="S79" s="253">
        <f t="shared" si="335"/>
        <v>0</v>
      </c>
      <c r="T79" s="169"/>
      <c r="U79" s="183"/>
      <c r="V79" s="545">
        <f t="shared" si="349"/>
        <v>6.25E-2</v>
      </c>
      <c r="W79" s="269"/>
      <c r="X79" s="270">
        <f t="shared" si="370"/>
        <v>0.52221875000000006</v>
      </c>
      <c r="Y79" s="253">
        <f t="shared" si="336"/>
        <v>0</v>
      </c>
      <c r="Z79" s="254">
        <f t="shared" si="350"/>
        <v>0</v>
      </c>
      <c r="AA79" s="255">
        <f t="shared" si="351"/>
        <v>0.52221875000000006</v>
      </c>
      <c r="AB79" s="255">
        <f t="shared" si="371"/>
        <v>0.52221875000000006</v>
      </c>
      <c r="AC79" s="271">
        <f>IFERROR(IF(AND((AR79+AT79+AU79)=AQ79,Z79=0,AB79=0),$X79,0),0)</f>
        <v>0</v>
      </c>
      <c r="AD79" s="271">
        <f>IFERROR(IF(AND((AR79+AT79+AU79+AV79)=AQ79,Z79=0,AB79=0,AC79=0),$X79,0),0)</f>
        <v>0</v>
      </c>
      <c r="AE79" s="271">
        <f>IFERROR(IF(AND((AR79+AT79+AU79+AV79+AW79)=AQ79,Z79=0,AB79=0,AC79=0,AD79=0),$X79,0),0)</f>
        <v>0</v>
      </c>
      <c r="AF79" s="271"/>
      <c r="AG79" s="255">
        <f t="shared" si="352"/>
        <v>0</v>
      </c>
      <c r="AH79" s="271">
        <f>IFERROR(IF(AND((AR79+AZ79)=AQ79,Z79=0),$X79,0),0)</f>
        <v>0</v>
      </c>
      <c r="AI79" s="271">
        <f t="shared" si="353"/>
        <v>0</v>
      </c>
      <c r="AJ79" s="255">
        <f t="shared" si="354"/>
        <v>0</v>
      </c>
      <c r="AK79" s="271">
        <f>IFERROR(IF(AND((AR79+AZ79+BC79+BA79+BB79)=AQ79,Z79=0,AH79=0,AI79=0,AJ79=0),$X79,0),0)</f>
        <v>0</v>
      </c>
      <c r="AL79" s="169"/>
      <c r="AM79" s="354">
        <f t="shared" ref="AM79" si="374">IFERROR(AR79/AQ79,0)</f>
        <v>0</v>
      </c>
      <c r="AN79" s="354">
        <f t="shared" ref="AN79" si="375">IFERROR(AS79/AQ79,0)</f>
        <v>1</v>
      </c>
      <c r="AO79" s="279">
        <f t="shared" si="357"/>
        <v>0</v>
      </c>
      <c r="AP79" s="272"/>
      <c r="AQ79" s="364">
        <f>COUNTIF('AR | Drawing List'!$H:$H,$B79)</f>
        <v>6</v>
      </c>
      <c r="AR79" s="365">
        <f>COUNTIFS('AR | Drawing List'!$H:$H,$B79,INDEX('AR | Drawing List'!$A:$AT,,MATCH('Design Fee'!AR$8,'AR | Drawing List'!$A$1:$AT$1,0)),1)</f>
        <v>0</v>
      </c>
      <c r="AS79" s="365">
        <f>COUNTIFS('AR | Drawing List'!$H:$H,$B79,INDEX('AR | Drawing List'!$K:$AT,,MATCH('Design Fee'!AS$8,'AR | Drawing List'!$K$1:$AT$1,0)),1)</f>
        <v>6</v>
      </c>
      <c r="AT79" s="365">
        <f>COUNTIFS('AR | Drawing List'!$H:$H,$B79,INDEX('AR | Drawing List'!$K:$AT,,MATCH('Design Fee'!AT$8,'AR | Drawing List'!$K$1:$AT$1,0)),1)</f>
        <v>6</v>
      </c>
      <c r="AU79" s="365">
        <f>COUNTIFS('AR | Drawing List'!$H:$H,$B79,INDEX('AR | Drawing List'!$K:$AT,,MATCH('Design Fee'!AU$8,'AR | Drawing List'!$K$1:$AT$1,0)),1)</f>
        <v>0</v>
      </c>
      <c r="AV79" s="365">
        <f>COUNTIFS('AR | Drawing List'!$H:$H,$B79,INDEX('AR | Drawing List'!$K:$AT,,MATCH('Design Fee'!AV$8,'AR | Drawing List'!$K$1:$AT$1,0)),1)</f>
        <v>0</v>
      </c>
      <c r="AW79" s="365">
        <f>COUNTIFS('AR | Drawing List'!$H:$H,$B79,INDEX('AR | Drawing List'!$K:$AT,,MATCH('Design Fee'!AW$8,'AR | Drawing List'!$K$1:$AT$1,0)),1)</f>
        <v>0</v>
      </c>
      <c r="AX79" s="198"/>
      <c r="AY79" s="365">
        <f>COUNTIFS('AR | Drawing List'!$H:$H,$B79,INDEX('AR | Drawing List'!$K:$AT,,MATCH('Design Fee'!AY$8,'AR | Drawing List'!$K$1:$AT$1,0)),1)</f>
        <v>0</v>
      </c>
      <c r="AZ79" s="365">
        <f>COUNTIFS('AR | Drawing List'!$H:$H,$B79,INDEX('AR | Drawing List'!$K:$AT,,MATCH('Design Fee'!AZ$8,'AR | Drawing List'!$K$1:$AT$1,0)),1)</f>
        <v>0</v>
      </c>
      <c r="BA79" s="365">
        <f>COUNTIFS('AR | Drawing List'!$H:$H,$B79,INDEX('AR | Drawing List'!$K:$AT,,MATCH('Design Fee'!BA$8,'AR | Drawing List'!$K$1:$AT$1,0)),1)</f>
        <v>0</v>
      </c>
      <c r="BB79" s="365">
        <f>COUNTIFS('AR | Drawing List'!$H:$H,$B79,INDEX('AR | Drawing List'!$K:$AT,,MATCH('Design Fee'!BB$8,'AR | Drawing List'!$K$1:$AT$1,0)),1)</f>
        <v>0</v>
      </c>
      <c r="BC79" s="365">
        <f>COUNTIFS('AR | Drawing List'!$H:$H,$B79,INDEX('AR | Drawing List'!$K:$AT,,MATCH('Design Fee'!BC$8,'AR | Drawing List'!$K$1:$AT$1,0)),1)</f>
        <v>0</v>
      </c>
      <c r="BD79" s="273"/>
      <c r="BE79" s="274">
        <v>0</v>
      </c>
      <c r="BF79" s="269"/>
      <c r="BG79" s="270"/>
      <c r="BH79" s="253">
        <f t="shared" si="339"/>
        <v>0</v>
      </c>
      <c r="BI79" s="254">
        <f>IFERROR(IF(BV79=100%,$BG79,0),0)</f>
        <v>0</v>
      </c>
      <c r="BJ79" s="255">
        <f>IFERROR(IF(AND((BV79+BW79)=100%,BV79&lt;1),$BG79,0),0)</f>
        <v>0</v>
      </c>
      <c r="BK79" s="255">
        <f>IFERROR(IF(AND((CA79+CC79)=BZ79,BI79=0),$BG79,0),0)</f>
        <v>0</v>
      </c>
      <c r="BL79" s="271">
        <f>IFERROR(IF(AND((CA79+CC79+CD79)=BZ79,BI79=0,BK79=0),$BG79,0),0)</f>
        <v>0</v>
      </c>
      <c r="BM79" s="271">
        <f>IFERROR(IF(AND((CA79+CC79+CD79+CE79)=BZ79,BI79=0,BK79=0,BL79=0),$BG79,0),0)</f>
        <v>0</v>
      </c>
      <c r="BN79" s="271">
        <f>IFERROR(IF(AND((CA79+CC79+CD79+CE79+CF79)=BZ79,BI79=0,BK79=0,BL79=0,BM79=0),$BG79,0),0)</f>
        <v>0</v>
      </c>
      <c r="BO79" s="271"/>
      <c r="BP79" s="271">
        <f>IFERROR(IF(AND((BV79+BX79)=100%,BV79&lt;1),$BG79,0),0)</f>
        <v>0</v>
      </c>
      <c r="BQ79" s="271">
        <f>IFERROR(IF(AND((CA79+CI79)=BZ79,BI79=0),$BG79,0),0)</f>
        <v>0</v>
      </c>
      <c r="BR79" s="271">
        <f t="shared" si="358"/>
        <v>0</v>
      </c>
      <c r="BS79" s="255">
        <f>IFERROR(IF(AND((CA79+CI79+CJ79+CK79)=BZ79,BI79=0,BQ79=0,BR79=0),$BG79,0),0)</f>
        <v>0</v>
      </c>
      <c r="BT79" s="271">
        <f>IFERROR(IF(AND((CA79+CI79+CL79+CJ79+CK79)=BZ79,BI79=0,BQ79=0,BR79=0,BS79=0),$BG79,0),0)</f>
        <v>0</v>
      </c>
      <c r="BU79" s="169"/>
      <c r="BV79" s="354">
        <f t="shared" si="359"/>
        <v>0</v>
      </c>
      <c r="BW79" s="354">
        <f t="shared" si="360"/>
        <v>0</v>
      </c>
      <c r="BX79" s="354">
        <f>IFERROR(#REF!/BZ79,0)</f>
        <v>0</v>
      </c>
      <c r="BY79" s="360"/>
      <c r="BZ79" s="297">
        <f>COUNTIF('ST | Drawing List'!$G:$G,$B79)</f>
        <v>0</v>
      </c>
      <c r="CA79" s="191">
        <f>COUNTIFS('ST | Drawing List'!$G:$G,$B79,INDEX('ST | Drawing List'!$A:$U,,MATCH('Design Fee'!CA$8,'ST | Drawing List'!$A$1:$U$1,0)),1)</f>
        <v>0</v>
      </c>
      <c r="CB79" s="191">
        <f>COUNTIFS('ST | Drawing List'!$G:$G,$B79,INDEX('ST | Drawing List'!$J:$U,,MATCH('Design Fee'!CB$8,'ST | Drawing List'!$J$1:$U$1,0)),1)</f>
        <v>0</v>
      </c>
      <c r="CC79" s="191">
        <f>COUNTIFS('ST | Drawing List'!$G:$G,$B79,INDEX('ST | Drawing List'!$J:$U,,MATCH('Design Fee'!CC$8,'ST | Drawing List'!$J$1:$U$1,0)),1)</f>
        <v>0</v>
      </c>
      <c r="CD79" s="191">
        <f>COUNTIFS('ST | Drawing List'!$G:$G,$B79,INDEX('ST | Drawing List'!$J:$U,,MATCH('Design Fee'!CD$8,'ST | Drawing List'!$J$1:$U$1,0)),1)</f>
        <v>0</v>
      </c>
      <c r="CE79" s="191">
        <f>COUNTIFS('ST | Drawing List'!$G:$G,$B79,INDEX('ST | Drawing List'!$J:$U,,MATCH('Design Fee'!CE$8,'ST | Drawing List'!$J$1:$U$1,0)),1)</f>
        <v>0</v>
      </c>
      <c r="CF79" s="191">
        <f>COUNTIFS('ST | Drawing List'!$G:$G,$B79,INDEX('ST | Drawing List'!$J:$U,,MATCH('Design Fee'!CF$8,'ST | Drawing List'!$J$1:$U$1,0)),1)</f>
        <v>0</v>
      </c>
      <c r="CG79" s="198"/>
      <c r="CH79" s="191">
        <f>COUNTIFS('ST | Drawing List'!$G:$G,$B79,INDEX('ST | Drawing List'!$J:$U,,MATCH('Design Fee'!CH$8,'ST | Drawing List'!$J$1:$U$1,0)),1)</f>
        <v>0</v>
      </c>
      <c r="CI79" s="191">
        <f>COUNTIFS('ST | Drawing List'!$G:$G,$B79,INDEX('ST | Drawing List'!$J:$U,,MATCH('Design Fee'!CI$8,'ST | Drawing List'!$J$1:$U$1,0)),1)</f>
        <v>0</v>
      </c>
      <c r="CJ79" s="191">
        <f>COUNTIFS('ST | Drawing List'!$G:$G,$B79,INDEX('ST | Drawing List'!$J:$U,,MATCH('Design Fee'!CJ$8,'ST | Drawing List'!$J$1:$U$1,0)),1)</f>
        <v>0</v>
      </c>
      <c r="CK79" s="191">
        <f>COUNTIFS('ST | Drawing List'!$G:$G,$B79,INDEX('ST | Drawing List'!$J:$U,,MATCH('Design Fee'!CK$8,'ST | Drawing List'!$J$1:$U$1,0)),1)</f>
        <v>0</v>
      </c>
      <c r="CL79" s="191">
        <f>COUNTIFS('ST | Drawing List'!$G:$G,$B79,INDEX('ST | Drawing List'!$J:$U,,MATCH('Design Fee'!CL$8,'ST | Drawing List'!$J$1:$U$1,0)),1)</f>
        <v>0</v>
      </c>
      <c r="CM79" s="273"/>
      <c r="CN79" s="545">
        <f t="shared" si="361"/>
        <v>8.1250000000000003E-2</v>
      </c>
      <c r="CO79" s="269"/>
      <c r="CP79" s="253">
        <f t="shared" si="372"/>
        <v>5.7014883215758663E-2</v>
      </c>
      <c r="CQ79" s="270">
        <f t="shared" si="342"/>
        <v>0</v>
      </c>
      <c r="CR79" s="254">
        <f>IFERROR(IF(DE79=100%,$CP79,0),0)</f>
        <v>0</v>
      </c>
      <c r="CS79" s="255">
        <f>IFERROR(IF(AND((DE79+DF79)=100%,DE79&lt;1),$CP79,0),0)</f>
        <v>5.7014883215758663E-2</v>
      </c>
      <c r="CT79" s="255">
        <f>IFERROR(IF(AND((DJ79+DL79)=DI79,CR79=0),$CP79,0),0)</f>
        <v>0</v>
      </c>
      <c r="CU79" s="271">
        <f>IFERROR(IF(AND((DJ79+DL79+DM79)=DI79,CR79=0,CT79=0),$CP79,0),0)</f>
        <v>5.7014883215758663E-2</v>
      </c>
      <c r="CV79" s="271">
        <f>IFERROR(IF(AND((DJ79+DL79+DM79+DN79)=DI79,CR79=0,CT79=0,CU79=0),$CP79,0),0)</f>
        <v>0</v>
      </c>
      <c r="CW79" s="271">
        <f>IFERROR(IF(AND((DJ79+DL79+DM79+DN79+DO79)=DI79,CR79=0,CT79=0,CU79=0,CV79=0),$CP79,0),0)</f>
        <v>0</v>
      </c>
      <c r="CX79" s="271"/>
      <c r="CY79" s="271">
        <f>IFERROR(IF(AND((DE79+DG79)=100%,DE79&lt;1),$CP79,0),0)</f>
        <v>0</v>
      </c>
      <c r="CZ79" s="271">
        <f>IFERROR(IF(AND((DJ79+DR79)=DI79,CR79=0),$CP79,0),0)</f>
        <v>0</v>
      </c>
      <c r="DA79" s="271">
        <f t="shared" si="362"/>
        <v>0</v>
      </c>
      <c r="DB79" s="255">
        <f>IFERROR(IF(AND((DJ79+DR79+DS79+DT79)=DI79,CR79=0,CZ79=0,DA79=0),$CP79,0),0)</f>
        <v>0</v>
      </c>
      <c r="DC79" s="271">
        <f>IFERROR(IF(AND((DJ79+DR79+DU79+DS79+DT79)=DI79,CR79=0,CZ79=0,DA79=0,DB79=0),$CP79,0),0)</f>
        <v>0</v>
      </c>
      <c r="DD79" s="183"/>
      <c r="DE79" s="306">
        <f t="shared" si="363"/>
        <v>0.08</v>
      </c>
      <c r="DF79" s="306">
        <f t="shared" si="364"/>
        <v>0.92</v>
      </c>
      <c r="DG79" s="300">
        <f t="shared" si="365"/>
        <v>0</v>
      </c>
      <c r="DH79" s="272"/>
      <c r="DI79" s="297">
        <f>COUNTIF('MEP | Drawing List'!$I:$I,$B79)</f>
        <v>25</v>
      </c>
      <c r="DJ79" s="191">
        <f>COUNTIFS('MEP | Drawing List'!$I:$I,$B79,INDEX('MEP | Drawing List'!$B:$X,,MATCH('Design Fee'!DJ$8,'MEP | Drawing List'!$B$1:$X$1,0)),1)</f>
        <v>2</v>
      </c>
      <c r="DK79" s="191">
        <f>COUNTIFS('MEP | Drawing List'!$I:$I,$B79,INDEX('MEP | Drawing List'!$L:$X,,MATCH('Design Fee'!DK$8,'MEP | Drawing List'!$L$1:$X$1,0)),1)</f>
        <v>23</v>
      </c>
      <c r="DL79" s="191">
        <f>COUNTIFS('MEP | Drawing List'!$I:$I,$B79,INDEX('MEP | Drawing List'!$L:$X,,MATCH('Design Fee'!DL$8,'MEP | Drawing List'!$L$1:$X$1,0)),1)</f>
        <v>0</v>
      </c>
      <c r="DM79" s="191">
        <f>COUNTIFS('MEP | Drawing List'!$I:$I,$B79,INDEX('MEP | Drawing List'!$L:$X,,MATCH('Design Fee'!DM$8,'MEP | Drawing List'!$L$1:$X$1,0)),1)</f>
        <v>23</v>
      </c>
      <c r="DN79" s="191">
        <f>COUNTIFS('MEP | Drawing List'!$I:$I,$B79,INDEX('MEP | Drawing List'!$L:$X,,MATCH('Design Fee'!DN$8,'MEP | Drawing List'!$L$1:$X$1,0)),1)</f>
        <v>0</v>
      </c>
      <c r="DO79" s="191">
        <f>COUNTIFS('MEP | Drawing List'!$I:$I,$B79,INDEX('MEP | Drawing List'!$L:$X,,MATCH('Design Fee'!DO$8,'MEP | Drawing List'!$L$1:$X$1,0)),1)</f>
        <v>0</v>
      </c>
      <c r="DP79" s="198"/>
      <c r="DQ79" s="191">
        <f>COUNTIFS('MEP | Drawing List'!$I:$I,$B79,INDEX('MEP | Drawing List'!$L:$X,,MATCH('Design Fee'!DQ$8,'MEP | Drawing List'!$L$1:$X$1,0)),1)</f>
        <v>0</v>
      </c>
      <c r="DR79" s="191">
        <f>COUNTIFS('MEP | Drawing List'!$I:$I,$B79,INDEX('MEP | Drawing List'!$L:$X,,MATCH('Design Fee'!DR$8,'MEP | Drawing List'!$L$1:$X$1,0)),1)</f>
        <v>0</v>
      </c>
      <c r="DS79" s="191">
        <f>COUNTIFS('MEP | Drawing List'!$I:$I,$B79,INDEX('MEP | Drawing List'!$L:$X,,MATCH('Design Fee'!DS$8,'MEP | Drawing List'!$L$1:$X$1,0)),1)</f>
        <v>0</v>
      </c>
      <c r="DT79" s="191">
        <f>COUNTIFS('MEP | Drawing List'!$I:$I,$B79,INDEX('MEP | Drawing List'!$L:$X,,MATCH('Design Fee'!DT$8,'MEP | Drawing List'!$L$1:$X$1,0)),1)</f>
        <v>0</v>
      </c>
      <c r="DU79" s="191">
        <f>COUNTIFS('MEP | Drawing List'!$I:$I,$B79,INDEX('MEP | Drawing List'!$L:$X,,MATCH('Design Fee'!DU$8,'MEP | Drawing List'!$L$1:$X$1,0)),1)</f>
        <v>0</v>
      </c>
      <c r="DV79" s="258"/>
      <c r="DW79" s="273"/>
      <c r="DX79" s="232">
        <f t="shared" si="366"/>
        <v>6.8750000000000006E-2</v>
      </c>
      <c r="DY79" s="269"/>
      <c r="DZ79" s="253">
        <f t="shared" si="373"/>
        <v>6.6094875000000011E-4</v>
      </c>
      <c r="EA79" s="270">
        <f t="shared" si="345"/>
        <v>6.6094875000000011E-4</v>
      </c>
      <c r="EB79" s="254">
        <f>IFERROR(IF(EO79=100%,$DZ79,0),0)</f>
        <v>6.6094875000000011E-4</v>
      </c>
      <c r="EC79" s="255">
        <f>IFERROR(IF(AND((EO79+EP79)=100%,EO79&lt;1),$DZ79,0),0)</f>
        <v>0</v>
      </c>
      <c r="ED79" s="255">
        <f>IFERROR(IF(AND((ET79+EV79)=ES79,EB79=0),$DZ79,0),0)</f>
        <v>0</v>
      </c>
      <c r="EE79" s="271">
        <f>IFERROR(IF(AND((ET79+EV79+EW79)=ES79,EB79=0,ED79=0),$DZ79,0),0)</f>
        <v>0</v>
      </c>
      <c r="EF79" s="271">
        <f>IFERROR(IF(AND((ET79+EV79+EW79+EX79)=ES79,EB79=0,ED79=0,EE79=0),$DZ79,0),0)</f>
        <v>0</v>
      </c>
      <c r="EG79" s="271">
        <f>IFERROR(IF(AND((ET79+EV79+EW79+EX79+EY79)=ES79,EB79=0,ED79=0,EE79=0,EF79=0),$DZ79,0),0)</f>
        <v>0</v>
      </c>
      <c r="EH79" s="271"/>
      <c r="EI79" s="271">
        <f>IFERROR(IF(AND((EO79+EQ79)=100%,EO79&lt;1),$DZ79,0),0)</f>
        <v>0</v>
      </c>
      <c r="EJ79" s="271">
        <f>IFERROR(IF(AND((ET79+FB79)=ES79,EB79=0),$DZ79,0),0)</f>
        <v>0</v>
      </c>
      <c r="EK79" s="271">
        <f>IFERROR(IF(AND((ET79+FB79+FC79)=ES79,EB79=0,EJ79=0),DZ79,0),0)</f>
        <v>0</v>
      </c>
      <c r="EL79" s="255">
        <f>IFERROR(IF(AND((ET79+FB79+FC79+FD79)=ES79,EB79=0,EJ79=0,EK79=0),$DZ79,0),0)</f>
        <v>0</v>
      </c>
      <c r="EM79" s="271">
        <f>IFERROR(IF(AND((ET79+FB79+FE79+FC79+FD79)=ES79,EB79=0,EJ79=0,EK79=0,EL79=0),$DZ79,0),0)</f>
        <v>0</v>
      </c>
      <c r="EN79" s="183"/>
      <c r="EO79" s="306">
        <f t="shared" si="367"/>
        <v>1</v>
      </c>
      <c r="EP79" s="306">
        <f t="shared" si="368"/>
        <v>0</v>
      </c>
      <c r="EQ79" s="300">
        <f t="shared" si="369"/>
        <v>0</v>
      </c>
      <c r="ER79" s="272"/>
      <c r="ES79" s="297">
        <f>COUNTIF('LS | Drawing List'!$H:$H,$B79)</f>
        <v>8</v>
      </c>
      <c r="ET79" s="191">
        <f>COUNTIFS('LS | Drawing List'!$H:$H,$B79,INDEX('LS | Drawing List'!$A:$V,,MATCH('Design Fee'!ET$8,'LS | Drawing List'!$A$1:$V$1,0)),1)</f>
        <v>8</v>
      </c>
      <c r="EU79" s="191">
        <f>COUNTIFS('LS | Drawing List'!$H:$H,$B79,INDEX('LS | Drawing List'!$K:$V,,MATCH('Design Fee'!EU$8,'LS | Drawing List'!$K$1:$V$1,0)),1)</f>
        <v>0</v>
      </c>
      <c r="EV79" s="191">
        <f>COUNTIFS('LS | Drawing List'!$H:$H,$B79,INDEX('LS | Drawing List'!$K:$V,,MATCH('Design Fee'!EV$8,'LS | Drawing List'!$K$1:$V$1,0)),1)</f>
        <v>0</v>
      </c>
      <c r="EW79" s="191">
        <f>COUNTIFS('LS | Drawing List'!$H:$H,$B79,INDEX('LS | Drawing List'!$K:$V,,MATCH('Design Fee'!EW$8,'LS | Drawing List'!$K$1:$V$1,0)),1)</f>
        <v>0</v>
      </c>
      <c r="EX79" s="191">
        <f>COUNTIFS('LS | Drawing List'!$H:$H,$B79,INDEX('LS | Drawing List'!$K:$V,,MATCH('Design Fee'!EX$8,'LS | Drawing List'!$K$1:$V$1,0)),1)</f>
        <v>0</v>
      </c>
      <c r="EY79" s="191">
        <f>COUNTIFS('LS | Drawing List'!$H:$H,$B79,INDEX('LS | Drawing List'!$K:$V,,MATCH('Design Fee'!EY$8,'LS | Drawing List'!$K$1:$V$1,0)),1)</f>
        <v>0</v>
      </c>
      <c r="EZ79" s="198"/>
      <c r="FA79" s="191">
        <f>COUNTIFS('LS | Drawing List'!$H:$H,$B79,INDEX('LS | Drawing List'!$K:$V,,MATCH('Design Fee'!FA$8,'LS | Drawing List'!$K$1:$V$1,0)),1)</f>
        <v>0</v>
      </c>
      <c r="FB79" s="191">
        <f>COUNTIFS('LS | Drawing List'!$H:$H,$B79,INDEX('LS | Drawing List'!$K:$V,,MATCH('Design Fee'!FB$8,'LS | Drawing List'!$K$1:$V$1,0)),1)</f>
        <v>0</v>
      </c>
      <c r="FC79" s="191">
        <f>COUNTIFS('LS | Drawing List'!$H:$H,$B79,INDEX('LS | Drawing List'!$K:$V,,MATCH('Design Fee'!FC$8,'LS | Drawing List'!$K$1:$V$1,0)),1)</f>
        <v>0</v>
      </c>
      <c r="FD79" s="191">
        <f>COUNTIFS('LS | Drawing List'!$H:$H,$B79,INDEX('LS | Drawing List'!$K:$V,,MATCH('Design Fee'!FD$8,'LS | Drawing List'!$K$1:$V$1,0)),1)</f>
        <v>0</v>
      </c>
      <c r="FE79" s="191">
        <f>COUNTIFS('LS | Drawing List'!$H:$H,$B79,INDEX('LS | Drawing List'!$K:$V,,MATCH('Design Fee'!FE$8,'LS | Drawing List'!$K$1:$V$1,0)),1)</f>
        <v>0</v>
      </c>
      <c r="FF79" s="258"/>
    </row>
    <row r="80" spans="2:162" s="268" customFormat="1" ht="11.85" customHeight="1" outlineLevel="2">
      <c r="B80" s="459" t="s">
        <v>90</v>
      </c>
      <c r="C80" s="547" t="s">
        <v>91</v>
      </c>
      <c r="D80" s="257"/>
      <c r="E80" s="253">
        <f t="shared" si="322"/>
        <v>0.57989458196575872</v>
      </c>
      <c r="F80" s="253">
        <f t="shared" si="323"/>
        <v>0</v>
      </c>
      <c r="G80" s="254">
        <f t="shared" ref="G80:G83" si="376">E80-F80</f>
        <v>0.57989458196575872</v>
      </c>
      <c r="H80" s="253">
        <f t="shared" si="325"/>
        <v>0</v>
      </c>
      <c r="I80" s="253">
        <f t="shared" si="326"/>
        <v>0.57989458196575872</v>
      </c>
      <c r="J80" s="253">
        <f t="shared" si="327"/>
        <v>0</v>
      </c>
      <c r="K80" s="253">
        <f t="shared" si="328"/>
        <v>0.57989458196575872</v>
      </c>
      <c r="L80" s="253">
        <f t="shared" si="329"/>
        <v>0</v>
      </c>
      <c r="M80" s="253">
        <f t="shared" si="330"/>
        <v>0</v>
      </c>
      <c r="N80" s="256"/>
      <c r="O80" s="253">
        <f t="shared" si="331"/>
        <v>0</v>
      </c>
      <c r="P80" s="253">
        <f t="shared" si="332"/>
        <v>0</v>
      </c>
      <c r="Q80" s="253">
        <f t="shared" si="333"/>
        <v>0</v>
      </c>
      <c r="R80" s="253">
        <f t="shared" si="334"/>
        <v>0</v>
      </c>
      <c r="S80" s="253">
        <f t="shared" si="335"/>
        <v>0</v>
      </c>
      <c r="T80" s="169"/>
      <c r="U80" s="183"/>
      <c r="V80" s="545">
        <f t="shared" si="349"/>
        <v>6.25E-2</v>
      </c>
      <c r="W80" s="269"/>
      <c r="X80" s="270">
        <f t="shared" ref="X80:X83" si="377">$X$75/$V$75*V80</f>
        <v>0.52221875000000006</v>
      </c>
      <c r="Y80" s="253">
        <f t="shared" si="336"/>
        <v>0</v>
      </c>
      <c r="Z80" s="254">
        <f t="shared" ref="Z80:Z83" si="378">IFERROR(IF(AM80=100%,$X80,0),0)</f>
        <v>0</v>
      </c>
      <c r="AA80" s="255">
        <f t="shared" ref="AA80:AA83" si="379">IFERROR(IF(AND((AM80+AN80)=100%,AM80&lt;1),$X80,0),0)</f>
        <v>0.52221875000000006</v>
      </c>
      <c r="AB80" s="255">
        <f t="shared" ref="AB80:AB83" si="380">IFERROR(IF(AND((AR80+AT80)=AQ80,Z80=0),$X80,0),0)</f>
        <v>0</v>
      </c>
      <c r="AC80" s="271">
        <f t="shared" ref="AC80:AC83" si="381">IFERROR(IF(AND((AR80+AT80+AU80)=AQ80,Z80=0,AB80=0),$X80,0),0)</f>
        <v>0.52221875000000006</v>
      </c>
      <c r="AD80" s="271">
        <f t="shared" ref="AD80:AD83" si="382">IFERROR(IF(AND((AR80+AT80+AU80+AV80)=AQ80,Z80=0,AB80=0,AC80=0),$X80,0),0)</f>
        <v>0</v>
      </c>
      <c r="AE80" s="271">
        <f t="shared" ref="AE80:AE83" si="383">IFERROR(IF(AND((AR80+AT80+AU80+AV80+AW80)=AQ80,Z80=0,AB80=0,AC80=0,AD80=0),$X80,0),0)</f>
        <v>0</v>
      </c>
      <c r="AF80" s="271"/>
      <c r="AG80" s="255">
        <f t="shared" ref="AG80:AG83" si="384">IFERROR(IF(AND((AM80+AO80)=100%,AM80&lt;1),$X80,0),0)</f>
        <v>0</v>
      </c>
      <c r="AH80" s="271">
        <f t="shared" ref="AH80:AH83" si="385">IFERROR(IF(AND((AR80+AZ80)=AQ80,Z80=0),$X80,0),0)</f>
        <v>0</v>
      </c>
      <c r="AI80" s="271">
        <f t="shared" ref="AI80:AI83" si="386">IFERROR(IF(AND((AR80+AZ80+BA80)=AQ80,Z80=0,AH80=0),X80,0),0)</f>
        <v>0</v>
      </c>
      <c r="AJ80" s="255">
        <f t="shared" ref="AJ80:AJ83" si="387">IFERROR(IF(AND((AR80+AZ80+BA80+BB80)=AQ80,Z80=0,AH80=0,AI80=0),$X80,0),0)</f>
        <v>0</v>
      </c>
      <c r="AK80" s="271">
        <f t="shared" ref="AK80:AK83" si="388">IFERROR(IF(AND((AR80+AZ80+BC80+BA80+BB80)=AQ80,Z80=0,AH80=0,AI80=0,AJ80=0),$X80,0),0)</f>
        <v>0</v>
      </c>
      <c r="AL80" s="169"/>
      <c r="AM80" s="354">
        <f t="shared" ref="AM80:AM83" si="389">IFERROR(AR80/AQ80,0)</f>
        <v>0</v>
      </c>
      <c r="AN80" s="354">
        <f t="shared" ref="AN80:AN83" si="390">IFERROR(AS80/AQ80,0)</f>
        <v>1</v>
      </c>
      <c r="AO80" s="279">
        <f t="shared" ref="AO80:AO83" si="391">IFERROR(AY80/AQ80,0)</f>
        <v>0</v>
      </c>
      <c r="AP80" s="272"/>
      <c r="AQ80" s="364">
        <f>COUNTIF('AR | Drawing List'!$H:$H,$B80)</f>
        <v>6</v>
      </c>
      <c r="AR80" s="365">
        <f>COUNTIFS('AR | Drawing List'!$H:$H,$B80,INDEX('AR | Drawing List'!$A:$AT,,MATCH('Design Fee'!AR$8,'AR | Drawing List'!$A$1:$AT$1,0)),1)</f>
        <v>0</v>
      </c>
      <c r="AS80" s="365">
        <f>COUNTIFS('AR | Drawing List'!$H:$H,$B80,INDEX('AR | Drawing List'!$K:$AT,,MATCH('Design Fee'!AS$8,'AR | Drawing List'!$K$1:$AT$1,0)),1)</f>
        <v>6</v>
      </c>
      <c r="AT80" s="365">
        <f>COUNTIFS('AR | Drawing List'!$H:$H,$B80,INDEX('AR | Drawing List'!$K:$AT,,MATCH('Design Fee'!AT$8,'AR | Drawing List'!$K$1:$AT$1,0)),1)</f>
        <v>0</v>
      </c>
      <c r="AU80" s="365">
        <f>COUNTIFS('AR | Drawing List'!$H:$H,$B80,INDEX('AR | Drawing List'!$K:$AT,,MATCH('Design Fee'!AU$8,'AR | Drawing List'!$K$1:$AT$1,0)),1)</f>
        <v>6</v>
      </c>
      <c r="AV80" s="365">
        <f>COUNTIFS('AR | Drawing List'!$H:$H,$B80,INDEX('AR | Drawing List'!$K:$AT,,MATCH('Design Fee'!AV$8,'AR | Drawing List'!$K$1:$AT$1,0)),1)</f>
        <v>0</v>
      </c>
      <c r="AW80" s="365">
        <f>COUNTIFS('AR | Drawing List'!$H:$H,$B80,INDEX('AR | Drawing List'!$K:$AT,,MATCH('Design Fee'!AW$8,'AR | Drawing List'!$K$1:$AT$1,0)),1)</f>
        <v>0</v>
      </c>
      <c r="AX80" s="198"/>
      <c r="AY80" s="365">
        <f>COUNTIFS('AR | Drawing List'!$H:$H,$B80,INDEX('AR | Drawing List'!$K:$AT,,MATCH('Design Fee'!AY$8,'AR | Drawing List'!$K$1:$AT$1,0)),1)</f>
        <v>0</v>
      </c>
      <c r="AZ80" s="365">
        <f>COUNTIFS('AR | Drawing List'!$H:$H,$B80,INDEX('AR | Drawing List'!$K:$AT,,MATCH('Design Fee'!AZ$8,'AR | Drawing List'!$K$1:$AT$1,0)),1)</f>
        <v>0</v>
      </c>
      <c r="BA80" s="365">
        <f>COUNTIFS('AR | Drawing List'!$H:$H,$B80,INDEX('AR | Drawing List'!$K:$AT,,MATCH('Design Fee'!BA$8,'AR | Drawing List'!$K$1:$AT$1,0)),1)</f>
        <v>0</v>
      </c>
      <c r="BB80" s="365">
        <f>COUNTIFS('AR | Drawing List'!$H:$H,$B80,INDEX('AR | Drawing List'!$K:$AT,,MATCH('Design Fee'!BB$8,'AR | Drawing List'!$K$1:$AT$1,0)),1)</f>
        <v>0</v>
      </c>
      <c r="BC80" s="365">
        <f>COUNTIFS('AR | Drawing List'!$H:$H,$B80,INDEX('AR | Drawing List'!$K:$AT,,MATCH('Design Fee'!BC$8,'AR | Drawing List'!$K$1:$AT$1,0)),1)</f>
        <v>0</v>
      </c>
      <c r="BD80" s="273"/>
      <c r="BE80" s="274">
        <v>0</v>
      </c>
      <c r="BF80" s="269"/>
      <c r="BG80" s="270"/>
      <c r="BH80" s="253">
        <f t="shared" si="339"/>
        <v>0</v>
      </c>
      <c r="BI80" s="254">
        <f t="shared" ref="BI80:BI83" si="392">IFERROR(IF(BV80=100%,$BG80,0),0)</f>
        <v>0</v>
      </c>
      <c r="BJ80" s="255">
        <f t="shared" ref="BJ80:BJ83" si="393">IFERROR(IF(AND((BV80+BW80)=100%,BV80&lt;1),$BG80,0),0)</f>
        <v>0</v>
      </c>
      <c r="BK80" s="255">
        <f t="shared" ref="BK80:BK83" si="394">IFERROR(IF(AND((CA80+CC80)=BZ80,BI80=0),$BG80,0),0)</f>
        <v>0</v>
      </c>
      <c r="BL80" s="271">
        <f t="shared" ref="BL80:BL83" si="395">IFERROR(IF(AND((CA80+CC80+CD80)=BZ80,BI80=0,BK80=0),$BG80,0),0)</f>
        <v>0</v>
      </c>
      <c r="BM80" s="271">
        <f t="shared" ref="BM80:BM83" si="396">IFERROR(IF(AND((CA80+CC80+CD80+CE80)=BZ80,BI80=0,BK80=0,BL80=0),$BG80,0),0)</f>
        <v>0</v>
      </c>
      <c r="BN80" s="271">
        <f t="shared" ref="BN80:BN83" si="397">IFERROR(IF(AND((CA80+CC80+CD80+CE80+CF80)=BZ80,BI80=0,BK80=0,BL80=0,BM80=0),$BG80,0),0)</f>
        <v>0</v>
      </c>
      <c r="BO80" s="271"/>
      <c r="BP80" s="271">
        <f t="shared" ref="BP80:BP83" si="398">IFERROR(IF(AND((BV80+BX80)=100%,BV80&lt;1),$BG80,0),0)</f>
        <v>0</v>
      </c>
      <c r="BQ80" s="271">
        <f t="shared" ref="BQ80:BQ83" si="399">IFERROR(IF(AND((CA80+CI80)=BZ80,BI80=0),$BG80,0),0)</f>
        <v>0</v>
      </c>
      <c r="BR80" s="271">
        <f t="shared" ref="BR80:BR83" si="400">IFERROR(IF(AND((CA80+CI80+CJ80)=BZ80,BI80=0,BQ80=0),BG80,0),0)</f>
        <v>0</v>
      </c>
      <c r="BS80" s="255">
        <f t="shared" ref="BS80:BS83" si="401">IFERROR(IF(AND((CA80+CI80+CJ80+CK80)=BZ80,BI80=0,BQ80=0,BR80=0),$BG80,0),0)</f>
        <v>0</v>
      </c>
      <c r="BT80" s="271">
        <f t="shared" ref="BT80:BT83" si="402">IFERROR(IF(AND((CA80+CI80+CL80+CJ80+CK80)=BZ80,BI80=0,BQ80=0,BR80=0,BS80=0),$BG80,0),0)</f>
        <v>0</v>
      </c>
      <c r="BU80" s="169"/>
      <c r="BV80" s="354">
        <f t="shared" ref="BV80:BV83" si="403">IFERROR(CA80/BZ80,0)</f>
        <v>0</v>
      </c>
      <c r="BW80" s="354">
        <f t="shared" ref="BW80:BW83" si="404">IFERROR(CB80/BZ80,0)</f>
        <v>0</v>
      </c>
      <c r="BX80" s="354">
        <f>IFERROR(#REF!/BZ80,0)</f>
        <v>0</v>
      </c>
      <c r="BY80" s="360"/>
      <c r="BZ80" s="297">
        <f>COUNTIF('ST | Drawing List'!$G:$G,$B80)</f>
        <v>0</v>
      </c>
      <c r="CA80" s="191">
        <f>COUNTIFS('ST | Drawing List'!$G:$G,$B80,INDEX('ST | Drawing List'!$A:$U,,MATCH('Design Fee'!CA$8,'ST | Drawing List'!$A$1:$U$1,0)),1)</f>
        <v>0</v>
      </c>
      <c r="CB80" s="191">
        <f>COUNTIFS('ST | Drawing List'!$G:$G,$B80,INDEX('ST | Drawing List'!$J:$U,,MATCH('Design Fee'!CB$8,'ST | Drawing List'!$J$1:$U$1,0)),1)</f>
        <v>0</v>
      </c>
      <c r="CC80" s="191">
        <f>COUNTIFS('ST | Drawing List'!$G:$G,$B80,INDEX('ST | Drawing List'!$J:$U,,MATCH('Design Fee'!CC$8,'ST | Drawing List'!$J$1:$U$1,0)),1)</f>
        <v>0</v>
      </c>
      <c r="CD80" s="191">
        <f>COUNTIFS('ST | Drawing List'!$G:$G,$B80,INDEX('ST | Drawing List'!$J:$U,,MATCH('Design Fee'!CD$8,'ST | Drawing List'!$J$1:$U$1,0)),1)</f>
        <v>0</v>
      </c>
      <c r="CE80" s="191">
        <f>COUNTIFS('ST | Drawing List'!$G:$G,$B80,INDEX('ST | Drawing List'!$J:$U,,MATCH('Design Fee'!CE$8,'ST | Drawing List'!$J$1:$U$1,0)),1)</f>
        <v>0</v>
      </c>
      <c r="CF80" s="191">
        <f>COUNTIFS('ST | Drawing List'!$G:$G,$B80,INDEX('ST | Drawing List'!$J:$U,,MATCH('Design Fee'!CF$8,'ST | Drawing List'!$J$1:$U$1,0)),1)</f>
        <v>0</v>
      </c>
      <c r="CG80" s="198"/>
      <c r="CH80" s="191">
        <f>COUNTIFS('ST | Drawing List'!$G:$G,$B80,INDEX('ST | Drawing List'!$J:$U,,MATCH('Design Fee'!CH$8,'ST | Drawing List'!$J$1:$U$1,0)),1)</f>
        <v>0</v>
      </c>
      <c r="CI80" s="191">
        <f>COUNTIFS('ST | Drawing List'!$G:$G,$B80,INDEX('ST | Drawing List'!$J:$U,,MATCH('Design Fee'!CI$8,'ST | Drawing List'!$J$1:$U$1,0)),1)</f>
        <v>0</v>
      </c>
      <c r="CJ80" s="191">
        <f>COUNTIFS('ST | Drawing List'!$G:$G,$B80,INDEX('ST | Drawing List'!$J:$U,,MATCH('Design Fee'!CJ$8,'ST | Drawing List'!$J$1:$U$1,0)),1)</f>
        <v>0</v>
      </c>
      <c r="CK80" s="191">
        <f>COUNTIFS('ST | Drawing List'!$G:$G,$B80,INDEX('ST | Drawing List'!$J:$U,,MATCH('Design Fee'!CK$8,'ST | Drawing List'!$J$1:$U$1,0)),1)</f>
        <v>0</v>
      </c>
      <c r="CL80" s="191">
        <f>COUNTIFS('ST | Drawing List'!$G:$G,$B80,INDEX('ST | Drawing List'!$J:$U,,MATCH('Design Fee'!CL$8,'ST | Drawing List'!$J$1:$U$1,0)),1)</f>
        <v>0</v>
      </c>
      <c r="CM80" s="273"/>
      <c r="CN80" s="545">
        <f t="shared" si="361"/>
        <v>8.1250000000000003E-2</v>
      </c>
      <c r="CO80" s="269"/>
      <c r="CP80" s="253">
        <f t="shared" ref="CP80:CP83" si="405">$CP$75/$CN$75*CN80</f>
        <v>5.7014883215758663E-2</v>
      </c>
      <c r="CQ80" s="270">
        <f t="shared" si="342"/>
        <v>0</v>
      </c>
      <c r="CR80" s="254">
        <f t="shared" ref="CR80:CR83" si="406">IFERROR(IF(DE80=100%,$CP80,0),0)</f>
        <v>0</v>
      </c>
      <c r="CS80" s="255">
        <f t="shared" ref="CS80:CS83" si="407">IFERROR(IF(AND((DE80+DF80)=100%,DE80&lt;1),$CP80,0),0)</f>
        <v>5.7014883215758663E-2</v>
      </c>
      <c r="CT80" s="255">
        <f t="shared" ref="CT80:CT83" si="408">IFERROR(IF(AND((DJ80+DL80)=DI80,CR80=0),$CP80,0),0)</f>
        <v>0</v>
      </c>
      <c r="CU80" s="271">
        <f t="shared" ref="CU80:CU83" si="409">IFERROR(IF(AND((DJ80+DL80+DM80)=DI80,CR80=0,CT80=0),$CP80,0),0)</f>
        <v>5.7014883215758663E-2</v>
      </c>
      <c r="CV80" s="271">
        <f t="shared" ref="CV80:CV83" si="410">IFERROR(IF(AND((DJ80+DL80+DM80+DN80)=DI80,CR80=0,CT80=0,CU80=0),$CP80,0),0)</f>
        <v>0</v>
      </c>
      <c r="CW80" s="271">
        <f t="shared" ref="CW80:CW83" si="411">IFERROR(IF(AND((DJ80+DL80+DM80+DN80+DO80)=DI80,CR80=0,CT80=0,CU80=0,CV80=0),$CP80,0),0)</f>
        <v>0</v>
      </c>
      <c r="CX80" s="271"/>
      <c r="CY80" s="271">
        <f t="shared" ref="CY80:CY83" si="412">IFERROR(IF(AND((DE80+DG80)=100%,DE80&lt;1),$CP80,0),0)</f>
        <v>0</v>
      </c>
      <c r="CZ80" s="271">
        <f t="shared" ref="CZ80:CZ83" si="413">IFERROR(IF(AND((DJ80+DR80)=DI80,CR80=0),$CP80,0),0)</f>
        <v>0</v>
      </c>
      <c r="DA80" s="271">
        <f t="shared" ref="DA80:DA83" si="414">IFERROR(IF(AND((DJ80+DR80+DS80)=DI80,CR80=0,CZ80=0),CP80,0),0)</f>
        <v>0</v>
      </c>
      <c r="DB80" s="255">
        <f t="shared" ref="DB80:DB83" si="415">IFERROR(IF(AND((DJ80+DR80+DS80+DT80)=DI80,CR80=0,CZ80=0,DA80=0),$CP80,0),0)</f>
        <v>0</v>
      </c>
      <c r="DC80" s="271">
        <f t="shared" ref="DC80:DC83" si="416">IFERROR(IF(AND((DJ80+DR80+DU80+DS80+DT80)=DI80,CR80=0,CZ80=0,DA80=0,DB80=0),$CP80,0),0)</f>
        <v>0</v>
      </c>
      <c r="DD80" s="183"/>
      <c r="DE80" s="306">
        <f t="shared" ref="DE80:DE83" si="417">IFERROR(DJ80/DI80,0)</f>
        <v>0</v>
      </c>
      <c r="DF80" s="306">
        <f t="shared" ref="DF80:DF83" si="418">IFERROR(DK80/DI80,0)</f>
        <v>1</v>
      </c>
      <c r="DG80" s="300">
        <f t="shared" ref="DG80:DG83" si="419">IFERROR(DQ80/DI80,0)</f>
        <v>0</v>
      </c>
      <c r="DH80" s="272"/>
      <c r="DI80" s="297">
        <f>COUNTIF('MEP | Drawing List'!$I:$I,$B80)</f>
        <v>17</v>
      </c>
      <c r="DJ80" s="191">
        <f>COUNTIFS('MEP | Drawing List'!$I:$I,$B80,INDEX('MEP | Drawing List'!$B:$X,,MATCH('Design Fee'!DJ$8,'MEP | Drawing List'!$B$1:$X$1,0)),1)</f>
        <v>0</v>
      </c>
      <c r="DK80" s="191">
        <f>COUNTIFS('MEP | Drawing List'!$I:$I,$B80,INDEX('MEP | Drawing List'!$L:$X,,MATCH('Design Fee'!DK$8,'MEP | Drawing List'!$L$1:$X$1,0)),1)</f>
        <v>17</v>
      </c>
      <c r="DL80" s="191">
        <f>COUNTIFS('MEP | Drawing List'!$I:$I,$B80,INDEX('MEP | Drawing List'!$L:$X,,MATCH('Design Fee'!DL$8,'MEP | Drawing List'!$L$1:$X$1,0)),1)</f>
        <v>0</v>
      </c>
      <c r="DM80" s="191">
        <f>COUNTIFS('MEP | Drawing List'!$I:$I,$B80,INDEX('MEP | Drawing List'!$L:$X,,MATCH('Design Fee'!DM$8,'MEP | Drawing List'!$L$1:$X$1,0)),1)</f>
        <v>17</v>
      </c>
      <c r="DN80" s="191">
        <f>COUNTIFS('MEP | Drawing List'!$I:$I,$B80,INDEX('MEP | Drawing List'!$L:$X,,MATCH('Design Fee'!DN$8,'MEP | Drawing List'!$L$1:$X$1,0)),1)</f>
        <v>0</v>
      </c>
      <c r="DO80" s="191">
        <f>COUNTIFS('MEP | Drawing List'!$I:$I,$B80,INDEX('MEP | Drawing List'!$L:$X,,MATCH('Design Fee'!DO$8,'MEP | Drawing List'!$L$1:$X$1,0)),1)</f>
        <v>0</v>
      </c>
      <c r="DP80" s="198"/>
      <c r="DQ80" s="191">
        <f>COUNTIFS('MEP | Drawing List'!$I:$I,$B80,INDEX('MEP | Drawing List'!$L:$X,,MATCH('Design Fee'!DQ$8,'MEP | Drawing List'!$L$1:$X$1,0)),1)</f>
        <v>0</v>
      </c>
      <c r="DR80" s="191">
        <f>COUNTIFS('MEP | Drawing List'!$I:$I,$B80,INDEX('MEP | Drawing List'!$L:$X,,MATCH('Design Fee'!DR$8,'MEP | Drawing List'!$L$1:$X$1,0)),1)</f>
        <v>0</v>
      </c>
      <c r="DS80" s="191">
        <f>COUNTIFS('MEP | Drawing List'!$I:$I,$B80,INDEX('MEP | Drawing List'!$L:$X,,MATCH('Design Fee'!DS$8,'MEP | Drawing List'!$L$1:$X$1,0)),1)</f>
        <v>0</v>
      </c>
      <c r="DT80" s="191">
        <f>COUNTIFS('MEP | Drawing List'!$I:$I,$B80,INDEX('MEP | Drawing List'!$L:$X,,MATCH('Design Fee'!DT$8,'MEP | Drawing List'!$L$1:$X$1,0)),1)</f>
        <v>0</v>
      </c>
      <c r="DU80" s="191">
        <f>COUNTIFS('MEP | Drawing List'!$I:$I,$B80,INDEX('MEP | Drawing List'!$L:$X,,MATCH('Design Fee'!DU$8,'MEP | Drawing List'!$L$1:$X$1,0)),1)</f>
        <v>0</v>
      </c>
      <c r="DV80" s="258"/>
      <c r="DW80" s="273"/>
      <c r="DX80" s="232">
        <f t="shared" si="366"/>
        <v>6.8750000000000006E-2</v>
      </c>
      <c r="DY80" s="269"/>
      <c r="DZ80" s="253">
        <f t="shared" ref="DZ80:DZ83" si="420">$DZ$75/$DX$75*DX80</f>
        <v>6.6094875000000011E-4</v>
      </c>
      <c r="EA80" s="270">
        <f t="shared" si="345"/>
        <v>0</v>
      </c>
      <c r="EB80" s="254">
        <f t="shared" ref="EB80:EB83" si="421">IFERROR(IF(EO80=100%,$DZ80,0),0)</f>
        <v>0</v>
      </c>
      <c r="EC80" s="255">
        <f t="shared" ref="EC80:EC83" si="422">IFERROR(IF(AND((EO80+EP80)=100%,EO80&lt;1),$DZ80,0),0)</f>
        <v>6.6094875000000011E-4</v>
      </c>
      <c r="ED80" s="255">
        <f t="shared" ref="ED80:ED83" si="423">IFERROR(IF(AND((ET80+EV80)=ES80,EB80=0),$DZ80,0),0)</f>
        <v>0</v>
      </c>
      <c r="EE80" s="271">
        <f t="shared" ref="EE80:EE83" si="424">IFERROR(IF(AND((ET80+EV80+EW80)=ES80,EB80=0,ED80=0),$DZ80,0),0)</f>
        <v>6.6094875000000011E-4</v>
      </c>
      <c r="EF80" s="271">
        <f t="shared" ref="EF80:EF83" si="425">IFERROR(IF(AND((ET80+EV80+EW80+EX80)=ES80,EB80=0,ED80=0,EE80=0),$DZ80,0),0)</f>
        <v>0</v>
      </c>
      <c r="EG80" s="271">
        <f t="shared" ref="EG80:EG83" si="426">IFERROR(IF(AND((ET80+EV80+EW80+EX80+EY80)=ES80,EB80=0,ED80=0,EE80=0,EF80=0),$DZ80,0),0)</f>
        <v>0</v>
      </c>
      <c r="EH80" s="271"/>
      <c r="EI80" s="271">
        <f t="shared" ref="EI80:EI83" si="427">IFERROR(IF(AND((EO80+EQ80)=100%,EO80&lt;1),$DZ80,0),0)</f>
        <v>0</v>
      </c>
      <c r="EJ80" s="271">
        <f t="shared" ref="EJ80:EJ83" si="428">IFERROR(IF(AND((ET80+FB80)=ES80,EB80=0),$DZ80,0),0)</f>
        <v>0</v>
      </c>
      <c r="EK80" s="271">
        <f t="shared" ref="EK80:EK83" si="429">IFERROR(IF(AND((ET80+FB80+FC80)=ES80,EB80=0,EJ80=0),DZ80,0),0)</f>
        <v>0</v>
      </c>
      <c r="EL80" s="255">
        <f t="shared" ref="EL80:EL83" si="430">IFERROR(IF(AND((ET80+FB80+FC80+FD80)=ES80,EB80=0,EJ80=0,EK80=0),$DZ80,0),0)</f>
        <v>0</v>
      </c>
      <c r="EM80" s="271">
        <f t="shared" ref="EM80:EM83" si="431">IFERROR(IF(AND((ET80+FB80+FE80+FC80+FD80)=ES80,EB80=0,EJ80=0,EK80=0,EL80=0),$DZ80,0),0)</f>
        <v>0</v>
      </c>
      <c r="EN80" s="183"/>
      <c r="EO80" s="306">
        <f t="shared" ref="EO80:EO83" si="432">IFERROR(ET80/ES80,0)</f>
        <v>0</v>
      </c>
      <c r="EP80" s="306">
        <f t="shared" ref="EP80:EP83" si="433">IFERROR(EU80/ES80,0)</f>
        <v>1</v>
      </c>
      <c r="EQ80" s="300">
        <f t="shared" ref="EQ80:EQ83" si="434">IFERROR(FA80/ES80,0)</f>
        <v>0</v>
      </c>
      <c r="ER80" s="272"/>
      <c r="ES80" s="297">
        <f>COUNTIF('LS | Drawing List'!$H:$H,$B80)</f>
        <v>10</v>
      </c>
      <c r="ET80" s="191">
        <f>COUNTIFS('LS | Drawing List'!$H:$H,$B80,INDEX('LS | Drawing List'!$A:$V,,MATCH('Design Fee'!ET$8,'LS | Drawing List'!$A$1:$V$1,0)),1)</f>
        <v>0</v>
      </c>
      <c r="EU80" s="191">
        <f>COUNTIFS('LS | Drawing List'!$H:$H,$B80,INDEX('LS | Drawing List'!$K:$V,,MATCH('Design Fee'!EU$8,'LS | Drawing List'!$K$1:$V$1,0)),1)</f>
        <v>10</v>
      </c>
      <c r="EV80" s="191">
        <f>COUNTIFS('LS | Drawing List'!$H:$H,$B80,INDEX('LS | Drawing List'!$K:$V,,MATCH('Design Fee'!EV$8,'LS | Drawing List'!$K$1:$V$1,0)),1)</f>
        <v>0</v>
      </c>
      <c r="EW80" s="191">
        <f>COUNTIFS('LS | Drawing List'!$H:$H,$B80,INDEX('LS | Drawing List'!$K:$V,,MATCH('Design Fee'!EW$8,'LS | Drawing List'!$K$1:$V$1,0)),1)</f>
        <v>10</v>
      </c>
      <c r="EX80" s="191">
        <f>COUNTIFS('LS | Drawing List'!$H:$H,$B80,INDEX('LS | Drawing List'!$K:$V,,MATCH('Design Fee'!EX$8,'LS | Drawing List'!$K$1:$V$1,0)),1)</f>
        <v>0</v>
      </c>
      <c r="EY80" s="191">
        <f>COUNTIFS('LS | Drawing List'!$H:$H,$B80,INDEX('LS | Drawing List'!$K:$V,,MATCH('Design Fee'!EY$8,'LS | Drawing List'!$K$1:$V$1,0)),1)</f>
        <v>0</v>
      </c>
      <c r="EZ80" s="198"/>
      <c r="FA80" s="191">
        <f>COUNTIFS('LS | Drawing List'!$H:$H,$B80,INDEX('LS | Drawing List'!$K:$V,,MATCH('Design Fee'!FA$8,'LS | Drawing List'!$K$1:$V$1,0)),1)</f>
        <v>0</v>
      </c>
      <c r="FB80" s="191">
        <f>COUNTIFS('LS | Drawing List'!$H:$H,$B80,INDEX('LS | Drawing List'!$K:$V,,MATCH('Design Fee'!FB$8,'LS | Drawing List'!$K$1:$V$1,0)),1)</f>
        <v>0</v>
      </c>
      <c r="FC80" s="191">
        <f>COUNTIFS('LS | Drawing List'!$H:$H,$B80,INDEX('LS | Drawing List'!$K:$V,,MATCH('Design Fee'!FC$8,'LS | Drawing List'!$K$1:$V$1,0)),1)</f>
        <v>0</v>
      </c>
      <c r="FD80" s="191">
        <f>COUNTIFS('LS | Drawing List'!$H:$H,$B80,INDEX('LS | Drawing List'!$K:$V,,MATCH('Design Fee'!FD$8,'LS | Drawing List'!$K$1:$V$1,0)),1)</f>
        <v>0</v>
      </c>
      <c r="FE80" s="191">
        <f>COUNTIFS('LS | Drawing List'!$H:$H,$B80,INDEX('LS | Drawing List'!$K:$V,,MATCH('Design Fee'!FE$8,'LS | Drawing List'!$K$1:$V$1,0)),1)</f>
        <v>0</v>
      </c>
      <c r="FF80" s="258"/>
    </row>
    <row r="81" spans="2:162" s="268" customFormat="1" ht="11.85" customHeight="1" outlineLevel="2">
      <c r="B81" s="459" t="s">
        <v>92</v>
      </c>
      <c r="C81" s="547" t="s">
        <v>93</v>
      </c>
      <c r="D81" s="257"/>
      <c r="E81" s="253">
        <f t="shared" si="322"/>
        <v>0.57989458196575872</v>
      </c>
      <c r="F81" s="253">
        <f t="shared" si="323"/>
        <v>0</v>
      </c>
      <c r="G81" s="254">
        <f t="shared" si="376"/>
        <v>0.57989458196575872</v>
      </c>
      <c r="H81" s="253">
        <f t="shared" si="325"/>
        <v>0</v>
      </c>
      <c r="I81" s="253">
        <f t="shared" si="326"/>
        <v>0.57989458196575872</v>
      </c>
      <c r="J81" s="253">
        <f t="shared" si="327"/>
        <v>0</v>
      </c>
      <c r="K81" s="253">
        <f t="shared" si="328"/>
        <v>0</v>
      </c>
      <c r="L81" s="253">
        <f t="shared" si="329"/>
        <v>0.57989458196575872</v>
      </c>
      <c r="M81" s="253">
        <f t="shared" si="330"/>
        <v>0</v>
      </c>
      <c r="N81" s="256"/>
      <c r="O81" s="253">
        <f t="shared" si="331"/>
        <v>0</v>
      </c>
      <c r="P81" s="253">
        <f t="shared" si="332"/>
        <v>0</v>
      </c>
      <c r="Q81" s="253">
        <f t="shared" si="333"/>
        <v>0</v>
      </c>
      <c r="R81" s="253">
        <f t="shared" si="334"/>
        <v>0</v>
      </c>
      <c r="S81" s="253">
        <f t="shared" si="335"/>
        <v>0</v>
      </c>
      <c r="T81" s="169"/>
      <c r="U81" s="183"/>
      <c r="V81" s="545">
        <f t="shared" si="349"/>
        <v>6.25E-2</v>
      </c>
      <c r="W81" s="269"/>
      <c r="X81" s="270">
        <f t="shared" si="377"/>
        <v>0.52221875000000006</v>
      </c>
      <c r="Y81" s="253">
        <f t="shared" si="336"/>
        <v>0</v>
      </c>
      <c r="Z81" s="254">
        <f t="shared" si="378"/>
        <v>0</v>
      </c>
      <c r="AA81" s="255">
        <f t="shared" si="379"/>
        <v>0.52221875000000006</v>
      </c>
      <c r="AB81" s="255">
        <f t="shared" si="380"/>
        <v>0</v>
      </c>
      <c r="AC81" s="271">
        <f t="shared" si="381"/>
        <v>0</v>
      </c>
      <c r="AD81" s="271">
        <f t="shared" si="382"/>
        <v>0.52221875000000006</v>
      </c>
      <c r="AE81" s="271">
        <f t="shared" si="383"/>
        <v>0</v>
      </c>
      <c r="AF81" s="271"/>
      <c r="AG81" s="255">
        <f t="shared" si="384"/>
        <v>0</v>
      </c>
      <c r="AH81" s="271">
        <f t="shared" si="385"/>
        <v>0</v>
      </c>
      <c r="AI81" s="271">
        <f t="shared" si="386"/>
        <v>0</v>
      </c>
      <c r="AJ81" s="255">
        <f t="shared" si="387"/>
        <v>0</v>
      </c>
      <c r="AK81" s="271">
        <f t="shared" si="388"/>
        <v>0</v>
      </c>
      <c r="AL81" s="169"/>
      <c r="AM81" s="354">
        <f t="shared" si="389"/>
        <v>0</v>
      </c>
      <c r="AN81" s="354">
        <f t="shared" si="390"/>
        <v>1</v>
      </c>
      <c r="AO81" s="279">
        <f t="shared" si="391"/>
        <v>0</v>
      </c>
      <c r="AP81" s="272"/>
      <c r="AQ81" s="364">
        <f>COUNTIF('AR | Drawing List'!$H:$H,$B81)</f>
        <v>6</v>
      </c>
      <c r="AR81" s="365">
        <f>COUNTIFS('AR | Drawing List'!$H:$H,$B81,INDEX('AR | Drawing List'!$A:$AT,,MATCH('Design Fee'!AR$8,'AR | Drawing List'!$A$1:$AT$1,0)),1)</f>
        <v>0</v>
      </c>
      <c r="AS81" s="365">
        <f>COUNTIFS('AR | Drawing List'!$H:$H,$B81,INDEX('AR | Drawing List'!$K:$AT,,MATCH('Design Fee'!AS$8,'AR | Drawing List'!$K$1:$AT$1,0)),1)</f>
        <v>6</v>
      </c>
      <c r="AT81" s="365">
        <f>COUNTIFS('AR | Drawing List'!$H:$H,$B81,INDEX('AR | Drawing List'!$K:$AT,,MATCH('Design Fee'!AT$8,'AR | Drawing List'!$K$1:$AT$1,0)),1)</f>
        <v>0</v>
      </c>
      <c r="AU81" s="365">
        <f>COUNTIFS('AR | Drawing List'!$H:$H,$B81,INDEX('AR | Drawing List'!$K:$AT,,MATCH('Design Fee'!AU$8,'AR | Drawing List'!$K$1:$AT$1,0)),1)</f>
        <v>0</v>
      </c>
      <c r="AV81" s="365">
        <f>COUNTIFS('AR | Drawing List'!$H:$H,$B81,INDEX('AR | Drawing List'!$K:$AT,,MATCH('Design Fee'!AV$8,'AR | Drawing List'!$K$1:$AT$1,0)),1)</f>
        <v>6</v>
      </c>
      <c r="AW81" s="365">
        <f>COUNTIFS('AR | Drawing List'!$H:$H,$B81,INDEX('AR | Drawing List'!$K:$AT,,MATCH('Design Fee'!AW$8,'AR | Drawing List'!$K$1:$AT$1,0)),1)</f>
        <v>0</v>
      </c>
      <c r="AX81" s="198"/>
      <c r="AY81" s="365">
        <f>COUNTIFS('AR | Drawing List'!$H:$H,$B81,INDEX('AR | Drawing List'!$K:$AT,,MATCH('Design Fee'!AY$8,'AR | Drawing List'!$K$1:$AT$1,0)),1)</f>
        <v>0</v>
      </c>
      <c r="AZ81" s="365">
        <f>COUNTIFS('AR | Drawing List'!$H:$H,$B81,INDEX('AR | Drawing List'!$K:$AT,,MATCH('Design Fee'!AZ$8,'AR | Drawing List'!$K$1:$AT$1,0)),1)</f>
        <v>0</v>
      </c>
      <c r="BA81" s="365">
        <f>COUNTIFS('AR | Drawing List'!$H:$H,$B81,INDEX('AR | Drawing List'!$K:$AT,,MATCH('Design Fee'!BA$8,'AR | Drawing List'!$K$1:$AT$1,0)),1)</f>
        <v>0</v>
      </c>
      <c r="BB81" s="365">
        <f>COUNTIFS('AR | Drawing List'!$H:$H,$B81,INDEX('AR | Drawing List'!$K:$AT,,MATCH('Design Fee'!BB$8,'AR | Drawing List'!$K$1:$AT$1,0)),1)</f>
        <v>0</v>
      </c>
      <c r="BC81" s="365">
        <f>COUNTIFS('AR | Drawing List'!$H:$H,$B81,INDEX('AR | Drawing List'!$K:$AT,,MATCH('Design Fee'!BC$8,'AR | Drawing List'!$K$1:$AT$1,0)),1)</f>
        <v>0</v>
      </c>
      <c r="BD81" s="273"/>
      <c r="BE81" s="274">
        <v>0</v>
      </c>
      <c r="BF81" s="269"/>
      <c r="BG81" s="270"/>
      <c r="BH81" s="253">
        <f t="shared" si="339"/>
        <v>0</v>
      </c>
      <c r="BI81" s="254">
        <f t="shared" si="392"/>
        <v>0</v>
      </c>
      <c r="BJ81" s="255">
        <f t="shared" si="393"/>
        <v>0</v>
      </c>
      <c r="BK81" s="255">
        <f t="shared" si="394"/>
        <v>0</v>
      </c>
      <c r="BL81" s="271">
        <f t="shared" si="395"/>
        <v>0</v>
      </c>
      <c r="BM81" s="271">
        <f t="shared" si="396"/>
        <v>0</v>
      </c>
      <c r="BN81" s="271">
        <f t="shared" si="397"/>
        <v>0</v>
      </c>
      <c r="BO81" s="271"/>
      <c r="BP81" s="271">
        <f t="shared" si="398"/>
        <v>0</v>
      </c>
      <c r="BQ81" s="271">
        <f t="shared" si="399"/>
        <v>0</v>
      </c>
      <c r="BR81" s="271">
        <f t="shared" si="400"/>
        <v>0</v>
      </c>
      <c r="BS81" s="255">
        <f t="shared" si="401"/>
        <v>0</v>
      </c>
      <c r="BT81" s="271">
        <f t="shared" si="402"/>
        <v>0</v>
      </c>
      <c r="BU81" s="169"/>
      <c r="BV81" s="354">
        <f t="shared" si="403"/>
        <v>0</v>
      </c>
      <c r="BW81" s="354">
        <f t="shared" si="404"/>
        <v>0</v>
      </c>
      <c r="BX81" s="354">
        <f>IFERROR(#REF!/BZ81,0)</f>
        <v>0</v>
      </c>
      <c r="BY81" s="360"/>
      <c r="BZ81" s="297">
        <f>COUNTIF('ST | Drawing List'!$G:$G,$B81)</f>
        <v>0</v>
      </c>
      <c r="CA81" s="191">
        <f>COUNTIFS('ST | Drawing List'!$G:$G,$B81,INDEX('ST | Drawing List'!$A:$U,,MATCH('Design Fee'!CA$8,'ST | Drawing List'!$A$1:$U$1,0)),1)</f>
        <v>0</v>
      </c>
      <c r="CB81" s="191">
        <f>COUNTIFS('ST | Drawing List'!$G:$G,$B81,INDEX('ST | Drawing List'!$J:$U,,MATCH('Design Fee'!CB$8,'ST | Drawing List'!$J$1:$U$1,0)),1)</f>
        <v>0</v>
      </c>
      <c r="CC81" s="191">
        <f>COUNTIFS('ST | Drawing List'!$G:$G,$B81,INDEX('ST | Drawing List'!$J:$U,,MATCH('Design Fee'!CC$8,'ST | Drawing List'!$J$1:$U$1,0)),1)</f>
        <v>0</v>
      </c>
      <c r="CD81" s="191">
        <f>COUNTIFS('ST | Drawing List'!$G:$G,$B81,INDEX('ST | Drawing List'!$J:$U,,MATCH('Design Fee'!CD$8,'ST | Drawing List'!$J$1:$U$1,0)),1)</f>
        <v>0</v>
      </c>
      <c r="CE81" s="191">
        <f>COUNTIFS('ST | Drawing List'!$G:$G,$B81,INDEX('ST | Drawing List'!$J:$U,,MATCH('Design Fee'!CE$8,'ST | Drawing List'!$J$1:$U$1,0)),1)</f>
        <v>0</v>
      </c>
      <c r="CF81" s="191">
        <f>COUNTIFS('ST | Drawing List'!$G:$G,$B81,INDEX('ST | Drawing List'!$J:$U,,MATCH('Design Fee'!CF$8,'ST | Drawing List'!$J$1:$U$1,0)),1)</f>
        <v>0</v>
      </c>
      <c r="CG81" s="198"/>
      <c r="CH81" s="191">
        <f>COUNTIFS('ST | Drawing List'!$G:$G,$B81,INDEX('ST | Drawing List'!$J:$U,,MATCH('Design Fee'!CH$8,'ST | Drawing List'!$J$1:$U$1,0)),1)</f>
        <v>0</v>
      </c>
      <c r="CI81" s="191">
        <f>COUNTIFS('ST | Drawing List'!$G:$G,$B81,INDEX('ST | Drawing List'!$J:$U,,MATCH('Design Fee'!CI$8,'ST | Drawing List'!$J$1:$U$1,0)),1)</f>
        <v>0</v>
      </c>
      <c r="CJ81" s="191">
        <f>COUNTIFS('ST | Drawing List'!$G:$G,$B81,INDEX('ST | Drawing List'!$J:$U,,MATCH('Design Fee'!CJ$8,'ST | Drawing List'!$J$1:$U$1,0)),1)</f>
        <v>0</v>
      </c>
      <c r="CK81" s="191">
        <f>COUNTIFS('ST | Drawing List'!$G:$G,$B81,INDEX('ST | Drawing List'!$J:$U,,MATCH('Design Fee'!CK$8,'ST | Drawing List'!$J$1:$U$1,0)),1)</f>
        <v>0</v>
      </c>
      <c r="CL81" s="191">
        <f>COUNTIFS('ST | Drawing List'!$G:$G,$B81,INDEX('ST | Drawing List'!$J:$U,,MATCH('Design Fee'!CL$8,'ST | Drawing List'!$J$1:$U$1,0)),1)</f>
        <v>0</v>
      </c>
      <c r="CM81" s="273"/>
      <c r="CN81" s="545">
        <f t="shared" si="361"/>
        <v>8.1250000000000003E-2</v>
      </c>
      <c r="CO81" s="269"/>
      <c r="CP81" s="253">
        <f t="shared" si="405"/>
        <v>5.7014883215758663E-2</v>
      </c>
      <c r="CQ81" s="270">
        <f t="shared" si="342"/>
        <v>0</v>
      </c>
      <c r="CR81" s="254">
        <f t="shared" si="406"/>
        <v>0</v>
      </c>
      <c r="CS81" s="255">
        <f t="shared" si="407"/>
        <v>5.7014883215758663E-2</v>
      </c>
      <c r="CT81" s="255">
        <f t="shared" si="408"/>
        <v>0</v>
      </c>
      <c r="CU81" s="271">
        <f t="shared" si="409"/>
        <v>0</v>
      </c>
      <c r="CV81" s="271">
        <f t="shared" si="410"/>
        <v>5.7014883215758663E-2</v>
      </c>
      <c r="CW81" s="271">
        <f t="shared" si="411"/>
        <v>0</v>
      </c>
      <c r="CX81" s="271"/>
      <c r="CY81" s="271">
        <f t="shared" si="412"/>
        <v>0</v>
      </c>
      <c r="CZ81" s="271">
        <f t="shared" si="413"/>
        <v>0</v>
      </c>
      <c r="DA81" s="271">
        <f t="shared" si="414"/>
        <v>0</v>
      </c>
      <c r="DB81" s="255">
        <f t="shared" si="415"/>
        <v>0</v>
      </c>
      <c r="DC81" s="271">
        <f t="shared" si="416"/>
        <v>0</v>
      </c>
      <c r="DD81" s="183"/>
      <c r="DE81" s="306">
        <f t="shared" si="417"/>
        <v>0</v>
      </c>
      <c r="DF81" s="306">
        <f t="shared" si="418"/>
        <v>1</v>
      </c>
      <c r="DG81" s="300">
        <f t="shared" si="419"/>
        <v>0</v>
      </c>
      <c r="DH81" s="272"/>
      <c r="DI81" s="297">
        <f>COUNTIF('MEP | Drawing List'!$I:$I,$B81)</f>
        <v>25</v>
      </c>
      <c r="DJ81" s="191">
        <f>COUNTIFS('MEP | Drawing List'!$I:$I,$B81,INDEX('MEP | Drawing List'!$B:$X,,MATCH('Design Fee'!DJ$8,'MEP | Drawing List'!$B$1:$X$1,0)),1)</f>
        <v>0</v>
      </c>
      <c r="DK81" s="191">
        <f>COUNTIFS('MEP | Drawing List'!$I:$I,$B81,INDEX('MEP | Drawing List'!$L:$X,,MATCH('Design Fee'!DK$8,'MEP | Drawing List'!$L$1:$X$1,0)),1)</f>
        <v>25</v>
      </c>
      <c r="DL81" s="191">
        <f>COUNTIFS('MEP | Drawing List'!$I:$I,$B81,INDEX('MEP | Drawing List'!$L:$X,,MATCH('Design Fee'!DL$8,'MEP | Drawing List'!$L$1:$X$1,0)),1)</f>
        <v>0</v>
      </c>
      <c r="DM81" s="191">
        <f>COUNTIFS('MEP | Drawing List'!$I:$I,$B81,INDEX('MEP | Drawing List'!$L:$X,,MATCH('Design Fee'!DM$8,'MEP | Drawing List'!$L$1:$X$1,0)),1)</f>
        <v>0</v>
      </c>
      <c r="DN81" s="191">
        <f>COUNTIFS('MEP | Drawing List'!$I:$I,$B81,INDEX('MEP | Drawing List'!$L:$X,,MATCH('Design Fee'!DN$8,'MEP | Drawing List'!$L$1:$X$1,0)),1)</f>
        <v>25</v>
      </c>
      <c r="DO81" s="191">
        <f>COUNTIFS('MEP | Drawing List'!$I:$I,$B81,INDEX('MEP | Drawing List'!$L:$X,,MATCH('Design Fee'!DO$8,'MEP | Drawing List'!$L$1:$X$1,0)),1)</f>
        <v>0</v>
      </c>
      <c r="DP81" s="198"/>
      <c r="DQ81" s="191">
        <f>COUNTIFS('MEP | Drawing List'!$I:$I,$B81,INDEX('MEP | Drawing List'!$L:$X,,MATCH('Design Fee'!DQ$8,'MEP | Drawing List'!$L$1:$X$1,0)),1)</f>
        <v>0</v>
      </c>
      <c r="DR81" s="191">
        <f>COUNTIFS('MEP | Drawing List'!$I:$I,$B81,INDEX('MEP | Drawing List'!$L:$X,,MATCH('Design Fee'!DR$8,'MEP | Drawing List'!$L$1:$X$1,0)),1)</f>
        <v>0</v>
      </c>
      <c r="DS81" s="191">
        <f>COUNTIFS('MEP | Drawing List'!$I:$I,$B81,INDEX('MEP | Drawing List'!$L:$X,,MATCH('Design Fee'!DS$8,'MEP | Drawing List'!$L$1:$X$1,0)),1)</f>
        <v>0</v>
      </c>
      <c r="DT81" s="191">
        <f>COUNTIFS('MEP | Drawing List'!$I:$I,$B81,INDEX('MEP | Drawing List'!$L:$X,,MATCH('Design Fee'!DT$8,'MEP | Drawing List'!$L$1:$X$1,0)),1)</f>
        <v>0</v>
      </c>
      <c r="DU81" s="191">
        <f>COUNTIFS('MEP | Drawing List'!$I:$I,$B81,INDEX('MEP | Drawing List'!$L:$X,,MATCH('Design Fee'!DU$8,'MEP | Drawing List'!$L$1:$X$1,0)),1)</f>
        <v>0</v>
      </c>
      <c r="DV81" s="258"/>
      <c r="DW81" s="273"/>
      <c r="DX81" s="232">
        <f t="shared" si="366"/>
        <v>6.8750000000000006E-2</v>
      </c>
      <c r="DY81" s="269"/>
      <c r="DZ81" s="253">
        <f t="shared" si="420"/>
        <v>6.6094875000000011E-4</v>
      </c>
      <c r="EA81" s="270">
        <f t="shared" si="345"/>
        <v>0</v>
      </c>
      <c r="EB81" s="254">
        <f t="shared" si="421"/>
        <v>0</v>
      </c>
      <c r="EC81" s="255">
        <f t="shared" si="422"/>
        <v>6.6094875000000011E-4</v>
      </c>
      <c r="ED81" s="255">
        <f t="shared" si="423"/>
        <v>0</v>
      </c>
      <c r="EE81" s="271">
        <f t="shared" si="424"/>
        <v>0</v>
      </c>
      <c r="EF81" s="271">
        <f t="shared" si="425"/>
        <v>6.6094875000000011E-4</v>
      </c>
      <c r="EG81" s="271">
        <f t="shared" si="426"/>
        <v>0</v>
      </c>
      <c r="EH81" s="271"/>
      <c r="EI81" s="271">
        <f t="shared" si="427"/>
        <v>0</v>
      </c>
      <c r="EJ81" s="271">
        <f t="shared" si="428"/>
        <v>0</v>
      </c>
      <c r="EK81" s="271">
        <f t="shared" si="429"/>
        <v>0</v>
      </c>
      <c r="EL81" s="255">
        <f t="shared" si="430"/>
        <v>0</v>
      </c>
      <c r="EM81" s="271">
        <f t="shared" si="431"/>
        <v>0</v>
      </c>
      <c r="EN81" s="183"/>
      <c r="EO81" s="306">
        <f t="shared" si="432"/>
        <v>0</v>
      </c>
      <c r="EP81" s="306">
        <f t="shared" si="433"/>
        <v>1</v>
      </c>
      <c r="EQ81" s="300">
        <f t="shared" si="434"/>
        <v>0</v>
      </c>
      <c r="ER81" s="272"/>
      <c r="ES81" s="297">
        <f>COUNTIF('LS | Drawing List'!$H:$H,$B81)</f>
        <v>8</v>
      </c>
      <c r="ET81" s="191">
        <f>COUNTIFS('LS | Drawing List'!$H:$H,$B81,INDEX('LS | Drawing List'!$A:$V,,MATCH('Design Fee'!ET$8,'LS | Drawing List'!$A$1:$V$1,0)),1)</f>
        <v>0</v>
      </c>
      <c r="EU81" s="191">
        <f>COUNTIFS('LS | Drawing List'!$H:$H,$B81,INDEX('LS | Drawing List'!$K:$V,,MATCH('Design Fee'!EU$8,'LS | Drawing List'!$K$1:$V$1,0)),1)</f>
        <v>8</v>
      </c>
      <c r="EV81" s="191">
        <f>COUNTIFS('LS | Drawing List'!$H:$H,$B81,INDEX('LS | Drawing List'!$K:$V,,MATCH('Design Fee'!EV$8,'LS | Drawing List'!$K$1:$V$1,0)),1)</f>
        <v>0</v>
      </c>
      <c r="EW81" s="191">
        <f>COUNTIFS('LS | Drawing List'!$H:$H,$B81,INDEX('LS | Drawing List'!$K:$V,,MATCH('Design Fee'!EW$8,'LS | Drawing List'!$K$1:$V$1,0)),1)</f>
        <v>0</v>
      </c>
      <c r="EX81" s="191">
        <f>COUNTIFS('LS | Drawing List'!$H:$H,$B81,INDEX('LS | Drawing List'!$K:$V,,MATCH('Design Fee'!EX$8,'LS | Drawing List'!$K$1:$V$1,0)),1)</f>
        <v>8</v>
      </c>
      <c r="EY81" s="191">
        <f>COUNTIFS('LS | Drawing List'!$H:$H,$B81,INDEX('LS | Drawing List'!$K:$V,,MATCH('Design Fee'!EY$8,'LS | Drawing List'!$K$1:$V$1,0)),1)</f>
        <v>0</v>
      </c>
      <c r="EZ81" s="198"/>
      <c r="FA81" s="191">
        <f>COUNTIFS('LS | Drawing List'!$H:$H,$B81,INDEX('LS | Drawing List'!$K:$V,,MATCH('Design Fee'!FA$8,'LS | Drawing List'!$K$1:$V$1,0)),1)</f>
        <v>0</v>
      </c>
      <c r="FB81" s="191">
        <f>COUNTIFS('LS | Drawing List'!$H:$H,$B81,INDEX('LS | Drawing List'!$K:$V,,MATCH('Design Fee'!FB$8,'LS | Drawing List'!$K$1:$V$1,0)),1)</f>
        <v>0</v>
      </c>
      <c r="FC81" s="191">
        <f>COUNTIFS('LS | Drawing List'!$H:$H,$B81,INDEX('LS | Drawing List'!$K:$V,,MATCH('Design Fee'!FC$8,'LS | Drawing List'!$K$1:$V$1,0)),1)</f>
        <v>0</v>
      </c>
      <c r="FD81" s="191">
        <f>COUNTIFS('LS | Drawing List'!$H:$H,$B81,INDEX('LS | Drawing List'!$K:$V,,MATCH('Design Fee'!FD$8,'LS | Drawing List'!$K$1:$V$1,0)),1)</f>
        <v>0</v>
      </c>
      <c r="FE81" s="191">
        <f>COUNTIFS('LS | Drawing List'!$H:$H,$B81,INDEX('LS | Drawing List'!$K:$V,,MATCH('Design Fee'!FE$8,'LS | Drawing List'!$K$1:$V$1,0)),1)</f>
        <v>0</v>
      </c>
      <c r="FF81" s="258"/>
    </row>
    <row r="82" spans="2:162" s="268" customFormat="1" ht="11.85" customHeight="1" outlineLevel="2">
      <c r="B82" s="459" t="s">
        <v>94</v>
      </c>
      <c r="C82" s="547" t="s">
        <v>95</v>
      </c>
      <c r="D82" s="257"/>
      <c r="E82" s="253">
        <f t="shared" si="322"/>
        <v>0.57989458196575872</v>
      </c>
      <c r="F82" s="253">
        <f t="shared" si="323"/>
        <v>0</v>
      </c>
      <c r="G82" s="254">
        <f t="shared" si="376"/>
        <v>0.57989458196575872</v>
      </c>
      <c r="H82" s="253">
        <f t="shared" si="325"/>
        <v>0</v>
      </c>
      <c r="I82" s="253">
        <f t="shared" si="326"/>
        <v>0.57989458196575872</v>
      </c>
      <c r="J82" s="253">
        <f t="shared" si="327"/>
        <v>0</v>
      </c>
      <c r="K82" s="253">
        <f t="shared" si="328"/>
        <v>0</v>
      </c>
      <c r="L82" s="253">
        <f t="shared" si="329"/>
        <v>0.57989458196575872</v>
      </c>
      <c r="M82" s="253">
        <f t="shared" si="330"/>
        <v>0</v>
      </c>
      <c r="N82" s="256"/>
      <c r="O82" s="253">
        <f t="shared" si="331"/>
        <v>0</v>
      </c>
      <c r="P82" s="253">
        <f t="shared" si="332"/>
        <v>0</v>
      </c>
      <c r="Q82" s="253">
        <f t="shared" si="333"/>
        <v>0</v>
      </c>
      <c r="R82" s="253">
        <f t="shared" si="334"/>
        <v>0</v>
      </c>
      <c r="S82" s="253">
        <f t="shared" si="335"/>
        <v>0</v>
      </c>
      <c r="T82" s="169"/>
      <c r="U82" s="183"/>
      <c r="V82" s="545">
        <f t="shared" si="349"/>
        <v>6.25E-2</v>
      </c>
      <c r="W82" s="269"/>
      <c r="X82" s="270">
        <f t="shared" si="377"/>
        <v>0.52221875000000006</v>
      </c>
      <c r="Y82" s="253">
        <f t="shared" si="336"/>
        <v>0</v>
      </c>
      <c r="Z82" s="254">
        <f t="shared" si="378"/>
        <v>0</v>
      </c>
      <c r="AA82" s="255">
        <f t="shared" si="379"/>
        <v>0.52221875000000006</v>
      </c>
      <c r="AB82" s="255">
        <f t="shared" si="380"/>
        <v>0</v>
      </c>
      <c r="AC82" s="271">
        <f t="shared" si="381"/>
        <v>0</v>
      </c>
      <c r="AD82" s="271">
        <f t="shared" si="382"/>
        <v>0.52221875000000006</v>
      </c>
      <c r="AE82" s="271">
        <f t="shared" si="383"/>
        <v>0</v>
      </c>
      <c r="AF82" s="271"/>
      <c r="AG82" s="255">
        <f t="shared" si="384"/>
        <v>0</v>
      </c>
      <c r="AH82" s="271">
        <f t="shared" si="385"/>
        <v>0</v>
      </c>
      <c r="AI82" s="271">
        <f t="shared" si="386"/>
        <v>0</v>
      </c>
      <c r="AJ82" s="255">
        <f t="shared" si="387"/>
        <v>0</v>
      </c>
      <c r="AK82" s="271">
        <f t="shared" si="388"/>
        <v>0</v>
      </c>
      <c r="AL82" s="169"/>
      <c r="AM82" s="354">
        <f t="shared" si="389"/>
        <v>0</v>
      </c>
      <c r="AN82" s="354">
        <f t="shared" si="390"/>
        <v>1</v>
      </c>
      <c r="AO82" s="279">
        <f t="shared" si="391"/>
        <v>0</v>
      </c>
      <c r="AP82" s="272"/>
      <c r="AQ82" s="364">
        <f>COUNTIF('AR | Drawing List'!$H:$H,$B82)</f>
        <v>6</v>
      </c>
      <c r="AR82" s="365">
        <f>COUNTIFS('AR | Drawing List'!$H:$H,$B82,INDEX('AR | Drawing List'!$A:$AT,,MATCH('Design Fee'!AR$8,'AR | Drawing List'!$A$1:$AT$1,0)),1)</f>
        <v>0</v>
      </c>
      <c r="AS82" s="365">
        <f>COUNTIFS('AR | Drawing List'!$H:$H,$B82,INDEX('AR | Drawing List'!$K:$AT,,MATCH('Design Fee'!AS$8,'AR | Drawing List'!$K$1:$AT$1,0)),1)</f>
        <v>6</v>
      </c>
      <c r="AT82" s="365">
        <f>COUNTIFS('AR | Drawing List'!$H:$H,$B82,INDEX('AR | Drawing List'!$K:$AT,,MATCH('Design Fee'!AT$8,'AR | Drawing List'!$K$1:$AT$1,0)),1)</f>
        <v>0</v>
      </c>
      <c r="AU82" s="365">
        <f>COUNTIFS('AR | Drawing List'!$H:$H,$B82,INDEX('AR | Drawing List'!$K:$AT,,MATCH('Design Fee'!AU$8,'AR | Drawing List'!$K$1:$AT$1,0)),1)</f>
        <v>0</v>
      </c>
      <c r="AV82" s="365">
        <f>COUNTIFS('AR | Drawing List'!$H:$H,$B82,INDEX('AR | Drawing List'!$K:$AT,,MATCH('Design Fee'!AV$8,'AR | Drawing List'!$K$1:$AT$1,0)),1)</f>
        <v>6</v>
      </c>
      <c r="AW82" s="365">
        <f>COUNTIFS('AR | Drawing List'!$H:$H,$B82,INDEX('AR | Drawing List'!$K:$AT,,MATCH('Design Fee'!AW$8,'AR | Drawing List'!$K$1:$AT$1,0)),1)</f>
        <v>0</v>
      </c>
      <c r="AX82" s="198"/>
      <c r="AY82" s="365">
        <f>COUNTIFS('AR | Drawing List'!$H:$H,$B82,INDEX('AR | Drawing List'!$K:$AT,,MATCH('Design Fee'!AY$8,'AR | Drawing List'!$K$1:$AT$1,0)),1)</f>
        <v>0</v>
      </c>
      <c r="AZ82" s="365">
        <f>COUNTIFS('AR | Drawing List'!$H:$H,$B82,INDEX('AR | Drawing List'!$K:$AT,,MATCH('Design Fee'!AZ$8,'AR | Drawing List'!$K$1:$AT$1,0)),1)</f>
        <v>0</v>
      </c>
      <c r="BA82" s="365">
        <f>COUNTIFS('AR | Drawing List'!$H:$H,$B82,INDEX('AR | Drawing List'!$K:$AT,,MATCH('Design Fee'!BA$8,'AR | Drawing List'!$K$1:$AT$1,0)),1)</f>
        <v>0</v>
      </c>
      <c r="BB82" s="365">
        <f>COUNTIFS('AR | Drawing List'!$H:$H,$B82,INDEX('AR | Drawing List'!$K:$AT,,MATCH('Design Fee'!BB$8,'AR | Drawing List'!$K$1:$AT$1,0)),1)</f>
        <v>0</v>
      </c>
      <c r="BC82" s="365">
        <f>COUNTIFS('AR | Drawing List'!$H:$H,$B82,INDEX('AR | Drawing List'!$K:$AT,,MATCH('Design Fee'!BC$8,'AR | Drawing List'!$K$1:$AT$1,0)),1)</f>
        <v>0</v>
      </c>
      <c r="BD82" s="273"/>
      <c r="BE82" s="274">
        <v>0</v>
      </c>
      <c r="BF82" s="269"/>
      <c r="BG82" s="270"/>
      <c r="BH82" s="253">
        <f t="shared" si="339"/>
        <v>0</v>
      </c>
      <c r="BI82" s="254">
        <f t="shared" si="392"/>
        <v>0</v>
      </c>
      <c r="BJ82" s="255">
        <f t="shared" si="393"/>
        <v>0</v>
      </c>
      <c r="BK82" s="255">
        <f t="shared" si="394"/>
        <v>0</v>
      </c>
      <c r="BL82" s="271">
        <f t="shared" si="395"/>
        <v>0</v>
      </c>
      <c r="BM82" s="271">
        <f t="shared" si="396"/>
        <v>0</v>
      </c>
      <c r="BN82" s="271">
        <f t="shared" si="397"/>
        <v>0</v>
      </c>
      <c r="BO82" s="271"/>
      <c r="BP82" s="271">
        <f t="shared" si="398"/>
        <v>0</v>
      </c>
      <c r="BQ82" s="271">
        <f t="shared" si="399"/>
        <v>0</v>
      </c>
      <c r="BR82" s="271">
        <f t="shared" si="400"/>
        <v>0</v>
      </c>
      <c r="BS82" s="255">
        <f t="shared" si="401"/>
        <v>0</v>
      </c>
      <c r="BT82" s="271">
        <f t="shared" si="402"/>
        <v>0</v>
      </c>
      <c r="BU82" s="169"/>
      <c r="BV82" s="354">
        <f t="shared" si="403"/>
        <v>0</v>
      </c>
      <c r="BW82" s="354">
        <f t="shared" si="404"/>
        <v>0</v>
      </c>
      <c r="BX82" s="354">
        <f>IFERROR(#REF!/BZ82,0)</f>
        <v>0</v>
      </c>
      <c r="BY82" s="360"/>
      <c r="BZ82" s="297">
        <f>COUNTIF('ST | Drawing List'!$G:$G,$B82)</f>
        <v>0</v>
      </c>
      <c r="CA82" s="191">
        <f>COUNTIFS('ST | Drawing List'!$G:$G,$B82,INDEX('ST | Drawing List'!$A:$U,,MATCH('Design Fee'!CA$8,'ST | Drawing List'!$A$1:$U$1,0)),1)</f>
        <v>0</v>
      </c>
      <c r="CB82" s="191">
        <f>COUNTIFS('ST | Drawing List'!$G:$G,$B82,INDEX('ST | Drawing List'!$J:$U,,MATCH('Design Fee'!CB$8,'ST | Drawing List'!$J$1:$U$1,0)),1)</f>
        <v>0</v>
      </c>
      <c r="CC82" s="191">
        <f>COUNTIFS('ST | Drawing List'!$G:$G,$B82,INDEX('ST | Drawing List'!$J:$U,,MATCH('Design Fee'!CC$8,'ST | Drawing List'!$J$1:$U$1,0)),1)</f>
        <v>0</v>
      </c>
      <c r="CD82" s="191">
        <f>COUNTIFS('ST | Drawing List'!$G:$G,$B82,INDEX('ST | Drawing List'!$J:$U,,MATCH('Design Fee'!CD$8,'ST | Drawing List'!$J$1:$U$1,0)),1)</f>
        <v>0</v>
      </c>
      <c r="CE82" s="191">
        <f>COUNTIFS('ST | Drawing List'!$G:$G,$B82,INDEX('ST | Drawing List'!$J:$U,,MATCH('Design Fee'!CE$8,'ST | Drawing List'!$J$1:$U$1,0)),1)</f>
        <v>0</v>
      </c>
      <c r="CF82" s="191">
        <f>COUNTIFS('ST | Drawing List'!$G:$G,$B82,INDEX('ST | Drawing List'!$J:$U,,MATCH('Design Fee'!CF$8,'ST | Drawing List'!$J$1:$U$1,0)),1)</f>
        <v>0</v>
      </c>
      <c r="CG82" s="198"/>
      <c r="CH82" s="191">
        <f>COUNTIFS('ST | Drawing List'!$G:$G,$B82,INDEX('ST | Drawing List'!$J:$U,,MATCH('Design Fee'!CH$8,'ST | Drawing List'!$J$1:$U$1,0)),1)</f>
        <v>0</v>
      </c>
      <c r="CI82" s="191">
        <f>COUNTIFS('ST | Drawing List'!$G:$G,$B82,INDEX('ST | Drawing List'!$J:$U,,MATCH('Design Fee'!CI$8,'ST | Drawing List'!$J$1:$U$1,0)),1)</f>
        <v>0</v>
      </c>
      <c r="CJ82" s="191">
        <f>COUNTIFS('ST | Drawing List'!$G:$G,$B82,INDEX('ST | Drawing List'!$J:$U,,MATCH('Design Fee'!CJ$8,'ST | Drawing List'!$J$1:$U$1,0)),1)</f>
        <v>0</v>
      </c>
      <c r="CK82" s="191">
        <f>COUNTIFS('ST | Drawing List'!$G:$G,$B82,INDEX('ST | Drawing List'!$J:$U,,MATCH('Design Fee'!CK$8,'ST | Drawing List'!$J$1:$U$1,0)),1)</f>
        <v>0</v>
      </c>
      <c r="CL82" s="191">
        <f>COUNTIFS('ST | Drawing List'!$G:$G,$B82,INDEX('ST | Drawing List'!$J:$U,,MATCH('Design Fee'!CL$8,'ST | Drawing List'!$J$1:$U$1,0)),1)</f>
        <v>0</v>
      </c>
      <c r="CM82" s="273"/>
      <c r="CN82" s="545">
        <f t="shared" si="361"/>
        <v>8.1250000000000003E-2</v>
      </c>
      <c r="CO82" s="269"/>
      <c r="CP82" s="253">
        <f t="shared" si="405"/>
        <v>5.7014883215758663E-2</v>
      </c>
      <c r="CQ82" s="270">
        <f t="shared" si="342"/>
        <v>0</v>
      </c>
      <c r="CR82" s="254">
        <f t="shared" si="406"/>
        <v>0</v>
      </c>
      <c r="CS82" s="255">
        <f t="shared" si="407"/>
        <v>5.7014883215758663E-2</v>
      </c>
      <c r="CT82" s="255">
        <f t="shared" si="408"/>
        <v>0</v>
      </c>
      <c r="CU82" s="271">
        <f t="shared" si="409"/>
        <v>0</v>
      </c>
      <c r="CV82" s="271">
        <f t="shared" si="410"/>
        <v>5.7014883215758663E-2</v>
      </c>
      <c r="CW82" s="271">
        <f t="shared" si="411"/>
        <v>0</v>
      </c>
      <c r="CX82" s="271"/>
      <c r="CY82" s="271">
        <f t="shared" si="412"/>
        <v>0</v>
      </c>
      <c r="CZ82" s="271">
        <f t="shared" si="413"/>
        <v>0</v>
      </c>
      <c r="DA82" s="271">
        <f t="shared" si="414"/>
        <v>0</v>
      </c>
      <c r="DB82" s="255">
        <f t="shared" si="415"/>
        <v>0</v>
      </c>
      <c r="DC82" s="271">
        <f t="shared" si="416"/>
        <v>0</v>
      </c>
      <c r="DD82" s="183"/>
      <c r="DE82" s="306">
        <f t="shared" si="417"/>
        <v>0</v>
      </c>
      <c r="DF82" s="306">
        <f t="shared" si="418"/>
        <v>1</v>
      </c>
      <c r="DG82" s="300">
        <f t="shared" si="419"/>
        <v>0</v>
      </c>
      <c r="DH82" s="272"/>
      <c r="DI82" s="297">
        <f>COUNTIF('MEP | Drawing List'!$I:$I,$B82)</f>
        <v>25</v>
      </c>
      <c r="DJ82" s="191">
        <f>COUNTIFS('MEP | Drawing List'!$I:$I,$B82,INDEX('MEP | Drawing List'!$B:$X,,MATCH('Design Fee'!DJ$8,'MEP | Drawing List'!$B$1:$X$1,0)),1)</f>
        <v>0</v>
      </c>
      <c r="DK82" s="191">
        <f>COUNTIFS('MEP | Drawing List'!$I:$I,$B82,INDEX('MEP | Drawing List'!$L:$X,,MATCH('Design Fee'!DK$8,'MEP | Drawing List'!$L$1:$X$1,0)),1)</f>
        <v>25</v>
      </c>
      <c r="DL82" s="191">
        <f>COUNTIFS('MEP | Drawing List'!$I:$I,$B82,INDEX('MEP | Drawing List'!$L:$X,,MATCH('Design Fee'!DL$8,'MEP | Drawing List'!$L$1:$X$1,0)),1)</f>
        <v>0</v>
      </c>
      <c r="DM82" s="191">
        <f>COUNTIFS('MEP | Drawing List'!$I:$I,$B82,INDEX('MEP | Drawing List'!$L:$X,,MATCH('Design Fee'!DM$8,'MEP | Drawing List'!$L$1:$X$1,0)),1)</f>
        <v>0</v>
      </c>
      <c r="DN82" s="191">
        <f>COUNTIFS('MEP | Drawing List'!$I:$I,$B82,INDEX('MEP | Drawing List'!$L:$X,,MATCH('Design Fee'!DN$8,'MEP | Drawing List'!$L$1:$X$1,0)),1)</f>
        <v>25</v>
      </c>
      <c r="DO82" s="191">
        <f>COUNTIFS('MEP | Drawing List'!$I:$I,$B82,INDEX('MEP | Drawing List'!$L:$X,,MATCH('Design Fee'!DO$8,'MEP | Drawing List'!$L$1:$X$1,0)),1)</f>
        <v>0</v>
      </c>
      <c r="DP82" s="198"/>
      <c r="DQ82" s="191">
        <f>COUNTIFS('MEP | Drawing List'!$I:$I,$B82,INDEX('MEP | Drawing List'!$L:$X,,MATCH('Design Fee'!DQ$8,'MEP | Drawing List'!$L$1:$X$1,0)),1)</f>
        <v>0</v>
      </c>
      <c r="DR82" s="191">
        <f>COUNTIFS('MEP | Drawing List'!$I:$I,$B82,INDEX('MEP | Drawing List'!$L:$X,,MATCH('Design Fee'!DR$8,'MEP | Drawing List'!$L$1:$X$1,0)),1)</f>
        <v>0</v>
      </c>
      <c r="DS82" s="191">
        <f>COUNTIFS('MEP | Drawing List'!$I:$I,$B82,INDEX('MEP | Drawing List'!$L:$X,,MATCH('Design Fee'!DS$8,'MEP | Drawing List'!$L$1:$X$1,0)),1)</f>
        <v>0</v>
      </c>
      <c r="DT82" s="191">
        <f>COUNTIFS('MEP | Drawing List'!$I:$I,$B82,INDEX('MEP | Drawing List'!$L:$X,,MATCH('Design Fee'!DT$8,'MEP | Drawing List'!$L$1:$X$1,0)),1)</f>
        <v>0</v>
      </c>
      <c r="DU82" s="191">
        <f>COUNTIFS('MEP | Drawing List'!$I:$I,$B82,INDEX('MEP | Drawing List'!$L:$X,,MATCH('Design Fee'!DU$8,'MEP | Drawing List'!$L$1:$X$1,0)),1)</f>
        <v>0</v>
      </c>
      <c r="DV82" s="258"/>
      <c r="DW82" s="273"/>
      <c r="DX82" s="232">
        <f t="shared" si="366"/>
        <v>6.8750000000000006E-2</v>
      </c>
      <c r="DY82" s="269"/>
      <c r="DZ82" s="253">
        <f t="shared" si="420"/>
        <v>6.6094875000000011E-4</v>
      </c>
      <c r="EA82" s="270">
        <f t="shared" si="345"/>
        <v>0</v>
      </c>
      <c r="EB82" s="254">
        <f t="shared" si="421"/>
        <v>0</v>
      </c>
      <c r="EC82" s="255">
        <f t="shared" si="422"/>
        <v>6.6094875000000011E-4</v>
      </c>
      <c r="ED82" s="255">
        <f t="shared" si="423"/>
        <v>0</v>
      </c>
      <c r="EE82" s="271">
        <f t="shared" si="424"/>
        <v>0</v>
      </c>
      <c r="EF82" s="271">
        <f t="shared" si="425"/>
        <v>6.6094875000000011E-4</v>
      </c>
      <c r="EG82" s="271">
        <f t="shared" si="426"/>
        <v>0</v>
      </c>
      <c r="EH82" s="271"/>
      <c r="EI82" s="271">
        <f t="shared" si="427"/>
        <v>0</v>
      </c>
      <c r="EJ82" s="271">
        <f t="shared" si="428"/>
        <v>0</v>
      </c>
      <c r="EK82" s="271">
        <f t="shared" si="429"/>
        <v>0</v>
      </c>
      <c r="EL82" s="255">
        <f t="shared" si="430"/>
        <v>0</v>
      </c>
      <c r="EM82" s="271">
        <f t="shared" si="431"/>
        <v>0</v>
      </c>
      <c r="EN82" s="183"/>
      <c r="EO82" s="306">
        <f t="shared" si="432"/>
        <v>0</v>
      </c>
      <c r="EP82" s="306">
        <f t="shared" si="433"/>
        <v>1</v>
      </c>
      <c r="EQ82" s="300">
        <f t="shared" si="434"/>
        <v>0</v>
      </c>
      <c r="ER82" s="272"/>
      <c r="ES82" s="297">
        <f>COUNTIF('LS | Drawing List'!$H:$H,$B82)</f>
        <v>8</v>
      </c>
      <c r="ET82" s="191">
        <f>COUNTIFS('LS | Drawing List'!$H:$H,$B82,INDEX('LS | Drawing List'!$A:$V,,MATCH('Design Fee'!ET$8,'LS | Drawing List'!$A$1:$V$1,0)),1)</f>
        <v>0</v>
      </c>
      <c r="EU82" s="191">
        <f>COUNTIFS('LS | Drawing List'!$H:$H,$B82,INDEX('LS | Drawing List'!$K:$V,,MATCH('Design Fee'!EU$8,'LS | Drawing List'!$K$1:$V$1,0)),1)</f>
        <v>8</v>
      </c>
      <c r="EV82" s="191">
        <f>COUNTIFS('LS | Drawing List'!$H:$H,$B82,INDEX('LS | Drawing List'!$K:$V,,MATCH('Design Fee'!EV$8,'LS | Drawing List'!$K$1:$V$1,0)),1)</f>
        <v>0</v>
      </c>
      <c r="EW82" s="191">
        <f>COUNTIFS('LS | Drawing List'!$H:$H,$B82,INDEX('LS | Drawing List'!$K:$V,,MATCH('Design Fee'!EW$8,'LS | Drawing List'!$K$1:$V$1,0)),1)</f>
        <v>0</v>
      </c>
      <c r="EX82" s="191">
        <f>COUNTIFS('LS | Drawing List'!$H:$H,$B82,INDEX('LS | Drawing List'!$K:$V,,MATCH('Design Fee'!EX$8,'LS | Drawing List'!$K$1:$V$1,0)),1)</f>
        <v>8</v>
      </c>
      <c r="EY82" s="191">
        <f>COUNTIFS('LS | Drawing List'!$H:$H,$B82,INDEX('LS | Drawing List'!$K:$V,,MATCH('Design Fee'!EY$8,'LS | Drawing List'!$K$1:$V$1,0)),1)</f>
        <v>0</v>
      </c>
      <c r="EZ82" s="198"/>
      <c r="FA82" s="191">
        <f>COUNTIFS('LS | Drawing List'!$H:$H,$B82,INDEX('LS | Drawing List'!$K:$V,,MATCH('Design Fee'!FA$8,'LS | Drawing List'!$K$1:$V$1,0)),1)</f>
        <v>0</v>
      </c>
      <c r="FB82" s="191">
        <f>COUNTIFS('LS | Drawing List'!$H:$H,$B82,INDEX('LS | Drawing List'!$K:$V,,MATCH('Design Fee'!FB$8,'LS | Drawing List'!$K$1:$V$1,0)),1)</f>
        <v>0</v>
      </c>
      <c r="FC82" s="191">
        <f>COUNTIFS('LS | Drawing List'!$H:$H,$B82,INDEX('LS | Drawing List'!$K:$V,,MATCH('Design Fee'!FC$8,'LS | Drawing List'!$K$1:$V$1,0)),1)</f>
        <v>0</v>
      </c>
      <c r="FD82" s="191">
        <f>COUNTIFS('LS | Drawing List'!$H:$H,$B82,INDEX('LS | Drawing List'!$K:$V,,MATCH('Design Fee'!FD$8,'LS | Drawing List'!$K$1:$V$1,0)),1)</f>
        <v>0</v>
      </c>
      <c r="FE82" s="191">
        <f>COUNTIFS('LS | Drawing List'!$H:$H,$B82,INDEX('LS | Drawing List'!$K:$V,,MATCH('Design Fee'!FE$8,'LS | Drawing List'!$K$1:$V$1,0)),1)</f>
        <v>0</v>
      </c>
      <c r="FF82" s="258"/>
    </row>
    <row r="83" spans="2:162" s="268" customFormat="1" ht="11.85" customHeight="1" outlineLevel="2">
      <c r="B83" s="459" t="s">
        <v>96</v>
      </c>
      <c r="C83" s="547" t="s">
        <v>97</v>
      </c>
      <c r="D83" s="257"/>
      <c r="E83" s="253">
        <f t="shared" si="322"/>
        <v>0.57989458196575872</v>
      </c>
      <c r="F83" s="253">
        <f t="shared" si="323"/>
        <v>0</v>
      </c>
      <c r="G83" s="254">
        <f t="shared" si="376"/>
        <v>0.57989458196575872</v>
      </c>
      <c r="H83" s="253">
        <f t="shared" si="325"/>
        <v>0</v>
      </c>
      <c r="I83" s="253">
        <f t="shared" si="326"/>
        <v>0.57989458196575872</v>
      </c>
      <c r="J83" s="253">
        <f t="shared" si="327"/>
        <v>0</v>
      </c>
      <c r="K83" s="253">
        <f t="shared" si="328"/>
        <v>0</v>
      </c>
      <c r="L83" s="253">
        <f t="shared" si="329"/>
        <v>0.57989458196575872</v>
      </c>
      <c r="M83" s="253">
        <f t="shared" si="330"/>
        <v>0</v>
      </c>
      <c r="N83" s="256"/>
      <c r="O83" s="253">
        <f t="shared" si="331"/>
        <v>0</v>
      </c>
      <c r="P83" s="253">
        <f t="shared" si="332"/>
        <v>0</v>
      </c>
      <c r="Q83" s="253">
        <f t="shared" si="333"/>
        <v>0</v>
      </c>
      <c r="R83" s="253">
        <f t="shared" si="334"/>
        <v>0</v>
      </c>
      <c r="S83" s="253">
        <f t="shared" si="335"/>
        <v>0</v>
      </c>
      <c r="T83" s="169"/>
      <c r="U83" s="183"/>
      <c r="V83" s="545">
        <f t="shared" si="349"/>
        <v>6.25E-2</v>
      </c>
      <c r="W83" s="269"/>
      <c r="X83" s="270">
        <f t="shared" si="377"/>
        <v>0.52221875000000006</v>
      </c>
      <c r="Y83" s="253">
        <f t="shared" si="336"/>
        <v>0</v>
      </c>
      <c r="Z83" s="254">
        <f t="shared" si="378"/>
        <v>0</v>
      </c>
      <c r="AA83" s="255">
        <f t="shared" si="379"/>
        <v>0.52221875000000006</v>
      </c>
      <c r="AB83" s="255">
        <f t="shared" si="380"/>
        <v>0</v>
      </c>
      <c r="AC83" s="271">
        <f t="shared" si="381"/>
        <v>0</v>
      </c>
      <c r="AD83" s="271">
        <f t="shared" si="382"/>
        <v>0.52221875000000006</v>
      </c>
      <c r="AE83" s="271">
        <f t="shared" si="383"/>
        <v>0</v>
      </c>
      <c r="AF83" s="271"/>
      <c r="AG83" s="255">
        <f t="shared" si="384"/>
        <v>0</v>
      </c>
      <c r="AH83" s="271">
        <f t="shared" si="385"/>
        <v>0</v>
      </c>
      <c r="AI83" s="271">
        <f t="shared" si="386"/>
        <v>0</v>
      </c>
      <c r="AJ83" s="255">
        <f t="shared" si="387"/>
        <v>0</v>
      </c>
      <c r="AK83" s="271">
        <f t="shared" si="388"/>
        <v>0</v>
      </c>
      <c r="AL83" s="169"/>
      <c r="AM83" s="354">
        <f t="shared" si="389"/>
        <v>0</v>
      </c>
      <c r="AN83" s="354">
        <f t="shared" si="390"/>
        <v>1</v>
      </c>
      <c r="AO83" s="279">
        <f t="shared" si="391"/>
        <v>0</v>
      </c>
      <c r="AP83" s="272"/>
      <c r="AQ83" s="364">
        <f>COUNTIF('AR | Drawing List'!$H:$H,$B83)</f>
        <v>6</v>
      </c>
      <c r="AR83" s="365">
        <f>COUNTIFS('AR | Drawing List'!$H:$H,$B83,INDEX('AR | Drawing List'!$A:$AT,,MATCH('Design Fee'!AR$8,'AR | Drawing List'!$A$1:$AT$1,0)),1)</f>
        <v>0</v>
      </c>
      <c r="AS83" s="365">
        <f>COUNTIFS('AR | Drawing List'!$H:$H,$B83,INDEX('AR | Drawing List'!$K:$AT,,MATCH('Design Fee'!AS$8,'AR | Drawing List'!$K$1:$AT$1,0)),1)</f>
        <v>6</v>
      </c>
      <c r="AT83" s="365">
        <f>COUNTIFS('AR | Drawing List'!$H:$H,$B83,INDEX('AR | Drawing List'!$K:$AT,,MATCH('Design Fee'!AT$8,'AR | Drawing List'!$K$1:$AT$1,0)),1)</f>
        <v>0</v>
      </c>
      <c r="AU83" s="365">
        <f>COUNTIFS('AR | Drawing List'!$H:$H,$B83,INDEX('AR | Drawing List'!$K:$AT,,MATCH('Design Fee'!AU$8,'AR | Drawing List'!$K$1:$AT$1,0)),1)</f>
        <v>0</v>
      </c>
      <c r="AV83" s="365">
        <f>COUNTIFS('AR | Drawing List'!$H:$H,$B83,INDEX('AR | Drawing List'!$K:$AT,,MATCH('Design Fee'!AV$8,'AR | Drawing List'!$K$1:$AT$1,0)),1)</f>
        <v>6</v>
      </c>
      <c r="AW83" s="365">
        <f>COUNTIFS('AR | Drawing List'!$H:$H,$B83,INDEX('AR | Drawing List'!$K:$AT,,MATCH('Design Fee'!AW$8,'AR | Drawing List'!$K$1:$AT$1,0)),1)</f>
        <v>0</v>
      </c>
      <c r="AX83" s="198"/>
      <c r="AY83" s="365">
        <f>COUNTIFS('AR | Drawing List'!$H:$H,$B83,INDEX('AR | Drawing List'!$K:$AT,,MATCH('Design Fee'!AY$8,'AR | Drawing List'!$K$1:$AT$1,0)),1)</f>
        <v>0</v>
      </c>
      <c r="AZ83" s="365">
        <f>COUNTIFS('AR | Drawing List'!$H:$H,$B83,INDEX('AR | Drawing List'!$K:$AT,,MATCH('Design Fee'!AZ$8,'AR | Drawing List'!$K$1:$AT$1,0)),1)</f>
        <v>0</v>
      </c>
      <c r="BA83" s="365">
        <f>COUNTIFS('AR | Drawing List'!$H:$H,$B83,INDEX('AR | Drawing List'!$K:$AT,,MATCH('Design Fee'!BA$8,'AR | Drawing List'!$K$1:$AT$1,0)),1)</f>
        <v>0</v>
      </c>
      <c r="BB83" s="365">
        <f>COUNTIFS('AR | Drawing List'!$H:$H,$B83,INDEX('AR | Drawing List'!$K:$AT,,MATCH('Design Fee'!BB$8,'AR | Drawing List'!$K$1:$AT$1,0)),1)</f>
        <v>0</v>
      </c>
      <c r="BC83" s="365">
        <f>COUNTIFS('AR | Drawing List'!$H:$H,$B83,INDEX('AR | Drawing List'!$K:$AT,,MATCH('Design Fee'!BC$8,'AR | Drawing List'!$K$1:$AT$1,0)),1)</f>
        <v>0</v>
      </c>
      <c r="BD83" s="273"/>
      <c r="BE83" s="274">
        <v>0</v>
      </c>
      <c r="BF83" s="269"/>
      <c r="BG83" s="270"/>
      <c r="BH83" s="253">
        <f t="shared" si="339"/>
        <v>0</v>
      </c>
      <c r="BI83" s="254">
        <f t="shared" si="392"/>
        <v>0</v>
      </c>
      <c r="BJ83" s="255">
        <f t="shared" si="393"/>
        <v>0</v>
      </c>
      <c r="BK83" s="255">
        <f t="shared" si="394"/>
        <v>0</v>
      </c>
      <c r="BL83" s="271">
        <f t="shared" si="395"/>
        <v>0</v>
      </c>
      <c r="BM83" s="271">
        <f t="shared" si="396"/>
        <v>0</v>
      </c>
      <c r="BN83" s="271">
        <f t="shared" si="397"/>
        <v>0</v>
      </c>
      <c r="BO83" s="271"/>
      <c r="BP83" s="271">
        <f t="shared" si="398"/>
        <v>0</v>
      </c>
      <c r="BQ83" s="271">
        <f t="shared" si="399"/>
        <v>0</v>
      </c>
      <c r="BR83" s="271">
        <f t="shared" si="400"/>
        <v>0</v>
      </c>
      <c r="BS83" s="255">
        <f t="shared" si="401"/>
        <v>0</v>
      </c>
      <c r="BT83" s="271">
        <f t="shared" si="402"/>
        <v>0</v>
      </c>
      <c r="BU83" s="169"/>
      <c r="BV83" s="354">
        <f t="shared" si="403"/>
        <v>0</v>
      </c>
      <c r="BW83" s="354">
        <f t="shared" si="404"/>
        <v>0</v>
      </c>
      <c r="BX83" s="354">
        <f>IFERROR(#REF!/BZ83,0)</f>
        <v>0</v>
      </c>
      <c r="BY83" s="360"/>
      <c r="BZ83" s="297">
        <f>COUNTIF('ST | Drawing List'!$G:$G,$B83)</f>
        <v>0</v>
      </c>
      <c r="CA83" s="191">
        <f>COUNTIFS('ST | Drawing List'!$G:$G,$B83,INDEX('ST | Drawing List'!$A:$U,,MATCH('Design Fee'!CA$8,'ST | Drawing List'!$A$1:$U$1,0)),1)</f>
        <v>0</v>
      </c>
      <c r="CB83" s="191">
        <f>COUNTIFS('ST | Drawing List'!$G:$G,$B83,INDEX('ST | Drawing List'!$J:$U,,MATCH('Design Fee'!CB$8,'ST | Drawing List'!$J$1:$U$1,0)),1)</f>
        <v>0</v>
      </c>
      <c r="CC83" s="191">
        <f>COUNTIFS('ST | Drawing List'!$G:$G,$B83,INDEX('ST | Drawing List'!$J:$U,,MATCH('Design Fee'!CC$8,'ST | Drawing List'!$J$1:$U$1,0)),1)</f>
        <v>0</v>
      </c>
      <c r="CD83" s="191">
        <f>COUNTIFS('ST | Drawing List'!$G:$G,$B83,INDEX('ST | Drawing List'!$J:$U,,MATCH('Design Fee'!CD$8,'ST | Drawing List'!$J$1:$U$1,0)),1)</f>
        <v>0</v>
      </c>
      <c r="CE83" s="191">
        <f>COUNTIFS('ST | Drawing List'!$G:$G,$B83,INDEX('ST | Drawing List'!$J:$U,,MATCH('Design Fee'!CE$8,'ST | Drawing List'!$J$1:$U$1,0)),1)</f>
        <v>0</v>
      </c>
      <c r="CF83" s="191">
        <f>COUNTIFS('ST | Drawing List'!$G:$G,$B83,INDEX('ST | Drawing List'!$J:$U,,MATCH('Design Fee'!CF$8,'ST | Drawing List'!$J$1:$U$1,0)),1)</f>
        <v>0</v>
      </c>
      <c r="CG83" s="198"/>
      <c r="CH83" s="191">
        <f>COUNTIFS('ST | Drawing List'!$G:$G,$B83,INDEX('ST | Drawing List'!$J:$U,,MATCH('Design Fee'!CH$8,'ST | Drawing List'!$J$1:$U$1,0)),1)</f>
        <v>0</v>
      </c>
      <c r="CI83" s="191">
        <f>COUNTIFS('ST | Drawing List'!$G:$G,$B83,INDEX('ST | Drawing List'!$J:$U,,MATCH('Design Fee'!CI$8,'ST | Drawing List'!$J$1:$U$1,0)),1)</f>
        <v>0</v>
      </c>
      <c r="CJ83" s="191">
        <f>COUNTIFS('ST | Drawing List'!$G:$G,$B83,INDEX('ST | Drawing List'!$J:$U,,MATCH('Design Fee'!CJ$8,'ST | Drawing List'!$J$1:$U$1,0)),1)</f>
        <v>0</v>
      </c>
      <c r="CK83" s="191">
        <f>COUNTIFS('ST | Drawing List'!$G:$G,$B83,INDEX('ST | Drawing List'!$J:$U,,MATCH('Design Fee'!CK$8,'ST | Drawing List'!$J$1:$U$1,0)),1)</f>
        <v>0</v>
      </c>
      <c r="CL83" s="191">
        <f>COUNTIFS('ST | Drawing List'!$G:$G,$B83,INDEX('ST | Drawing List'!$J:$U,,MATCH('Design Fee'!CL$8,'ST | Drawing List'!$J$1:$U$1,0)),1)</f>
        <v>0</v>
      </c>
      <c r="CM83" s="273"/>
      <c r="CN83" s="545">
        <f t="shared" si="361"/>
        <v>8.1250000000000003E-2</v>
      </c>
      <c r="CO83" s="269"/>
      <c r="CP83" s="253">
        <f t="shared" si="405"/>
        <v>5.7014883215758663E-2</v>
      </c>
      <c r="CQ83" s="270">
        <f t="shared" si="342"/>
        <v>0</v>
      </c>
      <c r="CR83" s="254">
        <f t="shared" si="406"/>
        <v>0</v>
      </c>
      <c r="CS83" s="255">
        <f t="shared" si="407"/>
        <v>5.7014883215758663E-2</v>
      </c>
      <c r="CT83" s="255">
        <f t="shared" si="408"/>
        <v>0</v>
      </c>
      <c r="CU83" s="271">
        <f t="shared" si="409"/>
        <v>0</v>
      </c>
      <c r="CV83" s="271">
        <f t="shared" si="410"/>
        <v>5.7014883215758663E-2</v>
      </c>
      <c r="CW83" s="271">
        <f t="shared" si="411"/>
        <v>0</v>
      </c>
      <c r="CX83" s="271"/>
      <c r="CY83" s="271">
        <f t="shared" si="412"/>
        <v>0</v>
      </c>
      <c r="CZ83" s="271">
        <f t="shared" si="413"/>
        <v>0</v>
      </c>
      <c r="DA83" s="271">
        <f t="shared" si="414"/>
        <v>0</v>
      </c>
      <c r="DB83" s="255">
        <f t="shared" si="415"/>
        <v>0</v>
      </c>
      <c r="DC83" s="271">
        <f t="shared" si="416"/>
        <v>0</v>
      </c>
      <c r="DD83" s="183"/>
      <c r="DE83" s="306">
        <f t="shared" si="417"/>
        <v>0</v>
      </c>
      <c r="DF83" s="306">
        <f t="shared" si="418"/>
        <v>1</v>
      </c>
      <c r="DG83" s="300">
        <f t="shared" si="419"/>
        <v>0</v>
      </c>
      <c r="DH83" s="272"/>
      <c r="DI83" s="297">
        <f>COUNTIF('MEP | Drawing List'!$I:$I,$B83)</f>
        <v>25</v>
      </c>
      <c r="DJ83" s="191">
        <f>COUNTIFS('MEP | Drawing List'!$I:$I,$B83,INDEX('MEP | Drawing List'!$B:$X,,MATCH('Design Fee'!DJ$8,'MEP | Drawing List'!$B$1:$X$1,0)),1)</f>
        <v>0</v>
      </c>
      <c r="DK83" s="191">
        <f>COUNTIFS('MEP | Drawing List'!$I:$I,$B83,INDEX('MEP | Drawing List'!$L:$X,,MATCH('Design Fee'!DK$8,'MEP | Drawing List'!$L$1:$X$1,0)),1)</f>
        <v>25</v>
      </c>
      <c r="DL83" s="191">
        <f>COUNTIFS('MEP | Drawing List'!$I:$I,$B83,INDEX('MEP | Drawing List'!$L:$X,,MATCH('Design Fee'!DL$8,'MEP | Drawing List'!$L$1:$X$1,0)),1)</f>
        <v>0</v>
      </c>
      <c r="DM83" s="191">
        <f>COUNTIFS('MEP | Drawing List'!$I:$I,$B83,INDEX('MEP | Drawing List'!$L:$X,,MATCH('Design Fee'!DM$8,'MEP | Drawing List'!$L$1:$X$1,0)),1)</f>
        <v>0</v>
      </c>
      <c r="DN83" s="191">
        <f>COUNTIFS('MEP | Drawing List'!$I:$I,$B83,INDEX('MEP | Drawing List'!$L:$X,,MATCH('Design Fee'!DN$8,'MEP | Drawing List'!$L$1:$X$1,0)),1)</f>
        <v>25</v>
      </c>
      <c r="DO83" s="191">
        <f>COUNTIFS('MEP | Drawing List'!$I:$I,$B83,INDEX('MEP | Drawing List'!$L:$X,,MATCH('Design Fee'!DO$8,'MEP | Drawing List'!$L$1:$X$1,0)),1)</f>
        <v>0</v>
      </c>
      <c r="DP83" s="198"/>
      <c r="DQ83" s="191">
        <f>COUNTIFS('MEP | Drawing List'!$I:$I,$B83,INDEX('MEP | Drawing List'!$L:$X,,MATCH('Design Fee'!DQ$8,'MEP | Drawing List'!$L$1:$X$1,0)),1)</f>
        <v>0</v>
      </c>
      <c r="DR83" s="191">
        <f>COUNTIFS('MEP | Drawing List'!$I:$I,$B83,INDEX('MEP | Drawing List'!$L:$X,,MATCH('Design Fee'!DR$8,'MEP | Drawing List'!$L$1:$X$1,0)),1)</f>
        <v>0</v>
      </c>
      <c r="DS83" s="191">
        <f>COUNTIFS('MEP | Drawing List'!$I:$I,$B83,INDEX('MEP | Drawing List'!$L:$X,,MATCH('Design Fee'!DS$8,'MEP | Drawing List'!$L$1:$X$1,0)),1)</f>
        <v>0</v>
      </c>
      <c r="DT83" s="191">
        <f>COUNTIFS('MEP | Drawing List'!$I:$I,$B83,INDEX('MEP | Drawing List'!$L:$X,,MATCH('Design Fee'!DT$8,'MEP | Drawing List'!$L$1:$X$1,0)),1)</f>
        <v>0</v>
      </c>
      <c r="DU83" s="191">
        <f>COUNTIFS('MEP | Drawing List'!$I:$I,$B83,INDEX('MEP | Drawing List'!$L:$X,,MATCH('Design Fee'!DU$8,'MEP | Drawing List'!$L$1:$X$1,0)),1)</f>
        <v>0</v>
      </c>
      <c r="DV83" s="258"/>
      <c r="DW83" s="273"/>
      <c r="DX83" s="232">
        <f t="shared" si="366"/>
        <v>6.8750000000000006E-2</v>
      </c>
      <c r="DY83" s="269"/>
      <c r="DZ83" s="253">
        <f t="shared" si="420"/>
        <v>6.6094875000000011E-4</v>
      </c>
      <c r="EA83" s="270">
        <f t="shared" si="345"/>
        <v>0</v>
      </c>
      <c r="EB83" s="254">
        <f t="shared" si="421"/>
        <v>0</v>
      </c>
      <c r="EC83" s="255">
        <f t="shared" si="422"/>
        <v>6.6094875000000011E-4</v>
      </c>
      <c r="ED83" s="255">
        <f t="shared" si="423"/>
        <v>0</v>
      </c>
      <c r="EE83" s="271">
        <f t="shared" si="424"/>
        <v>0</v>
      </c>
      <c r="EF83" s="271">
        <f t="shared" si="425"/>
        <v>6.6094875000000011E-4</v>
      </c>
      <c r="EG83" s="271">
        <f t="shared" si="426"/>
        <v>0</v>
      </c>
      <c r="EH83" s="271"/>
      <c r="EI83" s="271">
        <f t="shared" si="427"/>
        <v>0</v>
      </c>
      <c r="EJ83" s="271">
        <f t="shared" si="428"/>
        <v>0</v>
      </c>
      <c r="EK83" s="271">
        <f t="shared" si="429"/>
        <v>0</v>
      </c>
      <c r="EL83" s="255">
        <f t="shared" si="430"/>
        <v>0</v>
      </c>
      <c r="EM83" s="271">
        <f t="shared" si="431"/>
        <v>0</v>
      </c>
      <c r="EN83" s="183"/>
      <c r="EO83" s="306">
        <f t="shared" si="432"/>
        <v>0</v>
      </c>
      <c r="EP83" s="306">
        <f t="shared" si="433"/>
        <v>1</v>
      </c>
      <c r="EQ83" s="300">
        <f t="shared" si="434"/>
        <v>0</v>
      </c>
      <c r="ER83" s="272"/>
      <c r="ES83" s="297">
        <f>COUNTIF('LS | Drawing List'!$H:$H,$B83)</f>
        <v>8</v>
      </c>
      <c r="ET83" s="191">
        <f>COUNTIFS('LS | Drawing List'!$H:$H,$B83,INDEX('LS | Drawing List'!$A:$V,,MATCH('Design Fee'!ET$8,'LS | Drawing List'!$A$1:$V$1,0)),1)</f>
        <v>0</v>
      </c>
      <c r="EU83" s="191">
        <f>COUNTIFS('LS | Drawing List'!$H:$H,$B83,INDEX('LS | Drawing List'!$K:$V,,MATCH('Design Fee'!EU$8,'LS | Drawing List'!$K$1:$V$1,0)),1)</f>
        <v>8</v>
      </c>
      <c r="EV83" s="191">
        <f>COUNTIFS('LS | Drawing List'!$H:$H,$B83,INDEX('LS | Drawing List'!$K:$V,,MATCH('Design Fee'!EV$8,'LS | Drawing List'!$K$1:$V$1,0)),1)</f>
        <v>0</v>
      </c>
      <c r="EW83" s="191">
        <f>COUNTIFS('LS | Drawing List'!$H:$H,$B83,INDEX('LS | Drawing List'!$K:$V,,MATCH('Design Fee'!EW$8,'LS | Drawing List'!$K$1:$V$1,0)),1)</f>
        <v>0</v>
      </c>
      <c r="EX83" s="191">
        <f>COUNTIFS('LS | Drawing List'!$H:$H,$B83,INDEX('LS | Drawing List'!$K:$V,,MATCH('Design Fee'!EX$8,'LS | Drawing List'!$K$1:$V$1,0)),1)</f>
        <v>8</v>
      </c>
      <c r="EY83" s="191">
        <f>COUNTIFS('LS | Drawing List'!$H:$H,$B83,INDEX('LS | Drawing List'!$K:$V,,MATCH('Design Fee'!EY$8,'LS | Drawing List'!$K$1:$V$1,0)),1)</f>
        <v>0</v>
      </c>
      <c r="EZ83" s="198"/>
      <c r="FA83" s="191">
        <f>COUNTIFS('LS | Drawing List'!$H:$H,$B83,INDEX('LS | Drawing List'!$K:$V,,MATCH('Design Fee'!FA$8,'LS | Drawing List'!$K$1:$V$1,0)),1)</f>
        <v>0</v>
      </c>
      <c r="FB83" s="191">
        <f>COUNTIFS('LS | Drawing List'!$H:$H,$B83,INDEX('LS | Drawing List'!$K:$V,,MATCH('Design Fee'!FB$8,'LS | Drawing List'!$K$1:$V$1,0)),1)</f>
        <v>0</v>
      </c>
      <c r="FC83" s="191">
        <f>COUNTIFS('LS | Drawing List'!$H:$H,$B83,INDEX('LS | Drawing List'!$K:$V,,MATCH('Design Fee'!FC$8,'LS | Drawing List'!$K$1:$V$1,0)),1)</f>
        <v>0</v>
      </c>
      <c r="FD83" s="191">
        <f>COUNTIFS('LS | Drawing List'!$H:$H,$B83,INDEX('LS | Drawing List'!$K:$V,,MATCH('Design Fee'!FD$8,'LS | Drawing List'!$K$1:$V$1,0)),1)</f>
        <v>0</v>
      </c>
      <c r="FE83" s="191">
        <f>COUNTIFS('LS | Drawing List'!$H:$H,$B83,INDEX('LS | Drawing List'!$K:$V,,MATCH('Design Fee'!FE$8,'LS | Drawing List'!$K$1:$V$1,0)),1)</f>
        <v>0</v>
      </c>
      <c r="FF83" s="258"/>
    </row>
    <row r="84" spans="2:162" ht="3" customHeight="1" outlineLevel="1">
      <c r="B84" s="241"/>
      <c r="C84" s="241"/>
      <c r="D84" s="241"/>
      <c r="E84" s="241"/>
      <c r="F84" s="241"/>
      <c r="G84" s="241"/>
      <c r="H84" s="254"/>
      <c r="I84" s="254"/>
      <c r="J84" s="254"/>
      <c r="K84" s="254"/>
      <c r="L84" s="254"/>
      <c r="M84" s="254"/>
      <c r="N84" s="260"/>
      <c r="O84" s="254"/>
      <c r="P84" s="254"/>
      <c r="Q84" s="254"/>
      <c r="R84" s="254"/>
      <c r="S84" s="254"/>
      <c r="T84" s="169"/>
      <c r="U84" s="183"/>
      <c r="V84" s="232"/>
      <c r="W84" s="222"/>
      <c r="X84" s="253"/>
      <c r="Y84" s="253"/>
      <c r="Z84" s="254"/>
      <c r="AA84" s="254"/>
      <c r="AB84" s="254"/>
      <c r="AC84" s="254"/>
      <c r="AD84" s="254"/>
      <c r="AE84" s="254"/>
      <c r="AF84" s="260"/>
      <c r="AG84" s="255"/>
      <c r="AH84" s="255"/>
      <c r="AI84" s="255"/>
      <c r="AJ84" s="255"/>
      <c r="AK84" s="255"/>
      <c r="AL84" s="169"/>
      <c r="AP84" s="228"/>
      <c r="AR84" s="198"/>
      <c r="AS84" s="198"/>
      <c r="AT84" s="198"/>
      <c r="AU84" s="198"/>
      <c r="AV84" s="198"/>
      <c r="AW84" s="198"/>
      <c r="AX84" s="198"/>
      <c r="AY84" s="258"/>
      <c r="AZ84" s="258"/>
      <c r="BA84" s="258"/>
      <c r="BB84" s="258"/>
      <c r="BC84" s="258"/>
      <c r="BD84" s="198"/>
      <c r="BE84" s="261"/>
      <c r="BF84" s="222"/>
      <c r="BG84" s="253"/>
      <c r="BH84" s="253"/>
      <c r="BI84" s="254"/>
      <c r="BJ84" s="254"/>
      <c r="BK84" s="254"/>
      <c r="BL84" s="254"/>
      <c r="BM84" s="254"/>
      <c r="BN84" s="254"/>
      <c r="BO84" s="260"/>
      <c r="BP84" s="255"/>
      <c r="BQ84" s="255"/>
      <c r="BR84" s="255"/>
      <c r="BS84" s="255"/>
      <c r="BT84" s="255"/>
      <c r="BU84" s="169"/>
      <c r="CA84" s="198"/>
      <c r="CB84" s="198"/>
      <c r="CC84" s="198"/>
      <c r="CD84" s="198"/>
      <c r="CE84" s="198"/>
      <c r="CF84" s="198"/>
      <c r="CG84" s="198"/>
      <c r="CH84" s="258"/>
      <c r="CI84" s="258"/>
      <c r="CJ84" s="258"/>
      <c r="CK84" s="258"/>
      <c r="CL84" s="258"/>
      <c r="CM84" s="198"/>
      <c r="CN84" s="261"/>
      <c r="CO84" s="222"/>
      <c r="CP84" s="253"/>
      <c r="CQ84" s="253"/>
      <c r="CR84" s="254"/>
      <c r="CS84" s="254"/>
      <c r="CT84" s="254"/>
      <c r="CU84" s="254"/>
      <c r="CV84" s="254"/>
      <c r="CW84" s="254"/>
      <c r="CX84" s="260"/>
      <c r="CY84" s="255"/>
      <c r="CZ84" s="255"/>
      <c r="DA84" s="255"/>
      <c r="DB84" s="255"/>
      <c r="DC84" s="255"/>
      <c r="DD84" s="183"/>
      <c r="DE84" s="227"/>
      <c r="DF84" s="227"/>
      <c r="DG84" s="227"/>
      <c r="DH84" s="228"/>
      <c r="DJ84" s="198"/>
      <c r="DK84" s="198"/>
      <c r="DL84" s="198"/>
      <c r="DM84" s="198"/>
      <c r="DN84" s="198"/>
      <c r="DO84" s="198"/>
      <c r="DP84" s="198"/>
      <c r="DQ84" s="258"/>
      <c r="DR84" s="258"/>
      <c r="DS84" s="258"/>
      <c r="DT84" s="258"/>
      <c r="DU84" s="258"/>
      <c r="DV84" s="258"/>
      <c r="DW84" s="198"/>
      <c r="DX84" s="261"/>
      <c r="DY84" s="222"/>
      <c r="DZ84" s="253"/>
      <c r="EA84" s="253"/>
      <c r="EB84" s="254"/>
      <c r="EC84" s="254"/>
      <c r="ED84" s="254"/>
      <c r="EE84" s="254"/>
      <c r="EF84" s="254"/>
      <c r="EG84" s="254"/>
      <c r="EH84" s="260"/>
      <c r="EI84" s="255"/>
      <c r="EJ84" s="255"/>
      <c r="EK84" s="255"/>
      <c r="EL84" s="255"/>
      <c r="EM84" s="255"/>
      <c r="EN84" s="183"/>
      <c r="EO84" s="227"/>
      <c r="EP84" s="227"/>
      <c r="EQ84" s="227"/>
      <c r="ER84" s="228"/>
      <c r="ET84" s="198"/>
      <c r="EU84" s="198"/>
      <c r="EV84" s="198"/>
      <c r="EW84" s="198"/>
      <c r="EX84" s="198"/>
      <c r="EY84" s="198"/>
      <c r="EZ84" s="198"/>
      <c r="FA84" s="258"/>
      <c r="FB84" s="258"/>
      <c r="FC84" s="258"/>
      <c r="FD84" s="258"/>
      <c r="FE84" s="258"/>
      <c r="FF84" s="258"/>
    </row>
    <row r="85" spans="2:162" ht="15" outlineLevel="1">
      <c r="B85" s="208" t="s">
        <v>98</v>
      </c>
      <c r="C85" s="209" t="s">
        <v>99</v>
      </c>
      <c r="D85" s="313"/>
      <c r="E85" s="332">
        <f t="shared" ref="E85:F89" si="435">X85+BG85+CP85+DZ85</f>
        <v>0.58136089999999996</v>
      </c>
      <c r="F85" s="332">
        <f t="shared" si="435"/>
        <v>0</v>
      </c>
      <c r="G85" s="332">
        <f t="shared" ref="G85" si="436">E85-F85</f>
        <v>0.58136089999999996</v>
      </c>
      <c r="H85" s="332">
        <f t="shared" ref="H85:M89" si="437">Z85+BI85+CR85+EB85</f>
        <v>0</v>
      </c>
      <c r="I85" s="332">
        <f t="shared" si="437"/>
        <v>0.58136089999999996</v>
      </c>
      <c r="J85" s="332">
        <f t="shared" si="437"/>
        <v>0.39806949999999997</v>
      </c>
      <c r="K85" s="332">
        <f t="shared" si="437"/>
        <v>3.6659999999999998E-2</v>
      </c>
      <c r="L85" s="332">
        <f t="shared" si="437"/>
        <v>0.1466314</v>
      </c>
      <c r="M85" s="332">
        <f t="shared" si="437"/>
        <v>0</v>
      </c>
      <c r="N85" s="333"/>
      <c r="O85" s="334">
        <f t="shared" ref="O85:S89" si="438">AG85+BP85+CY85+EI85</f>
        <v>0</v>
      </c>
      <c r="P85" s="334">
        <f t="shared" si="438"/>
        <v>0</v>
      </c>
      <c r="Q85" s="334">
        <f t="shared" si="438"/>
        <v>0</v>
      </c>
      <c r="R85" s="334">
        <f t="shared" si="438"/>
        <v>0</v>
      </c>
      <c r="S85" s="334">
        <f t="shared" si="438"/>
        <v>0</v>
      </c>
      <c r="T85" s="331"/>
      <c r="U85" s="183"/>
      <c r="V85" s="210">
        <f>SUM(V86:V89)</f>
        <v>0.5</v>
      </c>
      <c r="W85" s="210"/>
      <c r="X85" s="251">
        <f>V85*($V$4*'BOQ COST'!$E$18)</f>
        <v>0.34900000000000003</v>
      </c>
      <c r="Y85" s="251">
        <f>Z85+AG85</f>
        <v>0</v>
      </c>
      <c r="Z85" s="295">
        <f t="shared" ref="Z85:AK85" si="439">SUM(Z86:Z89)</f>
        <v>0</v>
      </c>
      <c r="AA85" s="295">
        <f t="shared" si="439"/>
        <v>0.34899999999999998</v>
      </c>
      <c r="AB85" s="295">
        <f t="shared" si="439"/>
        <v>0.34899999999999998</v>
      </c>
      <c r="AC85" s="295">
        <f t="shared" si="439"/>
        <v>0</v>
      </c>
      <c r="AD85" s="295">
        <f t="shared" si="439"/>
        <v>0</v>
      </c>
      <c r="AE85" s="295">
        <f t="shared" si="439"/>
        <v>0</v>
      </c>
      <c r="AF85" s="252"/>
      <c r="AG85" s="296">
        <f t="shared" si="439"/>
        <v>0</v>
      </c>
      <c r="AH85" s="296">
        <f t="shared" si="439"/>
        <v>0</v>
      </c>
      <c r="AI85" s="296">
        <f t="shared" si="439"/>
        <v>0</v>
      </c>
      <c r="AJ85" s="296">
        <f t="shared" si="439"/>
        <v>0</v>
      </c>
      <c r="AK85" s="296">
        <f t="shared" si="439"/>
        <v>0</v>
      </c>
      <c r="AL85" s="169"/>
      <c r="AM85" s="350"/>
      <c r="AN85" s="350"/>
      <c r="AO85" s="350"/>
      <c r="AP85" s="293">
        <f t="shared" ref="AP85:BC85" si="440">SUM(AP86:AP89)</f>
        <v>0</v>
      </c>
      <c r="AQ85" s="363">
        <f t="shared" si="440"/>
        <v>92</v>
      </c>
      <c r="AR85" s="363">
        <f t="shared" si="440"/>
        <v>0</v>
      </c>
      <c r="AS85" s="363">
        <f t="shared" si="440"/>
        <v>92</v>
      </c>
      <c r="AT85" s="363">
        <f t="shared" si="440"/>
        <v>92</v>
      </c>
      <c r="AU85" s="363">
        <f t="shared" si="440"/>
        <v>0</v>
      </c>
      <c r="AV85" s="363">
        <f t="shared" si="440"/>
        <v>0</v>
      </c>
      <c r="AW85" s="363">
        <f t="shared" si="440"/>
        <v>0</v>
      </c>
      <c r="AX85" s="216"/>
      <c r="AY85" s="366">
        <f t="shared" si="440"/>
        <v>8</v>
      </c>
      <c r="AZ85" s="366">
        <f t="shared" si="440"/>
        <v>0</v>
      </c>
      <c r="BA85" s="366">
        <f t="shared" si="440"/>
        <v>8</v>
      </c>
      <c r="BB85" s="366">
        <f t="shared" si="440"/>
        <v>0</v>
      </c>
      <c r="BC85" s="366">
        <f t="shared" si="440"/>
        <v>0</v>
      </c>
      <c r="BD85" s="219"/>
      <c r="BE85" s="210">
        <f>SUM(BE86:BE89)</f>
        <v>0.55000000000000004</v>
      </c>
      <c r="BF85" s="210"/>
      <c r="BG85" s="251">
        <f>BE85*($BE$4*'BOQ COST'!$F$18)</f>
        <v>2.8709999999999999E-2</v>
      </c>
      <c r="BH85" s="251">
        <f>BI85+BP85</f>
        <v>0</v>
      </c>
      <c r="BI85" s="295">
        <f t="shared" ref="BI85:BT85" si="441">SUM(BI86:BI89)</f>
        <v>0</v>
      </c>
      <c r="BJ85" s="295">
        <f t="shared" si="441"/>
        <v>2.8709999999999996E-2</v>
      </c>
      <c r="BK85" s="295">
        <f t="shared" si="441"/>
        <v>2.8709999999999996E-2</v>
      </c>
      <c r="BL85" s="295">
        <f t="shared" si="441"/>
        <v>0</v>
      </c>
      <c r="BM85" s="295">
        <f t="shared" si="441"/>
        <v>0</v>
      </c>
      <c r="BN85" s="295">
        <f t="shared" si="441"/>
        <v>0</v>
      </c>
      <c r="BO85" s="252"/>
      <c r="BP85" s="296">
        <f t="shared" si="441"/>
        <v>0</v>
      </c>
      <c r="BQ85" s="296">
        <f t="shared" si="441"/>
        <v>0</v>
      </c>
      <c r="BR85" s="296">
        <f t="shared" si="441"/>
        <v>0</v>
      </c>
      <c r="BS85" s="296">
        <f t="shared" si="441"/>
        <v>0</v>
      </c>
      <c r="BT85" s="296">
        <f t="shared" si="441"/>
        <v>0</v>
      </c>
      <c r="BU85" s="169"/>
      <c r="BV85" s="350"/>
      <c r="BW85" s="350"/>
      <c r="BX85" s="350"/>
      <c r="BY85" s="350">
        <f t="shared" ref="BY85:CL85" si="442">SUM(BY86:BY89)</f>
        <v>0</v>
      </c>
      <c r="BZ85" s="293">
        <f t="shared" si="442"/>
        <v>7</v>
      </c>
      <c r="CA85" s="293">
        <f t="shared" si="442"/>
        <v>0</v>
      </c>
      <c r="CB85" s="293">
        <f t="shared" si="442"/>
        <v>7</v>
      </c>
      <c r="CC85" s="293">
        <f t="shared" si="442"/>
        <v>7</v>
      </c>
      <c r="CD85" s="293">
        <f t="shared" si="442"/>
        <v>0</v>
      </c>
      <c r="CE85" s="293">
        <f t="shared" si="442"/>
        <v>0</v>
      </c>
      <c r="CF85" s="293">
        <f t="shared" si="442"/>
        <v>0</v>
      </c>
      <c r="CG85" s="216"/>
      <c r="CH85" s="298">
        <f t="shared" si="442"/>
        <v>0</v>
      </c>
      <c r="CI85" s="298">
        <f t="shared" si="442"/>
        <v>0</v>
      </c>
      <c r="CJ85" s="298">
        <f t="shared" si="442"/>
        <v>0</v>
      </c>
      <c r="CK85" s="298">
        <f t="shared" si="442"/>
        <v>0</v>
      </c>
      <c r="CL85" s="298">
        <f t="shared" si="442"/>
        <v>0</v>
      </c>
      <c r="CM85" s="219"/>
      <c r="CN85" s="210">
        <f>SUM(CN86:CN89)</f>
        <v>0.65</v>
      </c>
      <c r="CO85" s="210"/>
      <c r="CP85" s="292">
        <f>CN85*($CN$4*'BOQ COST'!$G$18)</f>
        <v>0.15886</v>
      </c>
      <c r="CQ85" s="251">
        <f>CR85+CY85</f>
        <v>0</v>
      </c>
      <c r="CR85" s="295">
        <f t="shared" ref="CR85:DC85" si="443">SUM(CR86:CR89)</f>
        <v>0</v>
      </c>
      <c r="CS85" s="295">
        <f t="shared" si="443"/>
        <v>0.15886</v>
      </c>
      <c r="CT85" s="295">
        <f t="shared" si="443"/>
        <v>0</v>
      </c>
      <c r="CU85" s="295">
        <f t="shared" si="443"/>
        <v>3.6659999999999998E-2</v>
      </c>
      <c r="CV85" s="295">
        <f t="shared" si="443"/>
        <v>0.1222</v>
      </c>
      <c r="CW85" s="295">
        <f t="shared" si="443"/>
        <v>0</v>
      </c>
      <c r="CX85" s="252"/>
      <c r="CY85" s="296">
        <f t="shared" si="443"/>
        <v>0</v>
      </c>
      <c r="CZ85" s="296">
        <f t="shared" si="443"/>
        <v>0</v>
      </c>
      <c r="DA85" s="296">
        <f t="shared" si="443"/>
        <v>0</v>
      </c>
      <c r="DB85" s="296">
        <f t="shared" si="443"/>
        <v>0</v>
      </c>
      <c r="DC85" s="296">
        <f t="shared" si="443"/>
        <v>0</v>
      </c>
      <c r="DD85" s="183"/>
      <c r="DE85" s="215"/>
      <c r="DF85" s="215"/>
      <c r="DG85" s="215"/>
      <c r="DH85" s="293">
        <f t="shared" ref="DH85:DU85" si="444">SUM(DH86:DH89)</f>
        <v>0</v>
      </c>
      <c r="DI85" s="293">
        <f t="shared" si="444"/>
        <v>25</v>
      </c>
      <c r="DJ85" s="293">
        <f t="shared" si="444"/>
        <v>0</v>
      </c>
      <c r="DK85" s="293">
        <f t="shared" si="444"/>
        <v>25</v>
      </c>
      <c r="DL85" s="293">
        <f t="shared" si="444"/>
        <v>0</v>
      </c>
      <c r="DM85" s="293">
        <f t="shared" si="444"/>
        <v>14</v>
      </c>
      <c r="DN85" s="293">
        <f t="shared" si="444"/>
        <v>11</v>
      </c>
      <c r="DO85" s="293">
        <f t="shared" si="444"/>
        <v>0</v>
      </c>
      <c r="DP85" s="216"/>
      <c r="DQ85" s="298">
        <f t="shared" si="444"/>
        <v>7</v>
      </c>
      <c r="DR85" s="298">
        <f t="shared" si="444"/>
        <v>0</v>
      </c>
      <c r="DS85" s="298">
        <f t="shared" si="444"/>
        <v>7</v>
      </c>
      <c r="DT85" s="298">
        <f t="shared" si="444"/>
        <v>0</v>
      </c>
      <c r="DU85" s="298">
        <f t="shared" si="444"/>
        <v>0</v>
      </c>
      <c r="DV85" s="218"/>
      <c r="DW85" s="219"/>
      <c r="DX85" s="210">
        <f>SUM(DX86:DX89)</f>
        <v>0.55000000000000004</v>
      </c>
      <c r="DY85" s="210"/>
      <c r="DZ85" s="292">
        <f>DX85*($DX$4*'BOQ COST'!$H$18)</f>
        <v>4.4790900000000008E-2</v>
      </c>
      <c r="EA85" s="251">
        <f>EB85+EI85</f>
        <v>0</v>
      </c>
      <c r="EB85" s="295">
        <f t="shared" ref="EB85:EM85" si="445">SUM(EB86:EB89)</f>
        <v>0</v>
      </c>
      <c r="EC85" s="295">
        <f t="shared" si="445"/>
        <v>4.4790900000000008E-2</v>
      </c>
      <c r="ED85" s="295">
        <f t="shared" si="445"/>
        <v>2.0359500000000003E-2</v>
      </c>
      <c r="EE85" s="295">
        <f t="shared" si="445"/>
        <v>0</v>
      </c>
      <c r="EF85" s="295">
        <f t="shared" si="445"/>
        <v>2.4431400000000002E-2</v>
      </c>
      <c r="EG85" s="295">
        <f t="shared" si="445"/>
        <v>0</v>
      </c>
      <c r="EH85" s="252"/>
      <c r="EI85" s="296">
        <f t="shared" si="445"/>
        <v>0</v>
      </c>
      <c r="EJ85" s="296">
        <f t="shared" si="445"/>
        <v>0</v>
      </c>
      <c r="EK85" s="296">
        <f t="shared" si="445"/>
        <v>0</v>
      </c>
      <c r="EL85" s="296">
        <f t="shared" si="445"/>
        <v>0</v>
      </c>
      <c r="EM85" s="296">
        <f t="shared" si="445"/>
        <v>0</v>
      </c>
      <c r="EN85" s="183"/>
      <c r="EO85" s="215"/>
      <c r="EP85" s="215"/>
      <c r="EQ85" s="215"/>
      <c r="ER85" s="293">
        <f t="shared" ref="ER85:FE85" si="446">SUM(ER86:ER89)</f>
        <v>0</v>
      </c>
      <c r="ES85" s="293">
        <f t="shared" si="446"/>
        <v>12</v>
      </c>
      <c r="ET85" s="293">
        <f t="shared" si="446"/>
        <v>0</v>
      </c>
      <c r="EU85" s="293">
        <f t="shared" si="446"/>
        <v>12</v>
      </c>
      <c r="EV85" s="293">
        <f t="shared" si="446"/>
        <v>9</v>
      </c>
      <c r="EW85" s="293">
        <f t="shared" si="446"/>
        <v>0</v>
      </c>
      <c r="EX85" s="293">
        <f t="shared" si="446"/>
        <v>3</v>
      </c>
      <c r="EY85" s="293">
        <f t="shared" si="446"/>
        <v>0</v>
      </c>
      <c r="EZ85" s="216"/>
      <c r="FA85" s="298">
        <f t="shared" si="446"/>
        <v>0</v>
      </c>
      <c r="FB85" s="298">
        <f t="shared" si="446"/>
        <v>0</v>
      </c>
      <c r="FC85" s="298">
        <f t="shared" si="446"/>
        <v>0</v>
      </c>
      <c r="FD85" s="298">
        <f t="shared" si="446"/>
        <v>0</v>
      </c>
      <c r="FE85" s="298">
        <f t="shared" si="446"/>
        <v>0</v>
      </c>
      <c r="FF85" s="218"/>
    </row>
    <row r="86" spans="2:162" ht="11.85" customHeight="1" outlineLevel="2">
      <c r="B86" s="459" t="s">
        <v>163</v>
      </c>
      <c r="C86" s="280" t="s">
        <v>25</v>
      </c>
      <c r="E86" s="253">
        <f t="shared" si="435"/>
        <v>0.23151950000000002</v>
      </c>
      <c r="F86" s="253">
        <f t="shared" si="435"/>
        <v>0</v>
      </c>
      <c r="G86" s="254">
        <f t="shared" ref="G86:G89" si="447">E86-F86</f>
        <v>0.23151950000000002</v>
      </c>
      <c r="H86" s="253">
        <f t="shared" si="437"/>
        <v>0</v>
      </c>
      <c r="I86" s="253">
        <f t="shared" si="437"/>
        <v>0.23151950000000002</v>
      </c>
      <c r="J86" s="253">
        <f t="shared" si="437"/>
        <v>0.19485950000000002</v>
      </c>
      <c r="K86" s="253">
        <f t="shared" si="437"/>
        <v>3.6659999999999998E-2</v>
      </c>
      <c r="L86" s="253">
        <f t="shared" si="437"/>
        <v>0</v>
      </c>
      <c r="M86" s="253">
        <f t="shared" si="437"/>
        <v>0</v>
      </c>
      <c r="N86" s="256"/>
      <c r="O86" s="253">
        <f t="shared" si="438"/>
        <v>0</v>
      </c>
      <c r="P86" s="253">
        <f t="shared" si="438"/>
        <v>0</v>
      </c>
      <c r="Q86" s="253">
        <f t="shared" si="438"/>
        <v>0</v>
      </c>
      <c r="R86" s="253">
        <f t="shared" si="438"/>
        <v>0</v>
      </c>
      <c r="S86" s="253">
        <f t="shared" si="438"/>
        <v>0</v>
      </c>
      <c r="T86" s="169"/>
      <c r="U86" s="183"/>
      <c r="V86" s="232">
        <v>0.25</v>
      </c>
      <c r="W86" s="222"/>
      <c r="X86" s="253">
        <f>$X$85/$V$85*V86</f>
        <v>0.17450000000000002</v>
      </c>
      <c r="Y86" s="253">
        <f>Z86+AG86</f>
        <v>0</v>
      </c>
      <c r="Z86" s="254">
        <f t="shared" ref="Z86:Z89" si="448">IFERROR(IF(AM86=100%,$X86,0),0)</f>
        <v>0</v>
      </c>
      <c r="AA86" s="255">
        <f t="shared" ref="AA86:AA89" si="449">IFERROR(IF(AND((AM86+AN86)=100%,AM86&lt;1),$X86,0),0)</f>
        <v>0.17450000000000002</v>
      </c>
      <c r="AB86" s="255">
        <f t="shared" ref="AB86:AB89" si="450">IFERROR(IF(AND((AR86+AT86)=AQ86,Z86=0),$X86,0),0)</f>
        <v>0.17450000000000002</v>
      </c>
      <c r="AC86" s="255">
        <f t="shared" ref="AC86:AC89" si="451">IFERROR(IF(AND((AR86+AT86+AU86)=AQ86,Z86=0,AB86=0),$X86,0),0)</f>
        <v>0</v>
      </c>
      <c r="AD86" s="255">
        <f t="shared" ref="AD86:AD89" si="452">IFERROR(IF(AND((AR86+AT86+AU86+AV86)=AQ86,Z86=0,AB86=0,AC86=0),$X86,0),0)</f>
        <v>0</v>
      </c>
      <c r="AE86" s="255">
        <f t="shared" ref="AE86:AE89" si="453">IFERROR(IF(AND((AR86+AT86+AU86+AV86+AW86)=AQ86,Z86=0,AB86=0,AC86=0,AD86=0),$X86,0),0)</f>
        <v>0</v>
      </c>
      <c r="AF86" s="256"/>
      <c r="AG86" s="255">
        <f t="shared" ref="AG86:AG89" si="454">IFERROR(IF(AND((AM86+AO86)=100%,AM86&lt;1),$X86,0),0)</f>
        <v>0</v>
      </c>
      <c r="AH86" s="255">
        <f t="shared" ref="AH86:AH89" si="455">IFERROR(IF(AND((AR86+AZ86)=AQ86,Z86=0),$X86,0),0)</f>
        <v>0</v>
      </c>
      <c r="AI86" s="255">
        <f t="shared" ref="AI86" si="456">IFERROR(IF(AND((AR86+AZ86+BA86)=AQ86,Z86=0,AH86=0),X86,0),0)</f>
        <v>0</v>
      </c>
      <c r="AJ86" s="255">
        <f t="shared" ref="AJ86:AJ89" si="457">IFERROR(IF(AND((AR86+AZ86+BA86+BB86)=AQ86,Z86=0,AH86=0,AI86=0),$X86,0),0)</f>
        <v>0</v>
      </c>
      <c r="AK86" s="255">
        <f t="shared" ref="AK86:AK89" si="458">IFERROR(IF(AND((AR86+AZ86+BC86+BA86+BB86)=AQ86,Z86=0,AH86=0,AI86=0,AJ86=0),$X86,0),0)</f>
        <v>0</v>
      </c>
      <c r="AL86" s="169"/>
      <c r="AM86" s="279">
        <f t="shared" ref="AM86:AM89" si="459">IFERROR(AR86/AQ86,0)</f>
        <v>0</v>
      </c>
      <c r="AN86" s="279">
        <f t="shared" ref="AN86:AN89" si="460">IFERROR(AS86/AQ86,0)</f>
        <v>1</v>
      </c>
      <c r="AO86" s="279">
        <f t="shared" ref="AO86:AO89" si="461">IFERROR(AY86/AQ86,0)</f>
        <v>0.33333333333333331</v>
      </c>
      <c r="AQ86" s="364">
        <f>COUNTIF('AR | Drawing List'!$H:$H,$B86)</f>
        <v>6</v>
      </c>
      <c r="AR86" s="365">
        <f>COUNTIFS('AR | Drawing List'!$H:$H,$B86,INDEX('AR | Drawing List'!$A:$AT,,MATCH('Design Fee'!AR$8,'AR | Drawing List'!$A$1:$AT$1,0)),1)</f>
        <v>0</v>
      </c>
      <c r="AS86" s="365">
        <f>COUNTIFS('AR | Drawing List'!$H:$H,$B86,INDEX('AR | Drawing List'!$K:$AT,,MATCH('Design Fee'!AS$8,'AR | Drawing List'!$K$1:$AT$1,0)),1)</f>
        <v>6</v>
      </c>
      <c r="AT86" s="365">
        <f>COUNTIFS('AR | Drawing List'!$H:$H,$B86,INDEX('AR | Drawing List'!$K:$AT,,MATCH('Design Fee'!AT$8,'AR | Drawing List'!$K$1:$AT$1,0)),1)</f>
        <v>6</v>
      </c>
      <c r="AU86" s="365">
        <f>COUNTIFS('AR | Drawing List'!$H:$H,$B86,INDEX('AR | Drawing List'!$K:$AT,,MATCH('Design Fee'!AU$8,'AR | Drawing List'!$K$1:$AT$1,0)),1)</f>
        <v>0</v>
      </c>
      <c r="AV86" s="365">
        <f>COUNTIFS('AR | Drawing List'!$H:$H,$B86,INDEX('AR | Drawing List'!$K:$AT,,MATCH('Design Fee'!AV$8,'AR | Drawing List'!$K$1:$AT$1,0)),1)</f>
        <v>0</v>
      </c>
      <c r="AW86" s="365">
        <f>COUNTIFS('AR | Drawing List'!$H:$H,$B86,INDEX('AR | Drawing List'!$K:$AT,,MATCH('Design Fee'!AW$8,'AR | Drawing List'!$K$1:$AT$1,0)),1)</f>
        <v>0</v>
      </c>
      <c r="AX86" s="198"/>
      <c r="AY86" s="365">
        <f>COUNTIFS('AR | Drawing List'!$H:$H,$B86,INDEX('AR | Drawing List'!$K:$AT,,MATCH('Design Fee'!AY$8,'AR | Drawing List'!$K$1:$AT$1,0)),1)</f>
        <v>2</v>
      </c>
      <c r="AZ86" s="365">
        <f>COUNTIFS('AR | Drawing List'!$H:$H,$B86,INDEX('AR | Drawing List'!$K:$AT,,MATCH('Design Fee'!AZ$8,'AR | Drawing List'!$K$1:$AT$1,0)),1)</f>
        <v>0</v>
      </c>
      <c r="BA86" s="365">
        <f>COUNTIFS('AR | Drawing List'!$H:$H,$B86,INDEX('AR | Drawing List'!$K:$AT,,MATCH('Design Fee'!BA$8,'AR | Drawing List'!$K$1:$AT$1,0)),1)</f>
        <v>2</v>
      </c>
      <c r="BB86" s="365">
        <f>COUNTIFS('AR | Drawing List'!$H:$H,$B86,INDEX('AR | Drawing List'!$K:$AT,,MATCH('Design Fee'!BB$8,'AR | Drawing List'!$K$1:$AT$1,0)),1)</f>
        <v>0</v>
      </c>
      <c r="BC86" s="365">
        <f>COUNTIFS('AR | Drawing List'!$H:$H,$B86,INDEX('AR | Drawing List'!$K:$AT,,MATCH('Design Fee'!BC$8,'AR | Drawing List'!$K$1:$AT$1,0)),1)</f>
        <v>0</v>
      </c>
      <c r="BE86" s="232">
        <v>0</v>
      </c>
      <c r="BF86" s="222"/>
      <c r="BG86" s="253"/>
      <c r="BH86" s="253">
        <f>BI86+BP86</f>
        <v>0</v>
      </c>
      <c r="BI86" s="254">
        <f t="shared" ref="BI86:BI89" si="462">IFERROR(IF(BV86=100%,$BG86,0),0)</f>
        <v>0</v>
      </c>
      <c r="BJ86" s="255">
        <f t="shared" ref="BJ86:BJ89" si="463">IFERROR(IF(AND((BV86+BW86)=100%,BV86&lt;1),$BG86,0),0)</f>
        <v>0</v>
      </c>
      <c r="BK86" s="255">
        <f t="shared" ref="BK86:BK89" si="464">IFERROR(IF(AND((CA86+CC86)=BZ86,BI86=0),$BG86,0),0)</f>
        <v>0</v>
      </c>
      <c r="BL86" s="255">
        <f t="shared" ref="BL86:BL89" si="465">IFERROR(IF(AND((CA86+CC86+CD86)=BZ86,BI86=0,BK86=0),$BG86,0),0)</f>
        <v>0</v>
      </c>
      <c r="BM86" s="255">
        <f t="shared" ref="BM86:BM89" si="466">IFERROR(IF(AND((CA86+CC86+CD86+CE86)=BZ86,BI86=0,BK86=0,BL86=0),$BG86,0),0)</f>
        <v>0</v>
      </c>
      <c r="BN86" s="255">
        <f t="shared" ref="BN86:BN89" si="467">IFERROR(IF(AND((CA86+CC86+CD86+CE86+CF86)=BZ86,BI86=0,BK86=0,BL86=0,BM86=0),$BG86,0),0)</f>
        <v>0</v>
      </c>
      <c r="BO86" s="256"/>
      <c r="BP86" s="255">
        <f t="shared" ref="BP86:BP89" si="468">IFERROR(IF(AND((BV86+BX86)=100%,BV86&lt;1),$BG86,0),0)</f>
        <v>0</v>
      </c>
      <c r="BQ86" s="255">
        <f t="shared" ref="BQ86:BQ89" si="469">IFERROR(IF(AND((CA86+CI86)=BZ86,BI86=0),$BG86,0),0)</f>
        <v>0</v>
      </c>
      <c r="BR86" s="255">
        <f t="shared" ref="BR86:BR89" si="470">IFERROR(IF(AND((CA86+CI86+CJ86)=BZ86,BI86=0,BQ86=0),BG86,0),0)</f>
        <v>0</v>
      </c>
      <c r="BS86" s="255">
        <f t="shared" ref="BS86:BS89" si="471">IFERROR(IF(AND((CA86+CI86+CJ86+CK86)=BZ86,BI86=0,BQ86=0,BR86=0),$BG86,0),0)</f>
        <v>0</v>
      </c>
      <c r="BT86" s="255">
        <f t="shared" ref="BT86:BT89" si="472">IFERROR(IF(AND((CA86+CI86+CL86+CJ86+CK86)=BZ86,BI86=0,BQ86=0,BR86=0,BS86=0),$BG86,0),0)</f>
        <v>0</v>
      </c>
      <c r="BU86" s="169"/>
      <c r="BV86" s="279">
        <f t="shared" ref="BV86:BV88" si="473">IFERROR(CA86/BZ86,0)</f>
        <v>0</v>
      </c>
      <c r="BW86" s="279">
        <f t="shared" ref="BW86:BW88" si="474">IFERROR(CB86/BZ86,0)</f>
        <v>0</v>
      </c>
      <c r="BX86" s="279">
        <f>IFERROR(#REF!/BZ86,0)</f>
        <v>0</v>
      </c>
      <c r="BZ86" s="297">
        <f>COUNTIF('ST | Drawing List'!$G:$G,$B86)</f>
        <v>0</v>
      </c>
      <c r="CA86" s="191">
        <f>COUNTIFS('ST | Drawing List'!$G:$G,$B86,INDEX('ST | Drawing List'!$A:$U,,MATCH('Design Fee'!CA$8,'ST | Drawing List'!$A$1:$U$1,0)),1)</f>
        <v>0</v>
      </c>
      <c r="CB86" s="191">
        <f>COUNTIFS('ST | Drawing List'!$G:$G,$B86,INDEX('ST | Drawing List'!$J:$U,,MATCH('Design Fee'!CB$8,'ST | Drawing List'!$J$1:$U$1,0)),1)</f>
        <v>0</v>
      </c>
      <c r="CC86" s="191">
        <f>COUNTIFS('ST | Drawing List'!$G:$G,$B86,INDEX('ST | Drawing List'!$J:$U,,MATCH('Design Fee'!CC$8,'ST | Drawing List'!$J$1:$U$1,0)),1)</f>
        <v>0</v>
      </c>
      <c r="CD86" s="191">
        <f>COUNTIFS('ST | Drawing List'!$G:$G,$B86,INDEX('ST | Drawing List'!$J:$U,,MATCH('Design Fee'!CD$8,'ST | Drawing List'!$J$1:$U$1,0)),1)</f>
        <v>0</v>
      </c>
      <c r="CE86" s="191">
        <f>COUNTIFS('ST | Drawing List'!$G:$G,$B86,INDEX('ST | Drawing List'!$J:$U,,MATCH('Design Fee'!CE$8,'ST | Drawing List'!$J$1:$U$1,0)),1)</f>
        <v>0</v>
      </c>
      <c r="CF86" s="191">
        <f>COUNTIFS('ST | Drawing List'!$G:$G,$B86,INDEX('ST | Drawing List'!$J:$U,,MATCH('Design Fee'!CF$8,'ST | Drawing List'!$J$1:$U$1,0)),1)</f>
        <v>0</v>
      </c>
      <c r="CG86" s="198"/>
      <c r="CH86" s="191">
        <f>COUNTIFS('ST | Drawing List'!$G:$G,$B86,INDEX('ST | Drawing List'!$J:$U,,MATCH('Design Fee'!CH$8,'ST | Drawing List'!$J$1:$U$1,0)),1)</f>
        <v>0</v>
      </c>
      <c r="CI86" s="191">
        <f>COUNTIFS('ST | Drawing List'!$G:$G,$B86,INDEX('ST | Drawing List'!$J:$U,,MATCH('Design Fee'!CI$8,'ST | Drawing List'!$J$1:$U$1,0)),1)</f>
        <v>0</v>
      </c>
      <c r="CJ86" s="191">
        <f>COUNTIFS('ST | Drawing List'!$G:$G,$B86,INDEX('ST | Drawing List'!$J:$U,,MATCH('Design Fee'!CJ$8,'ST | Drawing List'!$J$1:$U$1,0)),1)</f>
        <v>0</v>
      </c>
      <c r="CK86" s="191">
        <f>COUNTIFS('ST | Drawing List'!$G:$G,$B86,INDEX('ST | Drawing List'!$J:$U,,MATCH('Design Fee'!CK$8,'ST | Drawing List'!$J$1:$U$1,0)),1)</f>
        <v>0</v>
      </c>
      <c r="CL86" s="191">
        <f>COUNTIFS('ST | Drawing List'!$G:$G,$B86,INDEX('ST | Drawing List'!$J:$U,,MATCH('Design Fee'!CL$8,'ST | Drawing List'!$J$1:$U$1,0)),1)</f>
        <v>0</v>
      </c>
      <c r="CN86" s="232">
        <v>0.15</v>
      </c>
      <c r="CO86" s="222"/>
      <c r="CP86" s="253">
        <f>$CP$85/$CN$85*CN86</f>
        <v>3.6659999999999998E-2</v>
      </c>
      <c r="CQ86" s="253">
        <f>CR86+CY86</f>
        <v>0</v>
      </c>
      <c r="CR86" s="254">
        <f>IFERROR(IF(DE86=100%,$CP86,0),0)</f>
        <v>0</v>
      </c>
      <c r="CS86" s="255">
        <f>IFERROR(IF(AND((DE86+DF86)=100%,DE86&lt;1),$CP86,0),0)</f>
        <v>3.6659999999999998E-2</v>
      </c>
      <c r="CT86" s="255">
        <f>IFERROR(IF(AND((DJ86+DL86)=DI86,CR86=0),$CP86,0),0)</f>
        <v>0</v>
      </c>
      <c r="CU86" s="255">
        <f>IFERROR(IF(AND((DJ86+DL86+DM86)=DI86,CR86=0,CT86=0),$CP86,0),0)</f>
        <v>3.6659999999999998E-2</v>
      </c>
      <c r="CV86" s="255">
        <f>IFERROR(IF(AND((DJ86+DL86+DM86+DN86)=DI86,CR86=0,CT86=0,CU86=0),$CP86,0),0)</f>
        <v>0</v>
      </c>
      <c r="CW86" s="255">
        <f>IFERROR(IF(AND((DJ86+DL86+DM86+DN86+DO86)=DI86,CR86=0,CT86=0,CU86=0,CV86=0),$CP86,0),0)</f>
        <v>0</v>
      </c>
      <c r="CX86" s="256"/>
      <c r="CY86" s="255">
        <f>IFERROR(IF(AND((DE86+DG86)=100%,DE86&lt;1),$CP86,0),0)</f>
        <v>0</v>
      </c>
      <c r="CZ86" s="255">
        <f>IFERROR(IF(AND((DJ86+DR86)=DI86,CR86=0),$CP86,0),0)</f>
        <v>0</v>
      </c>
      <c r="DA86" s="255">
        <f t="shared" ref="DA86:DA89" si="475">IFERROR(IF(AND((DJ86+DR86+DS86)=DI86,CR86=0,CZ86=0),CP86,0),0)</f>
        <v>0</v>
      </c>
      <c r="DB86" s="255">
        <f>IFERROR(IF(AND((DJ86+DR86+DS86+DT86)=DI86,CR86=0,CZ86=0,DA86=0),$CP86,0),0)</f>
        <v>0</v>
      </c>
      <c r="DC86" s="255">
        <f>IFERROR(IF(AND((DJ86+DR86+DU86+DS86+DT86)=DI86,CR86=0,CZ86=0,DA86=0,DB86=0),$CP86,0),0)</f>
        <v>0</v>
      </c>
      <c r="DD86" s="183"/>
      <c r="DE86" s="300">
        <f t="shared" ref="DE86:DE88" si="476">IFERROR(DJ86/DI86,0)</f>
        <v>0</v>
      </c>
      <c r="DF86" s="300">
        <f t="shared" ref="DF86:DF88" si="477">IFERROR(DK86/DI86,0)</f>
        <v>1</v>
      </c>
      <c r="DG86" s="300">
        <f t="shared" ref="DG86:DG89" si="478">IFERROR(DQ86/DI86,0)</f>
        <v>0.2857142857142857</v>
      </c>
      <c r="DI86" s="297">
        <f>COUNTIF('MEP | Drawing List'!$I:$I,$B86)</f>
        <v>14</v>
      </c>
      <c r="DJ86" s="191">
        <f>COUNTIFS('MEP | Drawing List'!$I:$I,$B86,INDEX('MEP | Drawing List'!$B:$X,,MATCH('Design Fee'!DJ$8,'MEP | Drawing List'!$B$1:$X$1,0)),1)</f>
        <v>0</v>
      </c>
      <c r="DK86" s="191">
        <f>COUNTIFS('MEP | Drawing List'!$I:$I,$B86,INDEX('MEP | Drawing List'!$L:$X,,MATCH('Design Fee'!DK$8,'MEP | Drawing List'!$L$1:$X$1,0)),1)</f>
        <v>14</v>
      </c>
      <c r="DL86" s="191">
        <f>COUNTIFS('MEP | Drawing List'!$I:$I,$B86,INDEX('MEP | Drawing List'!$L:$X,,MATCH('Design Fee'!DL$8,'MEP | Drawing List'!$L$1:$X$1,0)),1)</f>
        <v>0</v>
      </c>
      <c r="DM86" s="191">
        <f>COUNTIFS('MEP | Drawing List'!$I:$I,$B86,INDEX('MEP | Drawing List'!$L:$X,,MATCH('Design Fee'!DM$8,'MEP | Drawing List'!$L$1:$X$1,0)),1)</f>
        <v>14</v>
      </c>
      <c r="DN86" s="191">
        <f>COUNTIFS('MEP | Drawing List'!$I:$I,$B86,INDEX('MEP | Drawing List'!$L:$X,,MATCH('Design Fee'!DN$8,'MEP | Drawing List'!$L$1:$X$1,0)),1)</f>
        <v>0</v>
      </c>
      <c r="DO86" s="191">
        <f>COUNTIFS('MEP | Drawing List'!$I:$I,$B86,INDEX('MEP | Drawing List'!$L:$X,,MATCH('Design Fee'!DO$8,'MEP | Drawing List'!$L$1:$X$1,0)),1)</f>
        <v>0</v>
      </c>
      <c r="DP86" s="198"/>
      <c r="DQ86" s="191">
        <f>COUNTIFS('MEP | Drawing List'!$I:$I,$B86,INDEX('MEP | Drawing List'!$L:$X,,MATCH('Design Fee'!DQ$8,'MEP | Drawing List'!$L$1:$X$1,0)),1)</f>
        <v>4</v>
      </c>
      <c r="DR86" s="191">
        <f>COUNTIFS('MEP | Drawing List'!$I:$I,$B86,INDEX('MEP | Drawing List'!$L:$X,,MATCH('Design Fee'!DR$8,'MEP | Drawing List'!$L$1:$X$1,0)),1)</f>
        <v>0</v>
      </c>
      <c r="DS86" s="191">
        <f>COUNTIFS('MEP | Drawing List'!$I:$I,$B86,INDEX('MEP | Drawing List'!$L:$X,,MATCH('Design Fee'!DS$8,'MEP | Drawing List'!$L$1:$X$1,0)),1)</f>
        <v>4</v>
      </c>
      <c r="DT86" s="191">
        <f>COUNTIFS('MEP | Drawing List'!$I:$I,$B86,INDEX('MEP | Drawing List'!$L:$X,,MATCH('Design Fee'!DT$8,'MEP | Drawing List'!$L$1:$X$1,0)),1)</f>
        <v>0</v>
      </c>
      <c r="DU86" s="191">
        <f>COUNTIFS('MEP | Drawing List'!$I:$I,$B86,INDEX('MEP | Drawing List'!$L:$X,,MATCH('Design Fee'!DU$8,'MEP | Drawing List'!$L$1:$X$1,0)),1)</f>
        <v>0</v>
      </c>
      <c r="DV86" s="207"/>
      <c r="DX86" s="232">
        <v>0.25</v>
      </c>
      <c r="DY86" s="222"/>
      <c r="DZ86" s="253">
        <f>$DZ$85/$DX$85*DX86</f>
        <v>2.0359500000000003E-2</v>
      </c>
      <c r="EA86" s="253">
        <f>EB86+EI86</f>
        <v>0</v>
      </c>
      <c r="EB86" s="254">
        <f>IFERROR(IF(EO86=100%,$DZ86,0),0)</f>
        <v>0</v>
      </c>
      <c r="EC86" s="255">
        <f>IFERROR(IF(AND((EO86+EP86)=100%,EO86&lt;1),$DZ86,0),0)</f>
        <v>2.0359500000000003E-2</v>
      </c>
      <c r="ED86" s="255">
        <f>IFERROR(IF(AND((ET86+EV86)=ES86,EB86=0),$DZ86,0),0)</f>
        <v>2.0359500000000003E-2</v>
      </c>
      <c r="EE86" s="255">
        <f>IFERROR(IF(AND((ET86+EV86+EW86)=ES86,EB86=0,ED86=0),$DZ86,0),0)</f>
        <v>0</v>
      </c>
      <c r="EF86" s="255">
        <f>IFERROR(IF(AND((ET86+EV86+EW86+EX86)=ES86,EB86=0,ED86=0,EE86=0),$DZ86,0),0)</f>
        <v>0</v>
      </c>
      <c r="EG86" s="255">
        <f>IFERROR(IF(AND((ET86+EV86+EW86+EX86+EY86)=ES86,EB86=0,ED86=0,EE86=0,EF86=0),$DZ86,0),0)</f>
        <v>0</v>
      </c>
      <c r="EH86" s="256"/>
      <c r="EI86" s="255">
        <f>IFERROR(IF(AND((EO86+EQ86)=100%,EO86&lt;1),$DZ86,0),0)</f>
        <v>0</v>
      </c>
      <c r="EJ86" s="255">
        <f>IFERROR(IF(AND((ET86+FB86)=ES86,EB86=0),$DZ86,0),0)</f>
        <v>0</v>
      </c>
      <c r="EK86" s="255">
        <f>IFERROR(IF(AND((ET86+FB86+FC86)=ES86,EB86=0,EJ86=0),DZ86,0),0)</f>
        <v>0</v>
      </c>
      <c r="EL86" s="255">
        <f>IFERROR(IF(AND((ET86+FB86+FC86+FD86)=ES86,EB86=0,EJ86=0,EK86=0),$DZ86,0),0)</f>
        <v>0</v>
      </c>
      <c r="EM86" s="255">
        <f>IFERROR(IF(AND((ET86+FB86+FE86+FC86+FD86)=ES86,EB86=0,EJ86=0,EK86=0,EL86=0),$DZ86,0),0)</f>
        <v>0</v>
      </c>
      <c r="EN86" s="183"/>
      <c r="EO86" s="300">
        <f t="shared" ref="EO86:EO88" si="479">IFERROR(ET86/ES86,0)</f>
        <v>0</v>
      </c>
      <c r="EP86" s="300">
        <f t="shared" ref="EP86:EP88" si="480">IFERROR(EU86/ES86,0)</f>
        <v>1</v>
      </c>
      <c r="EQ86" s="300">
        <f t="shared" ref="EQ86:EQ89" si="481">IFERROR(FA86/ES86,0)</f>
        <v>0</v>
      </c>
      <c r="ES86" s="297">
        <f>COUNTIF('LS | Drawing List'!$H:$H,$B86)</f>
        <v>9</v>
      </c>
      <c r="ET86" s="191">
        <f>COUNTIFS('LS | Drawing List'!$H:$H,$B86,INDEX('LS | Drawing List'!$A:$V,,MATCH('Design Fee'!ET$8,'LS | Drawing List'!$A$1:$V$1,0)),1)</f>
        <v>0</v>
      </c>
      <c r="EU86" s="191">
        <f>COUNTIFS('LS | Drawing List'!$H:$H,$B86,INDEX('LS | Drawing List'!$K:$V,,MATCH('Design Fee'!EU$8,'LS | Drawing List'!$K$1:$V$1,0)),1)</f>
        <v>9</v>
      </c>
      <c r="EV86" s="191">
        <f>COUNTIFS('LS | Drawing List'!$H:$H,$B86,INDEX('LS | Drawing List'!$K:$V,,MATCH('Design Fee'!EV$8,'LS | Drawing List'!$K$1:$V$1,0)),1)</f>
        <v>9</v>
      </c>
      <c r="EW86" s="191">
        <f>COUNTIFS('LS | Drawing List'!$H:$H,$B86,INDEX('LS | Drawing List'!$K:$V,,MATCH('Design Fee'!EW$8,'LS | Drawing List'!$K$1:$V$1,0)),1)</f>
        <v>0</v>
      </c>
      <c r="EX86" s="191">
        <f>COUNTIFS('LS | Drawing List'!$H:$H,$B86,INDEX('LS | Drawing List'!$K:$V,,MATCH('Design Fee'!EX$8,'LS | Drawing List'!$K$1:$V$1,0)),1)</f>
        <v>0</v>
      </c>
      <c r="EY86" s="191">
        <f>COUNTIFS('LS | Drawing List'!$H:$H,$B86,INDEX('LS | Drawing List'!$K:$V,,MATCH('Design Fee'!EY$8,'LS | Drawing List'!$K$1:$V$1,0)),1)</f>
        <v>0</v>
      </c>
      <c r="EZ86" s="198"/>
      <c r="FA86" s="191">
        <f>COUNTIFS('LS | Drawing List'!$H:$H,$B86,INDEX('LS | Drawing List'!$K:$V,,MATCH('Design Fee'!FA$8,'LS | Drawing List'!$K$1:$V$1,0)),1)</f>
        <v>0</v>
      </c>
      <c r="FB86" s="191">
        <f>COUNTIFS('LS | Drawing List'!$H:$H,$B86,INDEX('LS | Drawing List'!$K:$V,,MATCH('Design Fee'!FB$8,'LS | Drawing List'!$K$1:$V$1,0)),1)</f>
        <v>0</v>
      </c>
      <c r="FC86" s="191">
        <f>COUNTIFS('LS | Drawing List'!$H:$H,$B86,INDEX('LS | Drawing List'!$K:$V,,MATCH('Design Fee'!FC$8,'LS | Drawing List'!$K$1:$V$1,0)),1)</f>
        <v>0</v>
      </c>
      <c r="FD86" s="191">
        <f>COUNTIFS('LS | Drawing List'!$H:$H,$B86,INDEX('LS | Drawing List'!$K:$V,,MATCH('Design Fee'!FD$8,'LS | Drawing List'!$K$1:$V$1,0)),1)</f>
        <v>0</v>
      </c>
      <c r="FE86" s="191">
        <f>COUNTIFS('LS | Drawing List'!$H:$H,$B86,INDEX('LS | Drawing List'!$K:$V,,MATCH('Design Fee'!FE$8,'LS | Drawing List'!$K$1:$V$1,0)),1)</f>
        <v>0</v>
      </c>
      <c r="FF86" s="207"/>
    </row>
    <row r="87" spans="2:162" ht="11.85" customHeight="1" outlineLevel="2">
      <c r="B87" s="459" t="s">
        <v>164</v>
      </c>
      <c r="C87" s="280" t="s">
        <v>102</v>
      </c>
      <c r="E87" s="253">
        <f t="shared" si="435"/>
        <v>0.12035999999999999</v>
      </c>
      <c r="F87" s="253">
        <f t="shared" si="435"/>
        <v>0</v>
      </c>
      <c r="G87" s="254">
        <f t="shared" si="447"/>
        <v>0.12035999999999999</v>
      </c>
      <c r="H87" s="253">
        <f t="shared" si="437"/>
        <v>0</v>
      </c>
      <c r="I87" s="253">
        <f t="shared" si="437"/>
        <v>0.12035999999999999</v>
      </c>
      <c r="J87" s="253">
        <f t="shared" si="437"/>
        <v>0.12035999999999999</v>
      </c>
      <c r="K87" s="253">
        <f t="shared" si="437"/>
        <v>0</v>
      </c>
      <c r="L87" s="253">
        <f t="shared" si="437"/>
        <v>0</v>
      </c>
      <c r="M87" s="253">
        <f t="shared" si="437"/>
        <v>0</v>
      </c>
      <c r="N87" s="256"/>
      <c r="O87" s="253">
        <f t="shared" si="438"/>
        <v>0</v>
      </c>
      <c r="P87" s="253">
        <f t="shared" si="438"/>
        <v>0</v>
      </c>
      <c r="Q87" s="253">
        <f t="shared" si="438"/>
        <v>0</v>
      </c>
      <c r="R87" s="253">
        <f t="shared" si="438"/>
        <v>0</v>
      </c>
      <c r="S87" s="253">
        <f t="shared" si="438"/>
        <v>0</v>
      </c>
      <c r="T87" s="169"/>
      <c r="U87" s="183"/>
      <c r="V87" s="232">
        <v>0.15</v>
      </c>
      <c r="W87" s="222"/>
      <c r="X87" s="253">
        <f t="shared" ref="X87:X89" si="482">$X$85/$V$85*V87</f>
        <v>0.1047</v>
      </c>
      <c r="Y87" s="253">
        <f>Z87+AG87</f>
        <v>0</v>
      </c>
      <c r="Z87" s="254">
        <f t="shared" si="448"/>
        <v>0</v>
      </c>
      <c r="AA87" s="255">
        <f t="shared" si="449"/>
        <v>0.1047</v>
      </c>
      <c r="AB87" s="255">
        <f t="shared" si="450"/>
        <v>0.1047</v>
      </c>
      <c r="AC87" s="255">
        <f t="shared" si="451"/>
        <v>0</v>
      </c>
      <c r="AD87" s="255">
        <f t="shared" si="452"/>
        <v>0</v>
      </c>
      <c r="AE87" s="255">
        <f t="shared" si="453"/>
        <v>0</v>
      </c>
      <c r="AF87" s="256"/>
      <c r="AG87" s="255">
        <f t="shared" si="454"/>
        <v>0</v>
      </c>
      <c r="AH87" s="255">
        <f t="shared" si="455"/>
        <v>0</v>
      </c>
      <c r="AI87" s="255">
        <f t="shared" ref="AI87:AI89" si="483">IFERROR(IF(AND((AR87+AZ87+BA87)=AQ87,Z87=0,AH87=0),X87,0),0)</f>
        <v>0</v>
      </c>
      <c r="AJ87" s="255">
        <f t="shared" si="457"/>
        <v>0</v>
      </c>
      <c r="AK87" s="255">
        <f t="shared" si="458"/>
        <v>0</v>
      </c>
      <c r="AL87" s="169"/>
      <c r="AM87" s="279">
        <f t="shared" si="459"/>
        <v>0</v>
      </c>
      <c r="AN87" s="279">
        <f t="shared" si="460"/>
        <v>1</v>
      </c>
      <c r="AO87" s="279">
        <f t="shared" si="461"/>
        <v>0.15384615384615385</v>
      </c>
      <c r="AQ87" s="364">
        <f>COUNTIF('AR | Drawing List'!$H:$H,$B87)</f>
        <v>39</v>
      </c>
      <c r="AR87" s="365">
        <f>COUNTIFS('AR | Drawing List'!$H:$H,$B87,INDEX('AR | Drawing List'!$A:$AT,,MATCH('Design Fee'!AR$8,'AR | Drawing List'!$A$1:$AT$1,0)),1)</f>
        <v>0</v>
      </c>
      <c r="AS87" s="365">
        <f>COUNTIFS('AR | Drawing List'!$H:$H,$B87,INDEX('AR | Drawing List'!$K:$AT,,MATCH('Design Fee'!AS$8,'AR | Drawing List'!$K$1:$AT$1,0)),1)</f>
        <v>39</v>
      </c>
      <c r="AT87" s="365">
        <f>COUNTIFS('AR | Drawing List'!$H:$H,$B87,INDEX('AR | Drawing List'!$K:$AT,,MATCH('Design Fee'!AT$8,'AR | Drawing List'!$K$1:$AT$1,0)),1)</f>
        <v>39</v>
      </c>
      <c r="AU87" s="365">
        <f>COUNTIFS('AR | Drawing List'!$H:$H,$B87,INDEX('AR | Drawing List'!$K:$AT,,MATCH('Design Fee'!AU$8,'AR | Drawing List'!$K$1:$AT$1,0)),1)</f>
        <v>0</v>
      </c>
      <c r="AV87" s="365">
        <f>COUNTIFS('AR | Drawing List'!$H:$H,$B87,INDEX('AR | Drawing List'!$K:$AT,,MATCH('Design Fee'!AV$8,'AR | Drawing List'!$K$1:$AT$1,0)),1)</f>
        <v>0</v>
      </c>
      <c r="AW87" s="365">
        <f>COUNTIFS('AR | Drawing List'!$H:$H,$B87,INDEX('AR | Drawing List'!$K:$AT,,MATCH('Design Fee'!AW$8,'AR | Drawing List'!$K$1:$AT$1,0)),1)</f>
        <v>0</v>
      </c>
      <c r="AX87" s="198"/>
      <c r="AY87" s="365">
        <f>COUNTIFS('AR | Drawing List'!$H:$H,$B87,INDEX('AR | Drawing List'!$K:$AT,,MATCH('Design Fee'!AY$8,'AR | Drawing List'!$K$1:$AT$1,0)),1)</f>
        <v>6</v>
      </c>
      <c r="AZ87" s="365">
        <f>COUNTIFS('AR | Drawing List'!$H:$H,$B87,INDEX('AR | Drawing List'!$K:$AT,,MATCH('Design Fee'!AZ$8,'AR | Drawing List'!$K$1:$AT$1,0)),1)</f>
        <v>0</v>
      </c>
      <c r="BA87" s="365">
        <f>COUNTIFS('AR | Drawing List'!$H:$H,$B87,INDEX('AR | Drawing List'!$K:$AT,,MATCH('Design Fee'!BA$8,'AR | Drawing List'!$K$1:$AT$1,0)),1)</f>
        <v>6</v>
      </c>
      <c r="BB87" s="365">
        <f>COUNTIFS('AR | Drawing List'!$H:$H,$B87,INDEX('AR | Drawing List'!$K:$AT,,MATCH('Design Fee'!BB$8,'AR | Drawing List'!$K$1:$AT$1,0)),1)</f>
        <v>0</v>
      </c>
      <c r="BC87" s="365">
        <f>COUNTIFS('AR | Drawing List'!$H:$H,$B87,INDEX('AR | Drawing List'!$K:$AT,,MATCH('Design Fee'!BC$8,'AR | Drawing List'!$K$1:$AT$1,0)),1)</f>
        <v>0</v>
      </c>
      <c r="BE87" s="232">
        <v>0.3</v>
      </c>
      <c r="BF87" s="222"/>
      <c r="BG87" s="253">
        <f t="shared" ref="BG87:BG88" si="484">$BG$85/$BE$85*BE87</f>
        <v>1.5659999999999997E-2</v>
      </c>
      <c r="BH87" s="253">
        <f>BI87+BP87</f>
        <v>0</v>
      </c>
      <c r="BI87" s="254">
        <f t="shared" si="462"/>
        <v>0</v>
      </c>
      <c r="BJ87" s="255">
        <f t="shared" si="463"/>
        <v>1.5659999999999997E-2</v>
      </c>
      <c r="BK87" s="255">
        <f t="shared" si="464"/>
        <v>1.5659999999999997E-2</v>
      </c>
      <c r="BL87" s="255">
        <f t="shared" si="465"/>
        <v>0</v>
      </c>
      <c r="BM87" s="255">
        <f t="shared" si="466"/>
        <v>0</v>
      </c>
      <c r="BN87" s="255">
        <f t="shared" si="467"/>
        <v>0</v>
      </c>
      <c r="BO87" s="256"/>
      <c r="BP87" s="255">
        <f t="shared" si="468"/>
        <v>0</v>
      </c>
      <c r="BQ87" s="255">
        <f t="shared" si="469"/>
        <v>0</v>
      </c>
      <c r="BR87" s="255">
        <f t="shared" si="470"/>
        <v>0</v>
      </c>
      <c r="BS87" s="255">
        <f t="shared" si="471"/>
        <v>0</v>
      </c>
      <c r="BT87" s="255">
        <f t="shared" si="472"/>
        <v>0</v>
      </c>
      <c r="BU87" s="169"/>
      <c r="BV87" s="279">
        <f t="shared" si="473"/>
        <v>0</v>
      </c>
      <c r="BW87" s="279">
        <f t="shared" si="474"/>
        <v>1</v>
      </c>
      <c r="BX87" s="279">
        <f>IFERROR(#REF!/BZ87,0)</f>
        <v>0</v>
      </c>
      <c r="BZ87" s="297">
        <f>COUNTIF('ST | Drawing List'!$G:$G,$B87)</f>
        <v>4</v>
      </c>
      <c r="CA87" s="191">
        <f>COUNTIFS('ST | Drawing List'!$G:$G,$B87,INDEX('ST | Drawing List'!$A:$U,,MATCH('Design Fee'!CA$8,'ST | Drawing List'!$A$1:$U$1,0)),1)</f>
        <v>0</v>
      </c>
      <c r="CB87" s="191">
        <f>COUNTIFS('ST | Drawing List'!$G:$G,$B87,INDEX('ST | Drawing List'!$J:$U,,MATCH('Design Fee'!CB$8,'ST | Drawing List'!$J$1:$U$1,0)),1)</f>
        <v>4</v>
      </c>
      <c r="CC87" s="191">
        <f>COUNTIFS('ST | Drawing List'!$G:$G,$B87,INDEX('ST | Drawing List'!$J:$U,,MATCH('Design Fee'!CC$8,'ST | Drawing List'!$J$1:$U$1,0)),1)</f>
        <v>4</v>
      </c>
      <c r="CD87" s="191">
        <f>COUNTIFS('ST | Drawing List'!$G:$G,$B87,INDEX('ST | Drawing List'!$J:$U,,MATCH('Design Fee'!CD$8,'ST | Drawing List'!$J$1:$U$1,0)),1)</f>
        <v>0</v>
      </c>
      <c r="CE87" s="191">
        <f>COUNTIFS('ST | Drawing List'!$G:$G,$B87,INDEX('ST | Drawing List'!$J:$U,,MATCH('Design Fee'!CE$8,'ST | Drawing List'!$J$1:$U$1,0)),1)</f>
        <v>0</v>
      </c>
      <c r="CF87" s="191">
        <f>COUNTIFS('ST | Drawing List'!$G:$G,$B87,INDEX('ST | Drawing List'!$J:$U,,MATCH('Design Fee'!CF$8,'ST | Drawing List'!$J$1:$U$1,0)),1)</f>
        <v>0</v>
      </c>
      <c r="CG87" s="198"/>
      <c r="CH87" s="191">
        <f>COUNTIFS('ST | Drawing List'!$G:$G,$B87,INDEX('ST | Drawing List'!$J:$U,,MATCH('Design Fee'!CH$8,'ST | Drawing List'!$J$1:$U$1,0)),1)</f>
        <v>0</v>
      </c>
      <c r="CI87" s="191">
        <f>COUNTIFS('ST | Drawing List'!$G:$G,$B87,INDEX('ST | Drawing List'!$J:$U,,MATCH('Design Fee'!CI$8,'ST | Drawing List'!$J$1:$U$1,0)),1)</f>
        <v>0</v>
      </c>
      <c r="CJ87" s="191">
        <f>COUNTIFS('ST | Drawing List'!$G:$G,$B87,INDEX('ST | Drawing List'!$J:$U,,MATCH('Design Fee'!CJ$8,'ST | Drawing List'!$J$1:$U$1,0)),1)</f>
        <v>0</v>
      </c>
      <c r="CK87" s="191">
        <f>COUNTIFS('ST | Drawing List'!$G:$G,$B87,INDEX('ST | Drawing List'!$J:$U,,MATCH('Design Fee'!CK$8,'ST | Drawing List'!$J$1:$U$1,0)),1)</f>
        <v>0</v>
      </c>
      <c r="CL87" s="191">
        <f>COUNTIFS('ST | Drawing List'!$G:$G,$B87,INDEX('ST | Drawing List'!$J:$U,,MATCH('Design Fee'!CL$8,'ST | Drawing List'!$J$1:$U$1,0)),1)</f>
        <v>0</v>
      </c>
      <c r="CN87" s="232">
        <v>0</v>
      </c>
      <c r="CO87" s="222"/>
      <c r="CP87" s="253">
        <f t="shared" ref="CP87:CP89" si="485">$CP$85/$CN$85*CN87</f>
        <v>0</v>
      </c>
      <c r="CQ87" s="253">
        <f>CR87+CY87</f>
        <v>0</v>
      </c>
      <c r="CR87" s="254">
        <f>IFERROR(IF(DE87=100%,$CP87,0),0)</f>
        <v>0</v>
      </c>
      <c r="CS87" s="255">
        <f>IFERROR(IF(AND((DE87+DF87)=100%,DE87&lt;1),$CP87,0),0)</f>
        <v>0</v>
      </c>
      <c r="CT87" s="255">
        <f>IFERROR(IF(AND((DJ87+DL87)=DI87,CR87=0),$CP87,0),0)</f>
        <v>0</v>
      </c>
      <c r="CU87" s="255">
        <f>IFERROR(IF(AND((DJ87+DL87+DM87)=DI87,CR87=0,CT87=0),$CP87,0),0)</f>
        <v>0</v>
      </c>
      <c r="CV87" s="255">
        <f>IFERROR(IF(AND((DJ87+DL87+DM87+DN87)=DI87,CR87=0,CT87=0,CU87=0),$CP87,0),0)</f>
        <v>0</v>
      </c>
      <c r="CW87" s="255">
        <f>IFERROR(IF(AND((DJ87+DL87+DM87+DN87+DO87)=DI87,CR87=0,CT87=0,CU87=0,CV87=0),$CP87,0),0)</f>
        <v>0</v>
      </c>
      <c r="CX87" s="256"/>
      <c r="CY87" s="255">
        <f>IFERROR(IF(AND((DE87+DG87)=100%,DE87&lt;1),$CP87,0),0)</f>
        <v>0</v>
      </c>
      <c r="CZ87" s="255">
        <f>IFERROR(IF(AND((DJ87+DR87)=DI87,CR87=0),$CP87,0),0)</f>
        <v>0</v>
      </c>
      <c r="DA87" s="255">
        <f t="shared" si="475"/>
        <v>0</v>
      </c>
      <c r="DB87" s="255">
        <f>IFERROR(IF(AND((DJ87+DR87+DS87+DT87)=DI87,CR87=0,CZ87=0,DA87=0),$CP87,0),0)</f>
        <v>0</v>
      </c>
      <c r="DC87" s="255">
        <f>IFERROR(IF(AND((DJ87+DR87+DU87+DS87+DT87)=DI87,CR87=0,CZ87=0,DA87=0,DB87=0),$CP87,0),0)</f>
        <v>0</v>
      </c>
      <c r="DD87" s="183"/>
      <c r="DE87" s="300">
        <f t="shared" si="476"/>
        <v>0</v>
      </c>
      <c r="DF87" s="300">
        <f t="shared" si="477"/>
        <v>0</v>
      </c>
      <c r="DG87" s="300">
        <f t="shared" si="478"/>
        <v>0</v>
      </c>
      <c r="DI87" s="297">
        <f>COUNTIF('MEP | Drawing List'!$I:$I,$B87)</f>
        <v>0</v>
      </c>
      <c r="DJ87" s="191">
        <f>COUNTIFS('MEP | Drawing List'!$I:$I,$B87,INDEX('MEP | Drawing List'!$B:$X,,MATCH('Design Fee'!DJ$8,'MEP | Drawing List'!$B$1:$X$1,0)),1)</f>
        <v>0</v>
      </c>
      <c r="DK87" s="191">
        <f>COUNTIFS('MEP | Drawing List'!$I:$I,$B87,INDEX('MEP | Drawing List'!$L:$X,,MATCH('Design Fee'!DK$8,'MEP | Drawing List'!$L$1:$X$1,0)),1)</f>
        <v>0</v>
      </c>
      <c r="DL87" s="191">
        <f>COUNTIFS('MEP | Drawing List'!$I:$I,$B87,INDEX('MEP | Drawing List'!$L:$X,,MATCH('Design Fee'!DL$8,'MEP | Drawing List'!$L$1:$X$1,0)),1)</f>
        <v>0</v>
      </c>
      <c r="DM87" s="191">
        <f>COUNTIFS('MEP | Drawing List'!$I:$I,$B87,INDEX('MEP | Drawing List'!$L:$X,,MATCH('Design Fee'!DM$8,'MEP | Drawing List'!$L$1:$X$1,0)),1)</f>
        <v>0</v>
      </c>
      <c r="DN87" s="191">
        <f>COUNTIFS('MEP | Drawing List'!$I:$I,$B87,INDEX('MEP | Drawing List'!$L:$X,,MATCH('Design Fee'!DN$8,'MEP | Drawing List'!$L$1:$X$1,0)),1)</f>
        <v>0</v>
      </c>
      <c r="DO87" s="191">
        <f>COUNTIFS('MEP | Drawing List'!$I:$I,$B87,INDEX('MEP | Drawing List'!$L:$X,,MATCH('Design Fee'!DO$8,'MEP | Drawing List'!$L$1:$X$1,0)),1)</f>
        <v>0</v>
      </c>
      <c r="DP87" s="198"/>
      <c r="DQ87" s="191">
        <f>COUNTIFS('MEP | Drawing List'!$I:$I,$B87,INDEX('MEP | Drawing List'!$L:$X,,MATCH('Design Fee'!DQ$8,'MEP | Drawing List'!$L$1:$X$1,0)),1)</f>
        <v>0</v>
      </c>
      <c r="DR87" s="191">
        <f>COUNTIFS('MEP | Drawing List'!$I:$I,$B87,INDEX('MEP | Drawing List'!$L:$X,,MATCH('Design Fee'!DR$8,'MEP | Drawing List'!$L$1:$X$1,0)),1)</f>
        <v>0</v>
      </c>
      <c r="DS87" s="191">
        <f>COUNTIFS('MEP | Drawing List'!$I:$I,$B87,INDEX('MEP | Drawing List'!$L:$X,,MATCH('Design Fee'!DS$8,'MEP | Drawing List'!$L$1:$X$1,0)),1)</f>
        <v>0</v>
      </c>
      <c r="DT87" s="191">
        <f>COUNTIFS('MEP | Drawing List'!$I:$I,$B87,INDEX('MEP | Drawing List'!$L:$X,,MATCH('Design Fee'!DT$8,'MEP | Drawing List'!$L$1:$X$1,0)),1)</f>
        <v>0</v>
      </c>
      <c r="DU87" s="191">
        <f>COUNTIFS('MEP | Drawing List'!$I:$I,$B87,INDEX('MEP | Drawing List'!$L:$X,,MATCH('Design Fee'!DU$8,'MEP | Drawing List'!$L$1:$X$1,0)),1)</f>
        <v>0</v>
      </c>
      <c r="DV87" s="207"/>
      <c r="DX87" s="232">
        <v>0</v>
      </c>
      <c r="DY87" s="222"/>
      <c r="DZ87" s="253">
        <f t="shared" ref="DZ87:DZ89" si="486">$DZ$85/$DX$85*DX87</f>
        <v>0</v>
      </c>
      <c r="EA87" s="253">
        <f>EB87+EI87</f>
        <v>0</v>
      </c>
      <c r="EB87" s="254">
        <f>IFERROR(IF(EO87=100%,$DZ87,0),0)</f>
        <v>0</v>
      </c>
      <c r="EC87" s="255">
        <f>IFERROR(IF(AND((EO87+EP87)=100%,EO87&lt;1),$DZ87,0),0)</f>
        <v>0</v>
      </c>
      <c r="ED87" s="255">
        <f>IFERROR(IF(AND((ET87+EV87)=ES87,EB87=0),$DZ87,0),0)</f>
        <v>0</v>
      </c>
      <c r="EE87" s="255">
        <f>IFERROR(IF(AND((ET87+EV87+EW87)=ES87,EB87=0,ED87=0),$DZ87,0),0)</f>
        <v>0</v>
      </c>
      <c r="EF87" s="255">
        <f>IFERROR(IF(AND((ET87+EV87+EW87+EX87)=ES87,EB87=0,ED87=0,EE87=0),$DZ87,0),0)</f>
        <v>0</v>
      </c>
      <c r="EG87" s="255">
        <f>IFERROR(IF(AND((ET87+EV87+EW87+EX87+EY87)=ES87,EB87=0,ED87=0,EE87=0,EF87=0),$DZ87,0),0)</f>
        <v>0</v>
      </c>
      <c r="EH87" s="256"/>
      <c r="EI87" s="255">
        <f>IFERROR(IF(AND((EO87+EQ87)=100%,EO87&lt;1),$DZ87,0),0)</f>
        <v>0</v>
      </c>
      <c r="EJ87" s="255">
        <f>IFERROR(IF(AND((ET87+FB87)=ES87,EB87=0),$DZ87,0),0)</f>
        <v>0</v>
      </c>
      <c r="EK87" s="255">
        <f>IFERROR(IF(AND((ET87+FB87+FC87)=ES87,EB87=0,EJ87=0),DZ87,0),0)</f>
        <v>0</v>
      </c>
      <c r="EL87" s="255">
        <f>IFERROR(IF(AND((ET87+FB87+FC87+FD87)=ES87,EB87=0,EJ87=0,EK87=0),$DZ87,0),0)</f>
        <v>0</v>
      </c>
      <c r="EM87" s="255">
        <f>IFERROR(IF(AND((ET87+FB87+FE87+FC87+FD87)=ES87,EB87=0,EJ87=0,EK87=0,EL87=0),$DZ87,0),0)</f>
        <v>0</v>
      </c>
      <c r="EN87" s="183"/>
      <c r="EO87" s="300">
        <f t="shared" si="479"/>
        <v>0</v>
      </c>
      <c r="EP87" s="300">
        <f t="shared" si="480"/>
        <v>0</v>
      </c>
      <c r="EQ87" s="300">
        <f t="shared" si="481"/>
        <v>0</v>
      </c>
      <c r="ES87" s="297">
        <f>COUNTIF('LS | Drawing List'!$H:$H,$B87)</f>
        <v>0</v>
      </c>
      <c r="ET87" s="191">
        <f>COUNTIFS('LS | Drawing List'!$H:$H,$B87,INDEX('LS | Drawing List'!$A:$V,,MATCH('Design Fee'!ET$8,'LS | Drawing List'!$A$1:$V$1,0)),1)</f>
        <v>0</v>
      </c>
      <c r="EU87" s="191">
        <f>COUNTIFS('LS | Drawing List'!$H:$H,$B87,INDEX('LS | Drawing List'!$K:$V,,MATCH('Design Fee'!EU$8,'LS | Drawing List'!$K$1:$V$1,0)),1)</f>
        <v>0</v>
      </c>
      <c r="EV87" s="191">
        <f>COUNTIFS('LS | Drawing List'!$H:$H,$B87,INDEX('LS | Drawing List'!$K:$V,,MATCH('Design Fee'!EV$8,'LS | Drawing List'!$K$1:$V$1,0)),1)</f>
        <v>0</v>
      </c>
      <c r="EW87" s="191">
        <f>COUNTIFS('LS | Drawing List'!$H:$H,$B87,INDEX('LS | Drawing List'!$K:$V,,MATCH('Design Fee'!EW$8,'LS | Drawing List'!$K$1:$V$1,0)),1)</f>
        <v>0</v>
      </c>
      <c r="EX87" s="191">
        <f>COUNTIFS('LS | Drawing List'!$H:$H,$B87,INDEX('LS | Drawing List'!$K:$V,,MATCH('Design Fee'!EX$8,'LS | Drawing List'!$K$1:$V$1,0)),1)</f>
        <v>0</v>
      </c>
      <c r="EY87" s="191">
        <f>COUNTIFS('LS | Drawing List'!$H:$H,$B87,INDEX('LS | Drawing List'!$K:$V,,MATCH('Design Fee'!EY$8,'LS | Drawing List'!$K$1:$V$1,0)),1)</f>
        <v>0</v>
      </c>
      <c r="EZ87" s="198"/>
      <c r="FA87" s="191">
        <f>COUNTIFS('LS | Drawing List'!$H:$H,$B87,INDEX('LS | Drawing List'!$K:$V,,MATCH('Design Fee'!FA$8,'LS | Drawing List'!$K$1:$V$1,0)),1)</f>
        <v>0</v>
      </c>
      <c r="FB87" s="191">
        <f>COUNTIFS('LS | Drawing List'!$H:$H,$B87,INDEX('LS | Drawing List'!$K:$V,,MATCH('Design Fee'!FB$8,'LS | Drawing List'!$K$1:$V$1,0)),1)</f>
        <v>0</v>
      </c>
      <c r="FC87" s="191">
        <f>COUNTIFS('LS | Drawing List'!$H:$H,$B87,INDEX('LS | Drawing List'!$K:$V,,MATCH('Design Fee'!FC$8,'LS | Drawing List'!$K$1:$V$1,0)),1)</f>
        <v>0</v>
      </c>
      <c r="FD87" s="191">
        <f>COUNTIFS('LS | Drawing List'!$H:$H,$B87,INDEX('LS | Drawing List'!$K:$V,,MATCH('Design Fee'!FD$8,'LS | Drawing List'!$K$1:$V$1,0)),1)</f>
        <v>0</v>
      </c>
      <c r="FE87" s="191">
        <f>COUNTIFS('LS | Drawing List'!$H:$H,$B87,INDEX('LS | Drawing List'!$K:$V,,MATCH('Design Fee'!FE$8,'LS | Drawing List'!$K$1:$V$1,0)),1)</f>
        <v>0</v>
      </c>
      <c r="FF87" s="207"/>
    </row>
    <row r="88" spans="2:162" ht="11.85" customHeight="1" outlineLevel="2">
      <c r="B88" s="459" t="s">
        <v>165</v>
      </c>
      <c r="C88" s="280" t="s">
        <v>104</v>
      </c>
      <c r="E88" s="253">
        <f t="shared" si="435"/>
        <v>0.17015000000000002</v>
      </c>
      <c r="F88" s="253">
        <f t="shared" si="435"/>
        <v>0</v>
      </c>
      <c r="G88" s="254">
        <f t="shared" si="447"/>
        <v>0.17015000000000002</v>
      </c>
      <c r="H88" s="253">
        <f t="shared" si="437"/>
        <v>0</v>
      </c>
      <c r="I88" s="253">
        <f t="shared" si="437"/>
        <v>0.17015000000000002</v>
      </c>
      <c r="J88" s="253">
        <f t="shared" si="437"/>
        <v>4.7950000000000007E-2</v>
      </c>
      <c r="K88" s="253">
        <f t="shared" si="437"/>
        <v>0</v>
      </c>
      <c r="L88" s="253">
        <f t="shared" si="437"/>
        <v>0.1222</v>
      </c>
      <c r="M88" s="253">
        <f t="shared" si="437"/>
        <v>0</v>
      </c>
      <c r="N88" s="256"/>
      <c r="O88" s="253">
        <f t="shared" si="438"/>
        <v>0</v>
      </c>
      <c r="P88" s="253">
        <f t="shared" si="438"/>
        <v>0</v>
      </c>
      <c r="Q88" s="253">
        <f t="shared" si="438"/>
        <v>0</v>
      </c>
      <c r="R88" s="253">
        <f t="shared" si="438"/>
        <v>0</v>
      </c>
      <c r="S88" s="253">
        <f t="shared" si="438"/>
        <v>0</v>
      </c>
      <c r="T88" s="169"/>
      <c r="U88" s="183"/>
      <c r="V88" s="232">
        <v>0.05</v>
      </c>
      <c r="W88" s="222"/>
      <c r="X88" s="253">
        <f t="shared" si="482"/>
        <v>3.4900000000000007E-2</v>
      </c>
      <c r="Y88" s="253">
        <f>Z88+AG88</f>
        <v>0</v>
      </c>
      <c r="Z88" s="254">
        <f t="shared" si="448"/>
        <v>0</v>
      </c>
      <c r="AA88" s="255">
        <f t="shared" si="449"/>
        <v>3.4900000000000007E-2</v>
      </c>
      <c r="AB88" s="255">
        <f t="shared" si="450"/>
        <v>3.4900000000000007E-2</v>
      </c>
      <c r="AC88" s="255">
        <f t="shared" si="451"/>
        <v>0</v>
      </c>
      <c r="AD88" s="255">
        <f t="shared" si="452"/>
        <v>0</v>
      </c>
      <c r="AE88" s="255">
        <f t="shared" si="453"/>
        <v>0</v>
      </c>
      <c r="AF88" s="256"/>
      <c r="AG88" s="255">
        <f t="shared" si="454"/>
        <v>0</v>
      </c>
      <c r="AH88" s="255">
        <f t="shared" si="455"/>
        <v>0</v>
      </c>
      <c r="AI88" s="255">
        <f t="shared" si="483"/>
        <v>0</v>
      </c>
      <c r="AJ88" s="255">
        <f t="shared" si="457"/>
        <v>0</v>
      </c>
      <c r="AK88" s="255">
        <f t="shared" si="458"/>
        <v>0</v>
      </c>
      <c r="AL88" s="169"/>
      <c r="AM88" s="279">
        <f t="shared" si="459"/>
        <v>0</v>
      </c>
      <c r="AN88" s="279">
        <f t="shared" si="460"/>
        <v>1</v>
      </c>
      <c r="AO88" s="279">
        <f t="shared" si="461"/>
        <v>0</v>
      </c>
      <c r="AQ88" s="364">
        <f>COUNTIF('AR | Drawing List'!$H:$H,$B88)</f>
        <v>45</v>
      </c>
      <c r="AR88" s="365">
        <f>COUNTIFS('AR | Drawing List'!$H:$H,$B88,INDEX('AR | Drawing List'!$A:$AT,,MATCH('Design Fee'!AR$8,'AR | Drawing List'!$A$1:$AT$1,0)),1)</f>
        <v>0</v>
      </c>
      <c r="AS88" s="365">
        <f>COUNTIFS('AR | Drawing List'!$H:$H,$B88,INDEX('AR | Drawing List'!$K:$AT,,MATCH('Design Fee'!AS$8,'AR | Drawing List'!$K$1:$AT$1,0)),1)</f>
        <v>45</v>
      </c>
      <c r="AT88" s="365">
        <f>COUNTIFS('AR | Drawing List'!$H:$H,$B88,INDEX('AR | Drawing List'!$K:$AT,,MATCH('Design Fee'!AT$8,'AR | Drawing List'!$K$1:$AT$1,0)),1)</f>
        <v>45</v>
      </c>
      <c r="AU88" s="365">
        <f>COUNTIFS('AR | Drawing List'!$H:$H,$B88,INDEX('AR | Drawing List'!$K:$AT,,MATCH('Design Fee'!AU$8,'AR | Drawing List'!$K$1:$AT$1,0)),1)</f>
        <v>0</v>
      </c>
      <c r="AV88" s="365">
        <f>COUNTIFS('AR | Drawing List'!$H:$H,$B88,INDEX('AR | Drawing List'!$K:$AT,,MATCH('Design Fee'!AV$8,'AR | Drawing List'!$K$1:$AT$1,0)),1)</f>
        <v>0</v>
      </c>
      <c r="AW88" s="365">
        <f>COUNTIFS('AR | Drawing List'!$H:$H,$B88,INDEX('AR | Drawing List'!$K:$AT,,MATCH('Design Fee'!AW$8,'AR | Drawing List'!$K$1:$AT$1,0)),1)</f>
        <v>0</v>
      </c>
      <c r="AX88" s="198"/>
      <c r="AY88" s="365">
        <f>COUNTIFS('AR | Drawing List'!$H:$H,$B88,INDEX('AR | Drawing List'!$K:$AT,,MATCH('Design Fee'!AY$8,'AR | Drawing List'!$K$1:$AT$1,0)),1)</f>
        <v>0</v>
      </c>
      <c r="AZ88" s="365">
        <f>COUNTIFS('AR | Drawing List'!$H:$H,$B88,INDEX('AR | Drawing List'!$K:$AT,,MATCH('Design Fee'!AZ$8,'AR | Drawing List'!$K$1:$AT$1,0)),1)</f>
        <v>0</v>
      </c>
      <c r="BA88" s="365">
        <f>COUNTIFS('AR | Drawing List'!$H:$H,$B88,INDEX('AR | Drawing List'!$K:$AT,,MATCH('Design Fee'!BA$8,'AR | Drawing List'!$K$1:$AT$1,0)),1)</f>
        <v>0</v>
      </c>
      <c r="BB88" s="365">
        <f>COUNTIFS('AR | Drawing List'!$H:$H,$B88,INDEX('AR | Drawing List'!$K:$AT,,MATCH('Design Fee'!BB$8,'AR | Drawing List'!$K$1:$AT$1,0)),1)</f>
        <v>0</v>
      </c>
      <c r="BC88" s="365">
        <f>COUNTIFS('AR | Drawing List'!$H:$H,$B88,INDEX('AR | Drawing List'!$K:$AT,,MATCH('Design Fee'!BC$8,'AR | Drawing List'!$K$1:$AT$1,0)),1)</f>
        <v>0</v>
      </c>
      <c r="BE88" s="232">
        <v>0.25</v>
      </c>
      <c r="BF88" s="222"/>
      <c r="BG88" s="253">
        <f t="shared" si="484"/>
        <v>1.3049999999999999E-2</v>
      </c>
      <c r="BH88" s="253">
        <f>BI88+BP88</f>
        <v>0</v>
      </c>
      <c r="BI88" s="254">
        <f t="shared" si="462"/>
        <v>0</v>
      </c>
      <c r="BJ88" s="255">
        <f t="shared" si="463"/>
        <v>1.3049999999999999E-2</v>
      </c>
      <c r="BK88" s="255">
        <f t="shared" si="464"/>
        <v>1.3049999999999999E-2</v>
      </c>
      <c r="BL88" s="255">
        <f t="shared" si="465"/>
        <v>0</v>
      </c>
      <c r="BM88" s="255">
        <f t="shared" si="466"/>
        <v>0</v>
      </c>
      <c r="BN88" s="255">
        <f t="shared" si="467"/>
        <v>0</v>
      </c>
      <c r="BO88" s="256"/>
      <c r="BP88" s="255">
        <f t="shared" si="468"/>
        <v>0</v>
      </c>
      <c r="BQ88" s="255">
        <f t="shared" si="469"/>
        <v>0</v>
      </c>
      <c r="BR88" s="255">
        <f t="shared" si="470"/>
        <v>0</v>
      </c>
      <c r="BS88" s="255">
        <f t="shared" si="471"/>
        <v>0</v>
      </c>
      <c r="BT88" s="255">
        <f t="shared" si="472"/>
        <v>0</v>
      </c>
      <c r="BU88" s="169"/>
      <c r="BV88" s="279">
        <f t="shared" si="473"/>
        <v>0</v>
      </c>
      <c r="BW88" s="279">
        <f t="shared" si="474"/>
        <v>1</v>
      </c>
      <c r="BX88" s="279">
        <f>IFERROR(#REF!/BZ88,0)</f>
        <v>0</v>
      </c>
      <c r="BZ88" s="297">
        <f>COUNTIF('ST | Drawing List'!$G:$G,$B88)</f>
        <v>3</v>
      </c>
      <c r="CA88" s="191">
        <f>COUNTIFS('ST | Drawing List'!$G:$G,$B88,INDEX('ST | Drawing List'!$A:$U,,MATCH('Design Fee'!CA$8,'ST | Drawing List'!$A$1:$U$1,0)),1)</f>
        <v>0</v>
      </c>
      <c r="CB88" s="191">
        <f>COUNTIFS('ST | Drawing List'!$G:$G,$B88,INDEX('ST | Drawing List'!$J:$U,,MATCH('Design Fee'!CB$8,'ST | Drawing List'!$J$1:$U$1,0)),1)</f>
        <v>3</v>
      </c>
      <c r="CC88" s="191">
        <f>COUNTIFS('ST | Drawing List'!$G:$G,$B88,INDEX('ST | Drawing List'!$J:$U,,MATCH('Design Fee'!CC$8,'ST | Drawing List'!$J$1:$U$1,0)),1)</f>
        <v>3</v>
      </c>
      <c r="CD88" s="191">
        <f>COUNTIFS('ST | Drawing List'!$G:$G,$B88,INDEX('ST | Drawing List'!$J:$U,,MATCH('Design Fee'!CD$8,'ST | Drawing List'!$J$1:$U$1,0)),1)</f>
        <v>0</v>
      </c>
      <c r="CE88" s="191">
        <f>COUNTIFS('ST | Drawing List'!$G:$G,$B88,INDEX('ST | Drawing List'!$J:$U,,MATCH('Design Fee'!CE$8,'ST | Drawing List'!$J$1:$U$1,0)),1)</f>
        <v>0</v>
      </c>
      <c r="CF88" s="191">
        <f>COUNTIFS('ST | Drawing List'!$G:$G,$B88,INDEX('ST | Drawing List'!$J:$U,,MATCH('Design Fee'!CF$8,'ST | Drawing List'!$J$1:$U$1,0)),1)</f>
        <v>0</v>
      </c>
      <c r="CG88" s="198"/>
      <c r="CH88" s="191">
        <f>COUNTIFS('ST | Drawing List'!$G:$G,$B88,INDEX('ST | Drawing List'!$J:$U,,MATCH('Design Fee'!CH$8,'ST | Drawing List'!$J$1:$U$1,0)),1)</f>
        <v>0</v>
      </c>
      <c r="CI88" s="191">
        <f>COUNTIFS('ST | Drawing List'!$G:$G,$B88,INDEX('ST | Drawing List'!$J:$U,,MATCH('Design Fee'!CI$8,'ST | Drawing List'!$J$1:$U$1,0)),1)</f>
        <v>0</v>
      </c>
      <c r="CJ88" s="191">
        <f>COUNTIFS('ST | Drawing List'!$G:$G,$B88,INDEX('ST | Drawing List'!$J:$U,,MATCH('Design Fee'!CJ$8,'ST | Drawing List'!$J$1:$U$1,0)),1)</f>
        <v>0</v>
      </c>
      <c r="CK88" s="191">
        <f>COUNTIFS('ST | Drawing List'!$G:$G,$B88,INDEX('ST | Drawing List'!$J:$U,,MATCH('Design Fee'!CK$8,'ST | Drawing List'!$J$1:$U$1,0)),1)</f>
        <v>0</v>
      </c>
      <c r="CL88" s="191">
        <f>COUNTIFS('ST | Drawing List'!$G:$G,$B88,INDEX('ST | Drawing List'!$J:$U,,MATCH('Design Fee'!CL$8,'ST | Drawing List'!$J$1:$U$1,0)),1)</f>
        <v>0</v>
      </c>
      <c r="CN88" s="232">
        <v>0.5</v>
      </c>
      <c r="CO88" s="222"/>
      <c r="CP88" s="253">
        <f t="shared" si="485"/>
        <v>0.1222</v>
      </c>
      <c r="CQ88" s="253">
        <f>CR88+CY88</f>
        <v>0</v>
      </c>
      <c r="CR88" s="254">
        <f>IFERROR(IF(DE88=100%,$CP88,0),0)</f>
        <v>0</v>
      </c>
      <c r="CS88" s="255">
        <f>IFERROR(IF(AND((DE88+DF88)=100%,DE88&lt;1),$CP88,0),0)</f>
        <v>0.1222</v>
      </c>
      <c r="CT88" s="255">
        <f>IFERROR(IF(AND((DJ88+DL88)=DI88,CR88=0),$CP88,0),0)</f>
        <v>0</v>
      </c>
      <c r="CU88" s="255">
        <f>IFERROR(IF(AND((DJ88+DL88+DM88)=DI88,CR88=0,CT88=0),$CP88,0),0)</f>
        <v>0</v>
      </c>
      <c r="CV88" s="255">
        <f>IFERROR(IF(AND((DJ88+DL88+DM88+DN88)=DI88,CR88=0,CT88=0,CU88=0),$CP88,0),0)</f>
        <v>0.1222</v>
      </c>
      <c r="CW88" s="255">
        <f>IFERROR(IF(AND((DJ88+DL88+DM88+DN88+DO88)=DI88,CR88=0,CT88=0,CU88=0,CV88=0),$CP88,0),0)</f>
        <v>0</v>
      </c>
      <c r="CX88" s="256"/>
      <c r="CY88" s="255">
        <f>IFERROR(IF(AND((DE88+DG88)=100%,DE88&lt;1),$CP88,0),0)</f>
        <v>0</v>
      </c>
      <c r="CZ88" s="255">
        <f>IFERROR(IF(AND((DJ88+DR88)=DI88,CR88=0),$CP88,0),0)</f>
        <v>0</v>
      </c>
      <c r="DA88" s="255">
        <f t="shared" si="475"/>
        <v>0</v>
      </c>
      <c r="DB88" s="255">
        <f>IFERROR(IF(AND((DJ88+DR88+DS88+DT88)=DI88,CR88=0,CZ88=0,DA88=0),$CP88,0),0)</f>
        <v>0</v>
      </c>
      <c r="DC88" s="255">
        <f>IFERROR(IF(AND((DJ88+DR88+DU88+DS88+DT88)=DI88,CR88=0,CZ88=0,DA88=0,DB88=0),$CP88,0),0)</f>
        <v>0</v>
      </c>
      <c r="DD88" s="183"/>
      <c r="DE88" s="300">
        <f t="shared" si="476"/>
        <v>0</v>
      </c>
      <c r="DF88" s="300">
        <f t="shared" si="477"/>
        <v>1</v>
      </c>
      <c r="DG88" s="300">
        <f t="shared" si="478"/>
        <v>0.27272727272727271</v>
      </c>
      <c r="DI88" s="297">
        <f>COUNTIF('MEP | Drawing List'!$I:$I,$B88)</f>
        <v>11</v>
      </c>
      <c r="DJ88" s="191">
        <f>COUNTIFS('MEP | Drawing List'!$I:$I,$B88,INDEX('MEP | Drawing List'!$B:$X,,MATCH('Design Fee'!DJ$8,'MEP | Drawing List'!$B$1:$X$1,0)),1)</f>
        <v>0</v>
      </c>
      <c r="DK88" s="191">
        <f>COUNTIFS('MEP | Drawing List'!$I:$I,$B88,INDEX('MEP | Drawing List'!$L:$X,,MATCH('Design Fee'!DK$8,'MEP | Drawing List'!$L$1:$X$1,0)),1)</f>
        <v>11</v>
      </c>
      <c r="DL88" s="191">
        <f>COUNTIFS('MEP | Drawing List'!$I:$I,$B88,INDEX('MEP | Drawing List'!$L:$X,,MATCH('Design Fee'!DL$8,'MEP | Drawing List'!$L$1:$X$1,0)),1)</f>
        <v>0</v>
      </c>
      <c r="DM88" s="191">
        <f>COUNTIFS('MEP | Drawing List'!$I:$I,$B88,INDEX('MEP | Drawing List'!$L:$X,,MATCH('Design Fee'!DM$8,'MEP | Drawing List'!$L$1:$X$1,0)),1)</f>
        <v>0</v>
      </c>
      <c r="DN88" s="191">
        <f>COUNTIFS('MEP | Drawing List'!$I:$I,$B88,INDEX('MEP | Drawing List'!$L:$X,,MATCH('Design Fee'!DN$8,'MEP | Drawing List'!$L$1:$X$1,0)),1)</f>
        <v>11</v>
      </c>
      <c r="DO88" s="191">
        <f>COUNTIFS('MEP | Drawing List'!$I:$I,$B88,INDEX('MEP | Drawing List'!$L:$X,,MATCH('Design Fee'!DO$8,'MEP | Drawing List'!$L$1:$X$1,0)),1)</f>
        <v>0</v>
      </c>
      <c r="DP88" s="198"/>
      <c r="DQ88" s="191">
        <f>COUNTIFS('MEP | Drawing List'!$I:$I,$B88,INDEX('MEP | Drawing List'!$L:$X,,MATCH('Design Fee'!DQ$8,'MEP | Drawing List'!$L$1:$X$1,0)),1)</f>
        <v>3</v>
      </c>
      <c r="DR88" s="191">
        <f>COUNTIFS('MEP | Drawing List'!$I:$I,$B88,INDEX('MEP | Drawing List'!$L:$X,,MATCH('Design Fee'!DR$8,'MEP | Drawing List'!$L$1:$X$1,0)),1)</f>
        <v>0</v>
      </c>
      <c r="DS88" s="191">
        <f>COUNTIFS('MEP | Drawing List'!$I:$I,$B88,INDEX('MEP | Drawing List'!$L:$X,,MATCH('Design Fee'!DS$8,'MEP | Drawing List'!$L$1:$X$1,0)),1)</f>
        <v>3</v>
      </c>
      <c r="DT88" s="191">
        <f>COUNTIFS('MEP | Drawing List'!$I:$I,$B88,INDEX('MEP | Drawing List'!$L:$X,,MATCH('Design Fee'!DT$8,'MEP | Drawing List'!$L$1:$X$1,0)),1)</f>
        <v>0</v>
      </c>
      <c r="DU88" s="191">
        <f>COUNTIFS('MEP | Drawing List'!$I:$I,$B88,INDEX('MEP | Drawing List'!$L:$X,,MATCH('Design Fee'!DU$8,'MEP | Drawing List'!$L$1:$X$1,0)),1)</f>
        <v>0</v>
      </c>
      <c r="DV88" s="207"/>
      <c r="DX88" s="232">
        <v>0</v>
      </c>
      <c r="DY88" s="222"/>
      <c r="DZ88" s="253">
        <f t="shared" si="486"/>
        <v>0</v>
      </c>
      <c r="EA88" s="253">
        <f>EB88+EI88</f>
        <v>0</v>
      </c>
      <c r="EB88" s="254">
        <f>IFERROR(IF(EO88=100%,$DZ88,0),0)</f>
        <v>0</v>
      </c>
      <c r="EC88" s="255">
        <f>IFERROR(IF(AND((EO88+EP88)=100%,EO88&lt;1),$DZ88,0),0)</f>
        <v>0</v>
      </c>
      <c r="ED88" s="255">
        <f>IFERROR(IF(AND((ET88+EV88)=ES88,EB88=0),$DZ88,0),0)</f>
        <v>0</v>
      </c>
      <c r="EE88" s="255">
        <f>IFERROR(IF(AND((ET88+EV88+EW88)=ES88,EB88=0,ED88=0),$DZ88,0),0)</f>
        <v>0</v>
      </c>
      <c r="EF88" s="255">
        <f>IFERROR(IF(AND((ET88+EV88+EW88+EX88)=ES88,EB88=0,ED88=0,EE88=0),$DZ88,0),0)</f>
        <v>0</v>
      </c>
      <c r="EG88" s="255">
        <f>IFERROR(IF(AND((ET88+EV88+EW88+EX88+EY88)=ES88,EB88=0,ED88=0,EE88=0,EF88=0),$DZ88,0),0)</f>
        <v>0</v>
      </c>
      <c r="EH88" s="256"/>
      <c r="EI88" s="255">
        <f>IFERROR(IF(AND((EO88+EQ88)=100%,EO88&lt;1),$DZ88,0),0)</f>
        <v>0</v>
      </c>
      <c r="EJ88" s="255">
        <f>IFERROR(IF(AND((ET88+FB88)=ES88,EB88=0),$DZ88,0),0)</f>
        <v>0</v>
      </c>
      <c r="EK88" s="255">
        <f>IFERROR(IF(AND((ET88+FB88+FC88)=ES88,EB88=0,EJ88=0),DZ88,0),0)</f>
        <v>0</v>
      </c>
      <c r="EL88" s="255">
        <f>IFERROR(IF(AND((ET88+FB88+FC88+FD88)=ES88,EB88=0,EJ88=0,EK88=0),$DZ88,0),0)</f>
        <v>0</v>
      </c>
      <c r="EM88" s="255">
        <f>IFERROR(IF(AND((ET88+FB88+FE88+FC88+FD88)=ES88,EB88=0,EJ88=0,EK88=0,EL88=0),$DZ88,0),0)</f>
        <v>0</v>
      </c>
      <c r="EN88" s="183"/>
      <c r="EO88" s="300">
        <f t="shared" si="479"/>
        <v>0</v>
      </c>
      <c r="EP88" s="300">
        <f t="shared" si="480"/>
        <v>0</v>
      </c>
      <c r="EQ88" s="300">
        <f t="shared" si="481"/>
        <v>0</v>
      </c>
      <c r="ES88" s="297">
        <f>COUNTIF('LS | Drawing List'!$H:$H,$B88)</f>
        <v>0</v>
      </c>
      <c r="ET88" s="191">
        <f>COUNTIFS('LS | Drawing List'!$H:$H,$B88,INDEX('LS | Drawing List'!$A:$V,,MATCH('Design Fee'!ET$8,'LS | Drawing List'!$A$1:$V$1,0)),1)</f>
        <v>0</v>
      </c>
      <c r="EU88" s="191">
        <f>COUNTIFS('LS | Drawing List'!$H:$H,$B88,INDEX('LS | Drawing List'!$K:$V,,MATCH('Design Fee'!EU$8,'LS | Drawing List'!$K$1:$V$1,0)),1)</f>
        <v>0</v>
      </c>
      <c r="EV88" s="191">
        <f>COUNTIFS('LS | Drawing List'!$H:$H,$B88,INDEX('LS | Drawing List'!$K:$V,,MATCH('Design Fee'!EV$8,'LS | Drawing List'!$K$1:$V$1,0)),1)</f>
        <v>0</v>
      </c>
      <c r="EW88" s="191">
        <f>COUNTIFS('LS | Drawing List'!$H:$H,$B88,INDEX('LS | Drawing List'!$K:$V,,MATCH('Design Fee'!EW$8,'LS | Drawing List'!$K$1:$V$1,0)),1)</f>
        <v>0</v>
      </c>
      <c r="EX88" s="191">
        <f>COUNTIFS('LS | Drawing List'!$H:$H,$B88,INDEX('LS | Drawing List'!$K:$V,,MATCH('Design Fee'!EX$8,'LS | Drawing List'!$K$1:$V$1,0)),1)</f>
        <v>0</v>
      </c>
      <c r="EY88" s="191">
        <f>COUNTIFS('LS | Drawing List'!$H:$H,$B88,INDEX('LS | Drawing List'!$K:$V,,MATCH('Design Fee'!EY$8,'LS | Drawing List'!$K$1:$V$1,0)),1)</f>
        <v>0</v>
      </c>
      <c r="EZ88" s="198"/>
      <c r="FA88" s="191">
        <f>COUNTIFS('LS | Drawing List'!$H:$H,$B88,INDEX('LS | Drawing List'!$K:$V,,MATCH('Design Fee'!FA$8,'LS | Drawing List'!$K$1:$V$1,0)),1)</f>
        <v>0</v>
      </c>
      <c r="FB88" s="191">
        <f>COUNTIFS('LS | Drawing List'!$H:$H,$B88,INDEX('LS | Drawing List'!$K:$V,,MATCH('Design Fee'!FB$8,'LS | Drawing List'!$K$1:$V$1,0)),1)</f>
        <v>0</v>
      </c>
      <c r="FC88" s="191">
        <f>COUNTIFS('LS | Drawing List'!$H:$H,$B88,INDEX('LS | Drawing List'!$K:$V,,MATCH('Design Fee'!FC$8,'LS | Drawing List'!$K$1:$V$1,0)),1)</f>
        <v>0</v>
      </c>
      <c r="FD88" s="191">
        <f>COUNTIFS('LS | Drawing List'!$H:$H,$B88,INDEX('LS | Drawing List'!$K:$V,,MATCH('Design Fee'!FD$8,'LS | Drawing List'!$K$1:$V$1,0)),1)</f>
        <v>0</v>
      </c>
      <c r="FE88" s="191">
        <f>COUNTIFS('LS | Drawing List'!$H:$H,$B88,INDEX('LS | Drawing List'!$K:$V,,MATCH('Design Fee'!FE$8,'LS | Drawing List'!$K$1:$V$1,0)),1)</f>
        <v>0</v>
      </c>
      <c r="FF88" s="207"/>
    </row>
    <row r="89" spans="2:162" ht="11.85" customHeight="1" outlineLevel="2">
      <c r="B89" s="459" t="s">
        <v>166</v>
      </c>
      <c r="C89" s="280" t="s">
        <v>106</v>
      </c>
      <c r="E89" s="253">
        <f t="shared" si="435"/>
        <v>5.9331400000000006E-2</v>
      </c>
      <c r="F89" s="253">
        <f t="shared" si="435"/>
        <v>0</v>
      </c>
      <c r="G89" s="254">
        <f t="shared" si="447"/>
        <v>5.9331400000000006E-2</v>
      </c>
      <c r="H89" s="253">
        <f t="shared" si="437"/>
        <v>0</v>
      </c>
      <c r="I89" s="253">
        <f t="shared" si="437"/>
        <v>5.9331400000000006E-2</v>
      </c>
      <c r="J89" s="253">
        <f t="shared" si="437"/>
        <v>3.4900000000000007E-2</v>
      </c>
      <c r="K89" s="253">
        <f t="shared" si="437"/>
        <v>0</v>
      </c>
      <c r="L89" s="253">
        <f t="shared" si="437"/>
        <v>2.4431400000000002E-2</v>
      </c>
      <c r="M89" s="253">
        <f t="shared" si="437"/>
        <v>0</v>
      </c>
      <c r="N89" s="256"/>
      <c r="O89" s="253">
        <f t="shared" si="438"/>
        <v>0</v>
      </c>
      <c r="P89" s="253">
        <f t="shared" si="438"/>
        <v>0</v>
      </c>
      <c r="Q89" s="253">
        <f t="shared" si="438"/>
        <v>0</v>
      </c>
      <c r="R89" s="253">
        <f t="shared" si="438"/>
        <v>0</v>
      </c>
      <c r="S89" s="253">
        <f t="shared" si="438"/>
        <v>0</v>
      </c>
      <c r="T89" s="169"/>
      <c r="U89" s="183"/>
      <c r="V89" s="232">
        <v>0.05</v>
      </c>
      <c r="W89" s="222"/>
      <c r="X89" s="253">
        <f t="shared" si="482"/>
        <v>3.4900000000000007E-2</v>
      </c>
      <c r="Y89" s="253">
        <f>Z89+AG89</f>
        <v>0</v>
      </c>
      <c r="Z89" s="254">
        <f t="shared" si="448"/>
        <v>0</v>
      </c>
      <c r="AA89" s="255">
        <f t="shared" si="449"/>
        <v>3.4900000000000007E-2</v>
      </c>
      <c r="AB89" s="255">
        <f t="shared" si="450"/>
        <v>3.4900000000000007E-2</v>
      </c>
      <c r="AC89" s="255">
        <f t="shared" si="451"/>
        <v>0</v>
      </c>
      <c r="AD89" s="255">
        <f t="shared" si="452"/>
        <v>0</v>
      </c>
      <c r="AE89" s="255">
        <f t="shared" si="453"/>
        <v>0</v>
      </c>
      <c r="AF89" s="256"/>
      <c r="AG89" s="255">
        <f t="shared" si="454"/>
        <v>0</v>
      </c>
      <c r="AH89" s="255">
        <f t="shared" si="455"/>
        <v>0</v>
      </c>
      <c r="AI89" s="255">
        <f t="shared" si="483"/>
        <v>0</v>
      </c>
      <c r="AJ89" s="255">
        <f t="shared" si="457"/>
        <v>0</v>
      </c>
      <c r="AK89" s="255">
        <f t="shared" si="458"/>
        <v>0</v>
      </c>
      <c r="AL89" s="169"/>
      <c r="AM89" s="279">
        <f t="shared" si="459"/>
        <v>0</v>
      </c>
      <c r="AN89" s="279">
        <f t="shared" si="460"/>
        <v>1</v>
      </c>
      <c r="AO89" s="279">
        <f t="shared" si="461"/>
        <v>0</v>
      </c>
      <c r="AQ89" s="364">
        <f>COUNTIF('AR | Drawing List'!$H:$H,$B89)</f>
        <v>2</v>
      </c>
      <c r="AR89" s="365">
        <f>COUNTIFS('AR | Drawing List'!$H:$H,$B89,INDEX('AR | Drawing List'!$A:$AT,,MATCH('Design Fee'!AR$8,'AR | Drawing List'!$A$1:$AT$1,0)),1)</f>
        <v>0</v>
      </c>
      <c r="AS89" s="365">
        <f>COUNTIFS('AR | Drawing List'!$H:$H,$B89,INDEX('AR | Drawing List'!$K:$AT,,MATCH('Design Fee'!AS$8,'AR | Drawing List'!$K$1:$AT$1,0)),1)</f>
        <v>2</v>
      </c>
      <c r="AT89" s="365">
        <f>COUNTIFS('AR | Drawing List'!$H:$H,$B89,INDEX('AR | Drawing List'!$K:$AT,,MATCH('Design Fee'!AT$8,'AR | Drawing List'!$K$1:$AT$1,0)),1)</f>
        <v>2</v>
      </c>
      <c r="AU89" s="365">
        <f>COUNTIFS('AR | Drawing List'!$H:$H,$B89,INDEX('AR | Drawing List'!$K:$AT,,MATCH('Design Fee'!AU$8,'AR | Drawing List'!$K$1:$AT$1,0)),1)</f>
        <v>0</v>
      </c>
      <c r="AV89" s="365">
        <f>COUNTIFS('AR | Drawing List'!$H:$H,$B89,INDEX('AR | Drawing List'!$K:$AT,,MATCH('Design Fee'!AV$8,'AR | Drawing List'!$K$1:$AT$1,0)),1)</f>
        <v>0</v>
      </c>
      <c r="AW89" s="365">
        <f>COUNTIFS('AR | Drawing List'!$H:$H,$B89,INDEX('AR | Drawing List'!$K:$AT,,MATCH('Design Fee'!AW$8,'AR | Drawing List'!$K$1:$AT$1,0)),1)</f>
        <v>0</v>
      </c>
      <c r="AX89" s="198"/>
      <c r="AY89" s="365">
        <f>COUNTIFS('AR | Drawing List'!$H:$H,$B89,INDEX('AR | Drawing List'!$K:$AT,,MATCH('Design Fee'!AY$8,'AR | Drawing List'!$K$1:$AT$1,0)),1)</f>
        <v>0</v>
      </c>
      <c r="AZ89" s="365">
        <f>COUNTIFS('AR | Drawing List'!$H:$H,$B89,INDEX('AR | Drawing List'!$K:$AT,,MATCH('Design Fee'!AZ$8,'AR | Drawing List'!$K$1:$AT$1,0)),1)</f>
        <v>0</v>
      </c>
      <c r="BA89" s="365">
        <f>COUNTIFS('AR | Drawing List'!$H:$H,$B89,INDEX('AR | Drawing List'!$K:$AT,,MATCH('Design Fee'!BA$8,'AR | Drawing List'!$K$1:$AT$1,0)),1)</f>
        <v>0</v>
      </c>
      <c r="BB89" s="365">
        <f>COUNTIFS('AR | Drawing List'!$H:$H,$B89,INDEX('AR | Drawing List'!$K:$AT,,MATCH('Design Fee'!BB$8,'AR | Drawing List'!$K$1:$AT$1,0)),1)</f>
        <v>0</v>
      </c>
      <c r="BC89" s="365">
        <f>COUNTIFS('AR | Drawing List'!$H:$H,$B89,INDEX('AR | Drawing List'!$K:$AT,,MATCH('Design Fee'!BC$8,'AR | Drawing List'!$K$1:$AT$1,0)),1)</f>
        <v>0</v>
      </c>
      <c r="BE89" s="232">
        <v>0</v>
      </c>
      <c r="BF89" s="222"/>
      <c r="BG89" s="253"/>
      <c r="BH89" s="253">
        <f>BI89+BP89</f>
        <v>0</v>
      </c>
      <c r="BI89" s="254">
        <f t="shared" si="462"/>
        <v>0</v>
      </c>
      <c r="BJ89" s="255">
        <f t="shared" si="463"/>
        <v>0</v>
      </c>
      <c r="BK89" s="255">
        <f t="shared" si="464"/>
        <v>0</v>
      </c>
      <c r="BL89" s="255">
        <f t="shared" si="465"/>
        <v>0</v>
      </c>
      <c r="BM89" s="255">
        <f t="shared" si="466"/>
        <v>0</v>
      </c>
      <c r="BN89" s="255">
        <f t="shared" si="467"/>
        <v>0</v>
      </c>
      <c r="BO89" s="256"/>
      <c r="BP89" s="255">
        <f t="shared" si="468"/>
        <v>0</v>
      </c>
      <c r="BQ89" s="255">
        <f t="shared" si="469"/>
        <v>0</v>
      </c>
      <c r="BR89" s="255">
        <f t="shared" si="470"/>
        <v>0</v>
      </c>
      <c r="BS89" s="255">
        <f t="shared" si="471"/>
        <v>0</v>
      </c>
      <c r="BT89" s="255">
        <f t="shared" si="472"/>
        <v>0</v>
      </c>
      <c r="BU89" s="169"/>
      <c r="BV89" s="279">
        <f t="shared" ref="BV89" si="487">IFERROR(CA89/BZ89,0)</f>
        <v>0</v>
      </c>
      <c r="BW89" s="279">
        <f t="shared" ref="BW89" si="488">IFERROR(CB89/BZ89,0)</f>
        <v>0</v>
      </c>
      <c r="BX89" s="279">
        <f>IFERROR(#REF!/BZ89,0)</f>
        <v>0</v>
      </c>
      <c r="BZ89" s="297">
        <f>COUNTIF('ST | Drawing List'!$G:$G,$B89)</f>
        <v>0</v>
      </c>
      <c r="CA89" s="191">
        <f>COUNTIFS('ST | Drawing List'!$G:$G,$B89,INDEX('ST | Drawing List'!$A:$U,,MATCH('Design Fee'!CA$8,'ST | Drawing List'!$A$1:$U$1,0)),1)</f>
        <v>0</v>
      </c>
      <c r="CB89" s="191">
        <f>COUNTIFS('ST | Drawing List'!$G:$G,$B89,INDEX('ST | Drawing List'!$J:$U,,MATCH('Design Fee'!CB$8,'ST | Drawing List'!$J$1:$U$1,0)),1)</f>
        <v>0</v>
      </c>
      <c r="CC89" s="191">
        <f>COUNTIFS('ST | Drawing List'!$G:$G,$B89,INDEX('ST | Drawing List'!$J:$U,,MATCH('Design Fee'!CC$8,'ST | Drawing List'!$J$1:$U$1,0)),1)</f>
        <v>0</v>
      </c>
      <c r="CD89" s="191">
        <f>COUNTIFS('ST | Drawing List'!$G:$G,$B89,INDEX('ST | Drawing List'!$J:$U,,MATCH('Design Fee'!CD$8,'ST | Drawing List'!$J$1:$U$1,0)),1)</f>
        <v>0</v>
      </c>
      <c r="CE89" s="191">
        <f>COUNTIFS('ST | Drawing List'!$G:$G,$B89,INDEX('ST | Drawing List'!$J:$U,,MATCH('Design Fee'!CE$8,'ST | Drawing List'!$J$1:$U$1,0)),1)</f>
        <v>0</v>
      </c>
      <c r="CF89" s="191">
        <f>COUNTIFS('ST | Drawing List'!$G:$G,$B89,INDEX('ST | Drawing List'!$J:$U,,MATCH('Design Fee'!CF$8,'ST | Drawing List'!$J$1:$U$1,0)),1)</f>
        <v>0</v>
      </c>
      <c r="CG89" s="198"/>
      <c r="CH89" s="191">
        <f>COUNTIFS('ST | Drawing List'!$G:$G,$B89,INDEX('ST | Drawing List'!$J:$U,,MATCH('Design Fee'!CH$8,'ST | Drawing List'!$J$1:$U$1,0)),1)</f>
        <v>0</v>
      </c>
      <c r="CI89" s="191">
        <f>COUNTIFS('ST | Drawing List'!$G:$G,$B89,INDEX('ST | Drawing List'!$J:$U,,MATCH('Design Fee'!CI$8,'ST | Drawing List'!$J$1:$U$1,0)),1)</f>
        <v>0</v>
      </c>
      <c r="CJ89" s="191">
        <f>COUNTIFS('ST | Drawing List'!$G:$G,$B89,INDEX('ST | Drawing List'!$J:$U,,MATCH('Design Fee'!CJ$8,'ST | Drawing List'!$J$1:$U$1,0)),1)</f>
        <v>0</v>
      </c>
      <c r="CK89" s="191">
        <f>COUNTIFS('ST | Drawing List'!$G:$G,$B89,INDEX('ST | Drawing List'!$J:$U,,MATCH('Design Fee'!CK$8,'ST | Drawing List'!$J$1:$U$1,0)),1)</f>
        <v>0</v>
      </c>
      <c r="CL89" s="191">
        <f>COUNTIFS('ST | Drawing List'!$G:$G,$B89,INDEX('ST | Drawing List'!$J:$U,,MATCH('Design Fee'!CL$8,'ST | Drawing List'!$J$1:$U$1,0)),1)</f>
        <v>0</v>
      </c>
      <c r="CN89" s="221">
        <v>0</v>
      </c>
      <c r="CO89" s="222"/>
      <c r="CP89" s="253">
        <f t="shared" si="485"/>
        <v>0</v>
      </c>
      <c r="CQ89" s="253">
        <f>CR89+CY89</f>
        <v>0</v>
      </c>
      <c r="CR89" s="254">
        <f>IFERROR(IF(DE89=100%,$CP89,0),0)</f>
        <v>0</v>
      </c>
      <c r="CS89" s="255">
        <f>IFERROR(IF(AND((DE89+DF89)=100%,DE89&lt;1),$CP89,0),0)</f>
        <v>0</v>
      </c>
      <c r="CT89" s="255">
        <f>IFERROR(IF(AND((DJ89+DL89)=DI89,CR89=0),$CP89,0),0)</f>
        <v>0</v>
      </c>
      <c r="CU89" s="255">
        <f>IFERROR(IF(AND((DJ89+DL89+DM89)=DI89,CR89=0,CT89=0),$CP89,0),0)</f>
        <v>0</v>
      </c>
      <c r="CV89" s="255">
        <f>IFERROR(IF(AND((DJ89+DL89+DM89+DN89)=DI89,CR89=0,CT89=0,CU89=0),$CP89,0),0)</f>
        <v>0</v>
      </c>
      <c r="CW89" s="255">
        <f>IFERROR(IF(AND((DJ89+DL89+DM89+DN89+DO89)=DI89,CR89=0,CT89=0,CU89=0,CV89=0),$CP89,0),0)</f>
        <v>0</v>
      </c>
      <c r="CX89" s="256"/>
      <c r="CY89" s="255">
        <f>IFERROR(IF(AND((DE89+DG89)=100%,DE89&lt;1),$CP89,0),0)</f>
        <v>0</v>
      </c>
      <c r="CZ89" s="255">
        <f>IFERROR(IF(AND((DJ89+DR89)=DI89,CR89=0),$CP89,0),0)</f>
        <v>0</v>
      </c>
      <c r="DA89" s="255">
        <f t="shared" si="475"/>
        <v>0</v>
      </c>
      <c r="DB89" s="255">
        <f>IFERROR(IF(AND((DJ89+DR89+DS89+DT89)=DI89,CR89=0,CZ89=0,DA89=0),$CP89,0),0)</f>
        <v>0</v>
      </c>
      <c r="DC89" s="255">
        <f>IFERROR(IF(AND((DJ89+DR89+DU89+DS89+DT89)=DI89,CR89=0,CZ89=0,DA89=0,DB89=0),$CP89,0),0)</f>
        <v>0</v>
      </c>
      <c r="DD89" s="183"/>
      <c r="DE89" s="300">
        <f t="shared" ref="DE89" si="489">IFERROR(DJ89/DI89,0)</f>
        <v>0</v>
      </c>
      <c r="DF89" s="300">
        <f t="shared" ref="DF89" si="490">IFERROR(DK89/DI89,0)</f>
        <v>0</v>
      </c>
      <c r="DG89" s="300">
        <f t="shared" si="478"/>
        <v>0</v>
      </c>
      <c r="DI89" s="297">
        <f>COUNTIF('MEP | Drawing List'!$I:$I,$B89)</f>
        <v>0</v>
      </c>
      <c r="DJ89" s="191">
        <f>COUNTIFS('MEP | Drawing List'!$I:$I,$B89,INDEX('MEP | Drawing List'!$B:$X,,MATCH('Design Fee'!DJ$8,'MEP | Drawing List'!$B$1:$X$1,0)),1)</f>
        <v>0</v>
      </c>
      <c r="DK89" s="191">
        <f>COUNTIFS('MEP | Drawing List'!$I:$I,$B89,INDEX('MEP | Drawing List'!$L:$X,,MATCH('Design Fee'!DK$8,'MEP | Drawing List'!$L$1:$X$1,0)),1)</f>
        <v>0</v>
      </c>
      <c r="DL89" s="191">
        <f>COUNTIFS('MEP | Drawing List'!$I:$I,$B89,INDEX('MEP | Drawing List'!$L:$X,,MATCH('Design Fee'!DL$8,'MEP | Drawing List'!$L$1:$X$1,0)),1)</f>
        <v>0</v>
      </c>
      <c r="DM89" s="191">
        <f>COUNTIFS('MEP | Drawing List'!$I:$I,$B89,INDEX('MEP | Drawing List'!$L:$X,,MATCH('Design Fee'!DM$8,'MEP | Drawing List'!$L$1:$X$1,0)),1)</f>
        <v>0</v>
      </c>
      <c r="DN89" s="191">
        <f>COUNTIFS('MEP | Drawing List'!$I:$I,$B89,INDEX('MEP | Drawing List'!$L:$X,,MATCH('Design Fee'!DN$8,'MEP | Drawing List'!$L$1:$X$1,0)),1)</f>
        <v>0</v>
      </c>
      <c r="DO89" s="191">
        <f>COUNTIFS('MEP | Drawing List'!$I:$I,$B89,INDEX('MEP | Drawing List'!$L:$X,,MATCH('Design Fee'!DO$8,'MEP | Drawing List'!$L$1:$X$1,0)),1)</f>
        <v>0</v>
      </c>
      <c r="DP89" s="198"/>
      <c r="DQ89" s="191">
        <f>COUNTIFS('MEP | Drawing List'!$I:$I,$B89,INDEX('MEP | Drawing List'!$L:$X,,MATCH('Design Fee'!DQ$8,'MEP | Drawing List'!$L$1:$X$1,0)),1)</f>
        <v>0</v>
      </c>
      <c r="DR89" s="191">
        <f>COUNTIFS('MEP | Drawing List'!$I:$I,$B89,INDEX('MEP | Drawing List'!$L:$X,,MATCH('Design Fee'!DR$8,'MEP | Drawing List'!$L$1:$X$1,0)),1)</f>
        <v>0</v>
      </c>
      <c r="DS89" s="191">
        <f>COUNTIFS('MEP | Drawing List'!$I:$I,$B89,INDEX('MEP | Drawing List'!$L:$X,,MATCH('Design Fee'!DS$8,'MEP | Drawing List'!$L$1:$X$1,0)),1)</f>
        <v>0</v>
      </c>
      <c r="DT89" s="191">
        <f>COUNTIFS('MEP | Drawing List'!$I:$I,$B89,INDEX('MEP | Drawing List'!$L:$X,,MATCH('Design Fee'!DT$8,'MEP | Drawing List'!$L$1:$X$1,0)),1)</f>
        <v>0</v>
      </c>
      <c r="DU89" s="191">
        <f>COUNTIFS('MEP | Drawing List'!$I:$I,$B89,INDEX('MEP | Drawing List'!$L:$X,,MATCH('Design Fee'!DU$8,'MEP | Drawing List'!$L$1:$X$1,0)),1)</f>
        <v>0</v>
      </c>
      <c r="DV89" s="207"/>
      <c r="DX89" s="232">
        <v>0.3</v>
      </c>
      <c r="DY89" s="222"/>
      <c r="DZ89" s="253">
        <f t="shared" si="486"/>
        <v>2.4431400000000002E-2</v>
      </c>
      <c r="EA89" s="253">
        <f>EB89+EI89</f>
        <v>0</v>
      </c>
      <c r="EB89" s="254">
        <f>IFERROR(IF(EO89=100%,$DZ89,0),0)</f>
        <v>0</v>
      </c>
      <c r="EC89" s="255">
        <f>IFERROR(IF(AND((EO89+EP89)=100%,EO89&lt;1),$DZ89,0),0)</f>
        <v>2.4431400000000002E-2</v>
      </c>
      <c r="ED89" s="255">
        <f>IFERROR(IF(AND((ET89+EV89)=ES89,EB89=0),$DZ89,0),0)</f>
        <v>0</v>
      </c>
      <c r="EE89" s="255">
        <f>IFERROR(IF(AND((ET89+EV89+EW89)=ES89,EB89=0,ED89=0),$DZ89,0),0)</f>
        <v>0</v>
      </c>
      <c r="EF89" s="255">
        <f>IFERROR(IF(AND((ET89+EV89+EW89+EX89)=ES89,EB89=0,ED89=0,EE89=0),$DZ89,0),0)</f>
        <v>2.4431400000000002E-2</v>
      </c>
      <c r="EG89" s="255">
        <f>IFERROR(IF(AND((ET89+EV89+EW89+EX89+EY89)=ES89,EB89=0,ED89=0,EE89=0,EF89=0),$DZ89,0),0)</f>
        <v>0</v>
      </c>
      <c r="EH89" s="256"/>
      <c r="EI89" s="255">
        <f>IFERROR(IF(AND((EO89+EQ89)=100%,EO89&lt;1),$DZ89,0),0)</f>
        <v>0</v>
      </c>
      <c r="EJ89" s="255">
        <f>IFERROR(IF(AND((ET89+FB89)=ES89,EB89=0),$DZ89,0),0)</f>
        <v>0</v>
      </c>
      <c r="EK89" s="255">
        <f>IFERROR(IF(AND((ET89+FB89+FC89)=ES89,EB89=0,EJ89=0),DZ89,0),0)</f>
        <v>0</v>
      </c>
      <c r="EL89" s="255">
        <f>IFERROR(IF(AND((ET89+FB89+FC89+FD89)=ES89,EB89=0,EJ89=0,EK89=0),$DZ89,0),0)</f>
        <v>0</v>
      </c>
      <c r="EM89" s="255">
        <f>IFERROR(IF(AND((ET89+FB89+FE89+FC89+FD89)=ES89,EB89=0,EJ89=0,EK89=0,EL89=0),$DZ89,0),0)</f>
        <v>0</v>
      </c>
      <c r="EN89" s="183"/>
      <c r="EO89" s="300">
        <f t="shared" ref="EO89" si="491">IFERROR(ET89/ES89,0)</f>
        <v>0</v>
      </c>
      <c r="EP89" s="300">
        <f t="shared" ref="EP89" si="492">IFERROR(EU89/ES89,0)</f>
        <v>1</v>
      </c>
      <c r="EQ89" s="300">
        <f t="shared" si="481"/>
        <v>0</v>
      </c>
      <c r="ES89" s="297">
        <f>COUNTIF('LS | Drawing List'!$H:$H,$B89)</f>
        <v>3</v>
      </c>
      <c r="ET89" s="191">
        <f>COUNTIFS('LS | Drawing List'!$H:$H,$B89,INDEX('LS | Drawing List'!$A:$V,,MATCH('Design Fee'!ET$8,'LS | Drawing List'!$A$1:$V$1,0)),1)</f>
        <v>0</v>
      </c>
      <c r="EU89" s="191">
        <f>COUNTIFS('LS | Drawing List'!$H:$H,$B89,INDEX('LS | Drawing List'!$K:$V,,MATCH('Design Fee'!EU$8,'LS | Drawing List'!$K$1:$V$1,0)),1)</f>
        <v>3</v>
      </c>
      <c r="EV89" s="191">
        <f>COUNTIFS('LS | Drawing List'!$H:$H,$B89,INDEX('LS | Drawing List'!$K:$V,,MATCH('Design Fee'!EV$8,'LS | Drawing List'!$K$1:$V$1,0)),1)</f>
        <v>0</v>
      </c>
      <c r="EW89" s="191">
        <f>COUNTIFS('LS | Drawing List'!$H:$H,$B89,INDEX('LS | Drawing List'!$K:$V,,MATCH('Design Fee'!EW$8,'LS | Drawing List'!$K$1:$V$1,0)),1)</f>
        <v>0</v>
      </c>
      <c r="EX89" s="191">
        <f>COUNTIFS('LS | Drawing List'!$H:$H,$B89,INDEX('LS | Drawing List'!$K:$V,,MATCH('Design Fee'!EX$8,'LS | Drawing List'!$K$1:$V$1,0)),1)</f>
        <v>3</v>
      </c>
      <c r="EY89" s="191">
        <f>COUNTIFS('LS | Drawing List'!$H:$H,$B89,INDEX('LS | Drawing List'!$K:$V,,MATCH('Design Fee'!EY$8,'LS | Drawing List'!$K$1:$V$1,0)),1)</f>
        <v>0</v>
      </c>
      <c r="EZ89" s="198"/>
      <c r="FA89" s="191">
        <f>COUNTIFS('LS | Drawing List'!$H:$H,$B89,INDEX('LS | Drawing List'!$K:$V,,MATCH('Design Fee'!FA$8,'LS | Drawing List'!$K$1:$V$1,0)),1)</f>
        <v>0</v>
      </c>
      <c r="FB89" s="191">
        <f>COUNTIFS('LS | Drawing List'!$H:$H,$B89,INDEX('LS | Drawing List'!$K:$V,,MATCH('Design Fee'!FB$8,'LS | Drawing List'!$K$1:$V$1,0)),1)</f>
        <v>0</v>
      </c>
      <c r="FC89" s="191">
        <f>COUNTIFS('LS | Drawing List'!$H:$H,$B89,INDEX('LS | Drawing List'!$K:$V,,MATCH('Design Fee'!FC$8,'LS | Drawing List'!$K$1:$V$1,0)),1)</f>
        <v>0</v>
      </c>
      <c r="FD89" s="191">
        <f>COUNTIFS('LS | Drawing List'!$H:$H,$B89,INDEX('LS | Drawing List'!$K:$V,,MATCH('Design Fee'!FD$8,'LS | Drawing List'!$K$1:$V$1,0)),1)</f>
        <v>0</v>
      </c>
      <c r="FE89" s="191">
        <f>COUNTIFS('LS | Drawing List'!$H:$H,$B89,INDEX('LS | Drawing List'!$K:$V,,MATCH('Design Fee'!FE$8,'LS | Drawing List'!$K$1:$V$1,0)),1)</f>
        <v>0</v>
      </c>
      <c r="FF89" s="207"/>
    </row>
    <row r="90" spans="2:162" ht="3" customHeight="1" outlineLevel="1">
      <c r="B90" s="241"/>
      <c r="H90" s="254"/>
      <c r="I90" s="254"/>
      <c r="J90" s="254"/>
      <c r="K90" s="254"/>
      <c r="L90" s="254"/>
      <c r="M90" s="254"/>
      <c r="N90" s="260"/>
      <c r="O90" s="254"/>
      <c r="P90" s="254"/>
      <c r="Q90" s="254"/>
      <c r="R90" s="254"/>
      <c r="S90" s="254"/>
      <c r="T90" s="169"/>
      <c r="U90" s="183"/>
      <c r="V90" s="232"/>
      <c r="W90" s="222"/>
      <c r="X90" s="253"/>
      <c r="Y90" s="253"/>
      <c r="Z90" s="254"/>
      <c r="AA90" s="254"/>
      <c r="AB90" s="254"/>
      <c r="AC90" s="254"/>
      <c r="AD90" s="254"/>
      <c r="AE90" s="254"/>
      <c r="AF90" s="260"/>
      <c r="AG90" s="255"/>
      <c r="AH90" s="255"/>
      <c r="AI90" s="255"/>
      <c r="AJ90" s="255"/>
      <c r="AK90" s="255"/>
      <c r="AL90" s="169"/>
      <c r="AY90" s="275"/>
      <c r="AZ90" s="275"/>
      <c r="BA90" s="275"/>
      <c r="BB90" s="275"/>
      <c r="BC90" s="275"/>
      <c r="BE90" s="239"/>
      <c r="BF90" s="222"/>
      <c r="BG90" s="253"/>
      <c r="BH90" s="253"/>
      <c r="BI90" s="254"/>
      <c r="BJ90" s="254"/>
      <c r="BK90" s="254"/>
      <c r="BL90" s="254"/>
      <c r="BM90" s="254"/>
      <c r="BN90" s="254"/>
      <c r="BO90" s="260"/>
      <c r="BP90" s="255"/>
      <c r="BQ90" s="255"/>
      <c r="BR90" s="255"/>
      <c r="BS90" s="255"/>
      <c r="BT90" s="255"/>
      <c r="BU90" s="169"/>
      <c r="CH90" s="275"/>
      <c r="CI90" s="275"/>
      <c r="CJ90" s="275"/>
      <c r="CK90" s="275"/>
      <c r="CL90" s="275"/>
      <c r="CN90" s="239"/>
      <c r="CO90" s="222"/>
      <c r="CP90" s="253"/>
      <c r="CQ90" s="253"/>
      <c r="CR90" s="254"/>
      <c r="CS90" s="254"/>
      <c r="CT90" s="254"/>
      <c r="CU90" s="254"/>
      <c r="CV90" s="254"/>
      <c r="CW90" s="254"/>
      <c r="CX90" s="260"/>
      <c r="CY90" s="255"/>
      <c r="CZ90" s="255"/>
      <c r="DA90" s="255"/>
      <c r="DB90" s="255"/>
      <c r="DC90" s="255"/>
      <c r="DD90" s="183"/>
      <c r="DQ90" s="275"/>
      <c r="DR90" s="275"/>
      <c r="DS90" s="275"/>
      <c r="DT90" s="275"/>
      <c r="DU90" s="275"/>
      <c r="DV90" s="275"/>
      <c r="DX90" s="239"/>
      <c r="DY90" s="222"/>
      <c r="DZ90" s="253"/>
      <c r="EA90" s="253"/>
      <c r="EB90" s="254"/>
      <c r="EC90" s="254"/>
      <c r="ED90" s="254"/>
      <c r="EE90" s="254"/>
      <c r="EF90" s="254"/>
      <c r="EG90" s="254"/>
      <c r="EH90" s="260"/>
      <c r="EI90" s="255"/>
      <c r="EJ90" s="255"/>
      <c r="EK90" s="255"/>
      <c r="EL90" s="255"/>
      <c r="EM90" s="255"/>
      <c r="EN90" s="183"/>
      <c r="FA90" s="275"/>
      <c r="FB90" s="275"/>
      <c r="FC90" s="275"/>
      <c r="FD90" s="275"/>
      <c r="FE90" s="275"/>
      <c r="FF90" s="275"/>
    </row>
    <row r="91" spans="2:162" ht="15" outlineLevel="1">
      <c r="B91" s="208" t="s">
        <v>107</v>
      </c>
      <c r="C91" s="209" t="s">
        <v>108</v>
      </c>
      <c r="D91" s="313"/>
      <c r="E91" s="332">
        <f t="shared" ref="E91:F96" si="493">X91+BG91+CP91+DZ91</f>
        <v>0.16619595500000003</v>
      </c>
      <c r="F91" s="332">
        <f t="shared" si="493"/>
        <v>0</v>
      </c>
      <c r="G91" s="332">
        <f t="shared" ref="G91" si="494">E91-F91</f>
        <v>0.16619595500000003</v>
      </c>
      <c r="H91" s="332">
        <f t="shared" ref="H91:M96" si="495">Z91+BI91+CR91+EB91</f>
        <v>0</v>
      </c>
      <c r="I91" s="332">
        <f t="shared" si="495"/>
        <v>0.16619595500000003</v>
      </c>
      <c r="J91" s="332">
        <f t="shared" si="495"/>
        <v>3.2400000000000005E-2</v>
      </c>
      <c r="K91" s="332">
        <f t="shared" si="495"/>
        <v>8.3929430000000027E-2</v>
      </c>
      <c r="L91" s="332">
        <f t="shared" si="495"/>
        <v>4.9866525000000009E-2</v>
      </c>
      <c r="M91" s="332">
        <f t="shared" si="495"/>
        <v>0</v>
      </c>
      <c r="N91" s="333"/>
      <c r="O91" s="334">
        <f t="shared" ref="O91:S96" si="496">AG91+BP91+CY91+EI91</f>
        <v>0</v>
      </c>
      <c r="P91" s="334">
        <f t="shared" si="496"/>
        <v>0</v>
      </c>
      <c r="Q91" s="334">
        <f t="shared" si="496"/>
        <v>0</v>
      </c>
      <c r="R91" s="334">
        <f t="shared" si="496"/>
        <v>0</v>
      </c>
      <c r="S91" s="334">
        <f t="shared" si="496"/>
        <v>0</v>
      </c>
      <c r="T91" s="331"/>
      <c r="U91" s="183"/>
      <c r="V91" s="210">
        <f>SUM(V92:V96)</f>
        <v>0.5</v>
      </c>
      <c r="W91" s="210"/>
      <c r="X91" s="251">
        <f>V91*($V$4*'BOQ COST'!$E$19)</f>
        <v>5.4000000000000006E-2</v>
      </c>
      <c r="Y91" s="251">
        <f t="shared" ref="Y91:Y96" si="497">Z91+AG91</f>
        <v>0</v>
      </c>
      <c r="Z91" s="295">
        <f>SUM(Z92:Z96)</f>
        <v>0</v>
      </c>
      <c r="AA91" s="295">
        <f>SUM(AA92:AA96)</f>
        <v>5.4000000000000006E-2</v>
      </c>
      <c r="AB91" s="295">
        <f t="shared" ref="AB91:AW91" si="498">SUM(AB92:AB96)</f>
        <v>3.2400000000000005E-2</v>
      </c>
      <c r="AC91" s="295">
        <f t="shared" si="498"/>
        <v>2.1600000000000005E-2</v>
      </c>
      <c r="AD91" s="295">
        <f t="shared" si="498"/>
        <v>0</v>
      </c>
      <c r="AE91" s="295">
        <f t="shared" si="498"/>
        <v>0</v>
      </c>
      <c r="AF91" s="252"/>
      <c r="AG91" s="296">
        <f>SUM(AG92:AG106)</f>
        <v>0</v>
      </c>
      <c r="AH91" s="296">
        <f>SUM(AH92:AH106)</f>
        <v>0</v>
      </c>
      <c r="AI91" s="296">
        <f>SUM(AI92:AI106)</f>
        <v>0</v>
      </c>
      <c r="AJ91" s="296">
        <f>SUM(AJ92:AJ106)</f>
        <v>0</v>
      </c>
      <c r="AK91" s="296">
        <f>SUM(AK92:AK106)</f>
        <v>0</v>
      </c>
      <c r="AL91" s="169"/>
      <c r="AM91" s="350"/>
      <c r="AN91" s="350"/>
      <c r="AO91" s="350"/>
      <c r="AP91" s="293">
        <f t="shared" si="498"/>
        <v>0</v>
      </c>
      <c r="AQ91" s="363">
        <f t="shared" si="498"/>
        <v>55</v>
      </c>
      <c r="AR91" s="363">
        <f t="shared" si="498"/>
        <v>0</v>
      </c>
      <c r="AS91" s="363">
        <f t="shared" si="498"/>
        <v>55</v>
      </c>
      <c r="AT91" s="363">
        <f t="shared" si="498"/>
        <v>30</v>
      </c>
      <c r="AU91" s="363">
        <f t="shared" si="498"/>
        <v>25</v>
      </c>
      <c r="AV91" s="363">
        <f t="shared" si="498"/>
        <v>0</v>
      </c>
      <c r="AW91" s="363">
        <f t="shared" si="498"/>
        <v>0</v>
      </c>
      <c r="AX91" s="216"/>
      <c r="AY91" s="366">
        <f>SUM(AY92:AY107)</f>
        <v>0</v>
      </c>
      <c r="AZ91" s="366">
        <f>SUM(AZ92:AZ96)</f>
        <v>0</v>
      </c>
      <c r="BA91" s="366">
        <f t="shared" ref="BA91:BC91" si="499">SUM(BA92:BA96)</f>
        <v>0</v>
      </c>
      <c r="BB91" s="366">
        <f t="shared" si="499"/>
        <v>0</v>
      </c>
      <c r="BC91" s="366">
        <f t="shared" si="499"/>
        <v>0</v>
      </c>
      <c r="BD91" s="219"/>
      <c r="BE91" s="294">
        <f>SUM(BE92:BE96)</f>
        <v>0</v>
      </c>
      <c r="BF91" s="210"/>
      <c r="BG91" s="251">
        <f>BE91*($V$4*'BOQ COST'!$E$19)</f>
        <v>0</v>
      </c>
      <c r="BH91" s="251">
        <f t="shared" ref="BH91:BH96" si="500">BI91+BP91</f>
        <v>0</v>
      </c>
      <c r="BI91" s="295">
        <f>SUM(BI92:BI96)</f>
        <v>0</v>
      </c>
      <c r="BJ91" s="295">
        <f>SUM(BJ92:BJ96)</f>
        <v>0</v>
      </c>
      <c r="BK91" s="295">
        <f t="shared" ref="BK91:BN91" si="501">SUM(BK92:BK96)</f>
        <v>0</v>
      </c>
      <c r="BL91" s="295">
        <f t="shared" si="501"/>
        <v>0</v>
      </c>
      <c r="BM91" s="295">
        <f t="shared" si="501"/>
        <v>0</v>
      </c>
      <c r="BN91" s="295">
        <f t="shared" si="501"/>
        <v>0</v>
      </c>
      <c r="BO91" s="252"/>
      <c r="BP91" s="296">
        <f>SUM(BP92:BP106)</f>
        <v>0</v>
      </c>
      <c r="BQ91" s="296">
        <f>SUM(BQ92:BQ106)</f>
        <v>0</v>
      </c>
      <c r="BR91" s="296">
        <f>SUM(BR92:BR106)</f>
        <v>0</v>
      </c>
      <c r="BS91" s="296">
        <f>SUM(BS92:BS106)</f>
        <v>0</v>
      </c>
      <c r="BT91" s="296">
        <f>SUM(BT92:BT106)</f>
        <v>0</v>
      </c>
      <c r="BU91" s="169"/>
      <c r="BV91" s="350"/>
      <c r="BW91" s="350"/>
      <c r="BX91" s="350"/>
      <c r="BY91" s="350">
        <f t="shared" ref="BY91:CF91" si="502">SUM(BY92:BY96)</f>
        <v>0</v>
      </c>
      <c r="BZ91" s="293">
        <f t="shared" si="502"/>
        <v>0</v>
      </c>
      <c r="CA91" s="293">
        <f t="shared" si="502"/>
        <v>0</v>
      </c>
      <c r="CB91" s="293">
        <f t="shared" si="502"/>
        <v>0</v>
      </c>
      <c r="CC91" s="293">
        <f t="shared" si="502"/>
        <v>0</v>
      </c>
      <c r="CD91" s="293">
        <f t="shared" si="502"/>
        <v>0</v>
      </c>
      <c r="CE91" s="293">
        <f t="shared" si="502"/>
        <v>0</v>
      </c>
      <c r="CF91" s="293">
        <f t="shared" si="502"/>
        <v>0</v>
      </c>
      <c r="CG91" s="216"/>
      <c r="CH91" s="298">
        <f>SUM(CH92:CH107)</f>
        <v>0</v>
      </c>
      <c r="CI91" s="298">
        <f>SUM(CI92:CI96)</f>
        <v>0</v>
      </c>
      <c r="CJ91" s="298">
        <f t="shared" ref="CJ91:CL91" si="503">SUM(CJ92:CJ96)</f>
        <v>0</v>
      </c>
      <c r="CK91" s="298">
        <f t="shared" si="503"/>
        <v>0</v>
      </c>
      <c r="CL91" s="298">
        <f t="shared" si="503"/>
        <v>0</v>
      </c>
      <c r="CM91" s="219"/>
      <c r="CN91" s="210">
        <f>SUM(CN92:CN96)</f>
        <v>0.65</v>
      </c>
      <c r="CO91" s="210"/>
      <c r="CP91" s="292">
        <f>CN91*($CN$4*'BOQ COST'!$G$19)</f>
        <v>5.0570000000000007E-3</v>
      </c>
      <c r="CQ91" s="251">
        <f t="shared" ref="CQ91:CQ96" si="504">CR91+CY91</f>
        <v>0</v>
      </c>
      <c r="CR91" s="295">
        <f>SUM(CR92:CR96)</f>
        <v>0</v>
      </c>
      <c r="CS91" s="295">
        <f>SUM(CS92:CS96)</f>
        <v>5.0570000000000007E-3</v>
      </c>
      <c r="CT91" s="295">
        <f t="shared" ref="CT91:CW91" si="505">SUM(CT92:CT96)</f>
        <v>0</v>
      </c>
      <c r="CU91" s="295">
        <f t="shared" si="505"/>
        <v>3.8900000000000002E-3</v>
      </c>
      <c r="CV91" s="295">
        <f t="shared" si="505"/>
        <v>1.1670000000000001E-3</v>
      </c>
      <c r="CW91" s="295">
        <f t="shared" si="505"/>
        <v>0</v>
      </c>
      <c r="CX91" s="252"/>
      <c r="CY91" s="296">
        <f>SUM(CY92:CY106)</f>
        <v>0</v>
      </c>
      <c r="CZ91" s="296">
        <f>SUM(CZ92:CZ106)</f>
        <v>0</v>
      </c>
      <c r="DA91" s="296">
        <f>SUM(DA92:DA106)</f>
        <v>0</v>
      </c>
      <c r="DB91" s="296">
        <f>SUM(DB92:DB106)</f>
        <v>0</v>
      </c>
      <c r="DC91" s="296">
        <f>SUM(DC92:DC106)</f>
        <v>0</v>
      </c>
      <c r="DD91" s="183"/>
      <c r="DE91" s="215"/>
      <c r="DF91" s="215"/>
      <c r="DG91" s="215"/>
      <c r="DH91" s="293">
        <f t="shared" ref="DH91:DO91" si="506">SUM(DH92:DH96)</f>
        <v>0</v>
      </c>
      <c r="DI91" s="293">
        <f t="shared" si="506"/>
        <v>9</v>
      </c>
      <c r="DJ91" s="293">
        <f t="shared" si="506"/>
        <v>1</v>
      </c>
      <c r="DK91" s="293">
        <f t="shared" si="506"/>
        <v>8</v>
      </c>
      <c r="DL91" s="293">
        <f t="shared" si="506"/>
        <v>0</v>
      </c>
      <c r="DM91" s="293">
        <f t="shared" si="506"/>
        <v>7</v>
      </c>
      <c r="DN91" s="293">
        <f t="shared" si="506"/>
        <v>1</v>
      </c>
      <c r="DO91" s="293">
        <f t="shared" si="506"/>
        <v>0</v>
      </c>
      <c r="DP91" s="216"/>
      <c r="DQ91" s="298">
        <f>SUM(DQ92:DQ107)</f>
        <v>0</v>
      </c>
      <c r="DR91" s="298">
        <f>SUM(DR92:DR96)</f>
        <v>0</v>
      </c>
      <c r="DS91" s="298">
        <f t="shared" ref="DS91:DU91" si="507">SUM(DS92:DS96)</f>
        <v>0</v>
      </c>
      <c r="DT91" s="298">
        <f t="shared" si="507"/>
        <v>0</v>
      </c>
      <c r="DU91" s="298">
        <f t="shared" si="507"/>
        <v>0</v>
      </c>
      <c r="DV91" s="218"/>
      <c r="DW91" s="219"/>
      <c r="DX91" s="210">
        <f>SUM(DX92:DX96)</f>
        <v>0.55000000000000004</v>
      </c>
      <c r="DY91" s="210"/>
      <c r="DZ91" s="292">
        <f>DX91*($DX$4*'BOQ COST'!$H$19)</f>
        <v>0.10713895500000002</v>
      </c>
      <c r="EA91" s="251">
        <f t="shared" ref="EA91:EA96" si="508">EB91+EI91</f>
        <v>0</v>
      </c>
      <c r="EB91" s="295">
        <f>SUM(EB92:EB96)</f>
        <v>0</v>
      </c>
      <c r="EC91" s="295">
        <f>SUM(EC92:EC96)</f>
        <v>0.10713895500000002</v>
      </c>
      <c r="ED91" s="295">
        <f t="shared" ref="ED91:EG91" si="509">SUM(ED92:ED96)</f>
        <v>0</v>
      </c>
      <c r="EE91" s="295">
        <f t="shared" si="509"/>
        <v>5.8439430000000014E-2</v>
      </c>
      <c r="EF91" s="295">
        <f t="shared" si="509"/>
        <v>4.8699525000000007E-2</v>
      </c>
      <c r="EG91" s="295">
        <f t="shared" si="509"/>
        <v>0</v>
      </c>
      <c r="EH91" s="252"/>
      <c r="EI91" s="296">
        <f>SUM(EI92:EI106)</f>
        <v>0</v>
      </c>
      <c r="EJ91" s="296">
        <f>SUM(EJ92:EJ106)</f>
        <v>0</v>
      </c>
      <c r="EK91" s="296">
        <f>SUM(EK92:EK106)</f>
        <v>0</v>
      </c>
      <c r="EL91" s="296">
        <f>SUM(EL92:EL106)</f>
        <v>0</v>
      </c>
      <c r="EM91" s="296">
        <f>SUM(EM92:EM106)</f>
        <v>0</v>
      </c>
      <c r="EN91" s="183"/>
      <c r="EO91" s="215"/>
      <c r="EP91" s="215"/>
      <c r="EQ91" s="215"/>
      <c r="ER91" s="293">
        <f t="shared" ref="ER91:EY91" si="510">SUM(ER92:ER96)</f>
        <v>0</v>
      </c>
      <c r="ES91" s="293">
        <f t="shared" si="510"/>
        <v>16</v>
      </c>
      <c r="ET91" s="293">
        <f t="shared" si="510"/>
        <v>0</v>
      </c>
      <c r="EU91" s="293">
        <f t="shared" si="510"/>
        <v>16</v>
      </c>
      <c r="EV91" s="293">
        <f t="shared" si="510"/>
        <v>0</v>
      </c>
      <c r="EW91" s="293">
        <f t="shared" si="510"/>
        <v>7</v>
      </c>
      <c r="EX91" s="293">
        <f t="shared" si="510"/>
        <v>9</v>
      </c>
      <c r="EY91" s="293">
        <f t="shared" si="510"/>
        <v>0</v>
      </c>
      <c r="EZ91" s="216"/>
      <c r="FA91" s="298">
        <f>SUM(FA92:FA107)</f>
        <v>0</v>
      </c>
      <c r="FB91" s="298">
        <f>SUM(FB92:FB96)</f>
        <v>0</v>
      </c>
      <c r="FC91" s="298">
        <f t="shared" ref="FC91:FE91" si="511">SUM(FC92:FC96)</f>
        <v>0</v>
      </c>
      <c r="FD91" s="298">
        <f t="shared" si="511"/>
        <v>0</v>
      </c>
      <c r="FE91" s="298">
        <f t="shared" si="511"/>
        <v>0</v>
      </c>
      <c r="FF91" s="218"/>
    </row>
    <row r="92" spans="2:162" ht="11.85" customHeight="1" outlineLevel="2">
      <c r="B92" s="459" t="s">
        <v>167</v>
      </c>
      <c r="C92" s="280" t="s">
        <v>110</v>
      </c>
      <c r="E92" s="253">
        <f t="shared" si="493"/>
        <v>0</v>
      </c>
      <c r="F92" s="253">
        <f t="shared" si="493"/>
        <v>0</v>
      </c>
      <c r="G92" s="254">
        <f t="shared" ref="G92:G96" si="512">E92-F92</f>
        <v>0</v>
      </c>
      <c r="H92" s="253">
        <f t="shared" si="495"/>
        <v>0</v>
      </c>
      <c r="I92" s="253">
        <f t="shared" si="495"/>
        <v>0</v>
      </c>
      <c r="J92" s="254">
        <f t="shared" si="495"/>
        <v>0</v>
      </c>
      <c r="K92" s="254">
        <f t="shared" si="495"/>
        <v>0</v>
      </c>
      <c r="L92" s="254">
        <f t="shared" si="495"/>
        <v>0</v>
      </c>
      <c r="M92" s="253">
        <f t="shared" si="495"/>
        <v>0</v>
      </c>
      <c r="N92" s="256"/>
      <c r="O92" s="253">
        <f t="shared" si="496"/>
        <v>0</v>
      </c>
      <c r="P92" s="253">
        <f t="shared" si="496"/>
        <v>0</v>
      </c>
      <c r="Q92" s="253">
        <f t="shared" si="496"/>
        <v>0</v>
      </c>
      <c r="R92" s="253">
        <f t="shared" si="496"/>
        <v>0</v>
      </c>
      <c r="S92" s="253">
        <f t="shared" si="496"/>
        <v>0</v>
      </c>
      <c r="T92" s="169"/>
      <c r="U92" s="183"/>
      <c r="V92" s="232">
        <v>0</v>
      </c>
      <c r="W92" s="222"/>
      <c r="X92" s="253">
        <f>$X$91/$V$91*V92</f>
        <v>0</v>
      </c>
      <c r="Y92" s="253">
        <f t="shared" si="497"/>
        <v>0</v>
      </c>
      <c r="Z92" s="254">
        <f t="shared" ref="Z92:Z96" si="513">IFERROR(IF(AM92=100%,$X92,0),0)</f>
        <v>0</v>
      </c>
      <c r="AA92" s="255">
        <f t="shared" ref="AA92:AA96" si="514">IFERROR(IF(AND((AM92+AN92)=100%,AM92&lt;1),$X92,0),0)</f>
        <v>0</v>
      </c>
      <c r="AB92" s="255">
        <f t="shared" ref="AB92:AB96" si="515">IFERROR(IF(AND((AR92+AT92)=AQ92,Z92=0),$X92,0),0)</f>
        <v>0</v>
      </c>
      <c r="AC92" s="255">
        <f t="shared" ref="AC92:AC96" si="516">IFERROR(IF(AND((AR92+AT92+AU92)=AQ92,Z92=0,AB92=0),$X92,0),0)</f>
        <v>0</v>
      </c>
      <c r="AD92" s="255">
        <f>IFERROR(IF(AND((AR92+AT92+AU92+AV92)=AQ92,Z92=0,AB92=0,AC92=0),$X92,0),0)</f>
        <v>0</v>
      </c>
      <c r="AE92" s="255">
        <f>IFERROR(IF(AND((AR92+AT92+AU92+AV92+AW92)=AQ92,Z92=0,AB92=0,AC92=0,AD92=0),$X92,0),0)</f>
        <v>0</v>
      </c>
      <c r="AF92" s="256"/>
      <c r="AG92" s="255">
        <f>IFERROR(IF(AND((AM92+AO92)=100%,AM92&lt;1),$X92,0),0)</f>
        <v>0</v>
      </c>
      <c r="AH92" s="255">
        <f>IFERROR(IF(AND((AR92+AZ92)=AQ92,Z92=0),$X92,0),0)</f>
        <v>0</v>
      </c>
      <c r="AI92" s="255">
        <f t="shared" ref="AI92:AI96" si="517">IFERROR(IF(AND((AR92+AZ92+BA92)=AQ92,Z92=0,AH92=0),X92,0),0)</f>
        <v>0</v>
      </c>
      <c r="AJ92" s="255">
        <f t="shared" ref="AJ92:AJ96" si="518">IFERROR(IF(AND((AR92+AZ92+BA92+BB92)=AQ92,Z92=0,AH92=0,AI92=0),$X92,0),0)</f>
        <v>0</v>
      </c>
      <c r="AK92" s="255">
        <f>IFERROR(IF(AND((AR92+AZ92+BC92+BA92+BB92)=AQ92,Z92=0,AH92=0,AI92=0,AJ92=0),$X92,0),0)</f>
        <v>0</v>
      </c>
      <c r="AL92" s="169"/>
      <c r="AM92" s="279">
        <f>IFERROR(AR92/AQ92,0)</f>
        <v>0</v>
      </c>
      <c r="AN92" s="279">
        <f>IFERROR(AS92/AQ92,0)</f>
        <v>1</v>
      </c>
      <c r="AO92" s="279">
        <f t="shared" ref="AO92:AO96" si="519">IFERROR(AY92/AQ92,0)</f>
        <v>0</v>
      </c>
      <c r="AQ92" s="364">
        <f>COUNTIF('AR | Drawing List'!$H:$H,$B92)</f>
        <v>10</v>
      </c>
      <c r="AR92" s="365">
        <f>COUNTIFS('AR | Drawing List'!$H:$H,$B92,INDEX('AR | Drawing List'!$A:$AT,,MATCH('Design Fee'!AR$8,'AR | Drawing List'!$A$1:$AT$1,0)),1)</f>
        <v>0</v>
      </c>
      <c r="AS92" s="365">
        <f>COUNTIFS('AR | Drawing List'!$H:$H,$B92,INDEX('AR | Drawing List'!$K:$AT,,MATCH('Design Fee'!AS$8,'AR | Drawing List'!$K$1:$AT$1,0)),1)</f>
        <v>10</v>
      </c>
      <c r="AT92" s="365">
        <f>COUNTIFS('AR | Drawing List'!$H:$H,$B92,INDEX('AR | Drawing List'!$K:$AT,,MATCH('Design Fee'!AT$8,'AR | Drawing List'!$K$1:$AT$1,0)),1)</f>
        <v>10</v>
      </c>
      <c r="AU92" s="365">
        <f>COUNTIFS('AR | Drawing List'!$H:$H,$B92,INDEX('AR | Drawing List'!$K:$AT,,MATCH('Design Fee'!AU$8,'AR | Drawing List'!$K$1:$AT$1,0)),1)</f>
        <v>0</v>
      </c>
      <c r="AV92" s="365">
        <f>COUNTIFS('AR | Drawing List'!$H:$H,$B92,INDEX('AR | Drawing List'!$K:$AT,,MATCH('Design Fee'!AV$8,'AR | Drawing List'!$K$1:$AT$1,0)),1)</f>
        <v>0</v>
      </c>
      <c r="AW92" s="365">
        <f>COUNTIFS('AR | Drawing List'!$H:$H,$B92,INDEX('AR | Drawing List'!$K:$AT,,MATCH('Design Fee'!AW$8,'AR | Drawing List'!$K$1:$AT$1,0)),1)</f>
        <v>0</v>
      </c>
      <c r="AX92" s="198"/>
      <c r="AY92" s="365">
        <f>COUNTIFS('AR | Drawing List'!$H:$H,$B92,INDEX('AR | Drawing List'!$K:$AT,,MATCH('Design Fee'!AY$8,'AR | Drawing List'!$K$1:$AT$1,0)),1)</f>
        <v>0</v>
      </c>
      <c r="AZ92" s="365">
        <f>COUNTIFS('AR | Drawing List'!$H:$H,$B92,INDEX('AR | Drawing List'!$K:$AT,,MATCH('Design Fee'!AZ$8,'AR | Drawing List'!$K$1:$AT$1,0)),1)</f>
        <v>0</v>
      </c>
      <c r="BA92" s="365">
        <f>COUNTIFS('AR | Drawing List'!$H:$H,$B92,INDEX('AR | Drawing List'!$K:$AT,,MATCH('Design Fee'!BA$8,'AR | Drawing List'!$K$1:$AT$1,0)),1)</f>
        <v>0</v>
      </c>
      <c r="BB92" s="365">
        <f>COUNTIFS('AR | Drawing List'!$H:$H,$B92,INDEX('AR | Drawing List'!$K:$AT,,MATCH('Design Fee'!BB$8,'AR | Drawing List'!$K$1:$AT$1,0)),1)</f>
        <v>0</v>
      </c>
      <c r="BC92" s="365">
        <f>COUNTIFS('AR | Drawing List'!$H:$H,$B92,INDEX('AR | Drawing List'!$K:$AT,,MATCH('Design Fee'!BC$8,'AR | Drawing List'!$K$1:$AT$1,0)),1)</f>
        <v>0</v>
      </c>
      <c r="BE92" s="232"/>
      <c r="BF92" s="222"/>
      <c r="BG92" s="253"/>
      <c r="BH92" s="253">
        <f t="shared" si="500"/>
        <v>0</v>
      </c>
      <c r="BI92" s="254">
        <f>IFERROR(IF(BV92=100%,$BG92,0),0)</f>
        <v>0</v>
      </c>
      <c r="BJ92" s="255">
        <f>IFERROR(IF(AND((BV92+BW92)=100%,BV92&lt;1),$BG92,0),0)</f>
        <v>0</v>
      </c>
      <c r="BK92" s="255">
        <f>IFERROR(IF(AND((CA92+CC92)=BZ92,BI92=0),$BG92,0),0)</f>
        <v>0</v>
      </c>
      <c r="BL92" s="255">
        <f t="shared" ref="BL92:BL96" si="520">IFERROR(IF(AND((CA92+CC92+CD92)=BZ92,BI92=0,BK92=0),$BG92,0),0)</f>
        <v>0</v>
      </c>
      <c r="BM92" s="255">
        <f>IFERROR(IF(AND((CA92+CC92+CD92+CE92)=BZ92,BI92=0,BK92=0,BL92=0),$BG92,0),0)</f>
        <v>0</v>
      </c>
      <c r="BN92" s="255">
        <f>IFERROR(IF(AND((CA92+CC92+CD92+CE92+CF92)=BZ92,BI92=0,BK92=0,BL92=0,BM92=0),$BG92,0),0)</f>
        <v>0</v>
      </c>
      <c r="BO92" s="256"/>
      <c r="BP92" s="255">
        <f>IFERROR(IF(AND((BV92+BX92)=100%,BV92&lt;1),$BG92,0),0)</f>
        <v>0</v>
      </c>
      <c r="BQ92" s="255">
        <f>IFERROR(IF(AND((CA92+CI92)=BZ92,BI92=0),$BG92,0),0)</f>
        <v>0</v>
      </c>
      <c r="BR92" s="255">
        <f t="shared" ref="BR92:BR96" si="521">IFERROR(IF(AND((CA92+CI92+CJ92)=BZ92,BI92=0,BQ92=0),BG92,0),0)</f>
        <v>0</v>
      </c>
      <c r="BS92" s="255">
        <f>IFERROR(IF(AND((CA92+CI92+CJ92+CK92)=BZ92,BI92=0,BQ92=0,BR92=0),$BG92,0),0)</f>
        <v>0</v>
      </c>
      <c r="BT92" s="255">
        <f>IFERROR(IF(AND((CA92+CI92+CL92+CJ92+CK92)=BZ92,BI92=0,BQ92=0,BR92=0,BS92=0),$BG92,0),0)</f>
        <v>0</v>
      </c>
      <c r="BU92" s="169"/>
      <c r="BV92" s="279">
        <f>IFERROR(CA92/BZ92,0)</f>
        <v>0</v>
      </c>
      <c r="BW92" s="279">
        <f>IFERROR(CB92/BZ92,0)</f>
        <v>0</v>
      </c>
      <c r="BX92" s="279">
        <f>IFERROR(#REF!/BZ92,0)</f>
        <v>0</v>
      </c>
      <c r="BZ92" s="297">
        <f>COUNTIF('ST | Drawing List'!$G:$G,$B92)</f>
        <v>0</v>
      </c>
      <c r="CA92" s="191">
        <f>COUNTIFS('ST | Drawing List'!$G:$G,$B92,INDEX('ST | Drawing List'!$A:$U,,MATCH('Design Fee'!CA$8,'ST | Drawing List'!$A$1:$U$1,0)),1)</f>
        <v>0</v>
      </c>
      <c r="CB92" s="191">
        <f>COUNTIFS('ST | Drawing List'!$G:$G,$B92,INDEX('ST | Drawing List'!$J:$U,,MATCH('Design Fee'!CB$8,'ST | Drawing List'!$J$1:$U$1,0)),1)</f>
        <v>0</v>
      </c>
      <c r="CC92" s="191">
        <f>COUNTIFS('ST | Drawing List'!$G:$G,$B92,INDEX('ST | Drawing List'!$J:$U,,MATCH('Design Fee'!CC$8,'ST | Drawing List'!$J$1:$U$1,0)),1)</f>
        <v>0</v>
      </c>
      <c r="CD92" s="191">
        <f>COUNTIFS('ST | Drawing List'!$G:$G,$B92,INDEX('ST | Drawing List'!$J:$U,,MATCH('Design Fee'!CD$8,'ST | Drawing List'!$J$1:$U$1,0)),1)</f>
        <v>0</v>
      </c>
      <c r="CE92" s="191">
        <f>COUNTIFS('ST | Drawing List'!$G:$G,$B92,INDEX('ST | Drawing List'!$J:$U,,MATCH('Design Fee'!CE$8,'ST | Drawing List'!$J$1:$U$1,0)),1)</f>
        <v>0</v>
      </c>
      <c r="CF92" s="191">
        <f>COUNTIFS('ST | Drawing List'!$G:$G,$B92,INDEX('ST | Drawing List'!$J:$U,,MATCH('Design Fee'!CF$8,'ST | Drawing List'!$J$1:$U$1,0)),1)</f>
        <v>0</v>
      </c>
      <c r="CG92" s="198"/>
      <c r="CH92" s="191">
        <f>COUNTIFS('ST | Drawing List'!$G:$G,$B92,INDEX('ST | Drawing List'!$J:$U,,MATCH('Design Fee'!CH$8,'ST | Drawing List'!$J$1:$U$1,0)),1)</f>
        <v>0</v>
      </c>
      <c r="CI92" s="191">
        <f>COUNTIFS('ST | Drawing List'!$G:$G,$B92,INDEX('ST | Drawing List'!$J:$U,,MATCH('Design Fee'!CI$8,'ST | Drawing List'!$J$1:$U$1,0)),1)</f>
        <v>0</v>
      </c>
      <c r="CJ92" s="191">
        <f>COUNTIFS('ST | Drawing List'!$G:$G,$B92,INDEX('ST | Drawing List'!$J:$U,,MATCH('Design Fee'!CJ$8,'ST | Drawing List'!$J$1:$U$1,0)),1)</f>
        <v>0</v>
      </c>
      <c r="CK92" s="191">
        <f>COUNTIFS('ST | Drawing List'!$G:$G,$B92,INDEX('ST | Drawing List'!$J:$U,,MATCH('Design Fee'!CK$8,'ST | Drawing List'!$J$1:$U$1,0)),1)</f>
        <v>0</v>
      </c>
      <c r="CL92" s="191">
        <f>COUNTIFS('ST | Drawing List'!$G:$G,$B92,INDEX('ST | Drawing List'!$J:$U,,MATCH('Design Fee'!CL$8,'ST | Drawing List'!$J$1:$U$1,0)),1)</f>
        <v>0</v>
      </c>
      <c r="CN92" s="276">
        <v>0</v>
      </c>
      <c r="CO92" s="222"/>
      <c r="CP92" s="253">
        <f>$CP$91/$CN$91*CN92</f>
        <v>0</v>
      </c>
      <c r="CQ92" s="253">
        <f t="shared" si="504"/>
        <v>0</v>
      </c>
      <c r="CR92" s="254">
        <f>IFERROR(IF(DE92=100%,$CP92,0),0)</f>
        <v>0</v>
      </c>
      <c r="CS92" s="255">
        <f>IFERROR(IF(AND((DE92+DF92)=100%,DE92&lt;1),$CP92,0),0)</f>
        <v>0</v>
      </c>
      <c r="CT92" s="255">
        <f>IFERROR(IF(AND((DJ92+DL92)=DI92,CR92=0),$CP92,0),0)</f>
        <v>0</v>
      </c>
      <c r="CU92" s="255">
        <f>IFERROR(IF(AND((DJ92+DL92+DM92)=DI92,CR92=0,CT92=0),$CP92,0),0)</f>
        <v>0</v>
      </c>
      <c r="CV92" s="255">
        <f>IFERROR(IF(AND((DJ92+DL92+DM92+DN92)=DI92,CR92=0,CT92=0,CU92=0),$CP92,0),0)</f>
        <v>0</v>
      </c>
      <c r="CW92" s="255">
        <f>IFERROR(IF(AND((DJ92+DL92+DM92+DN92+DO92)=DI92,CR92=0,CT92=0,CU92=0,CV92=0),$CP92,0),0)</f>
        <v>0</v>
      </c>
      <c r="CX92" s="256"/>
      <c r="CY92" s="255">
        <f>IFERROR(IF(AND((DE92+DG92)=100%,DE92&lt;1),$CP92,0),0)</f>
        <v>0</v>
      </c>
      <c r="CZ92" s="255">
        <f>IFERROR(IF(AND((DJ92+DR92)=DI92,CR92=0),$CP92,0),0)</f>
        <v>0</v>
      </c>
      <c r="DA92" s="255">
        <f t="shared" ref="DA92:DA96" si="522">IFERROR(IF(AND((DJ92+DR92+DS92)=DI92,CR92=0,CZ92=0),CP92,0),0)</f>
        <v>0</v>
      </c>
      <c r="DB92" s="255">
        <f>IFERROR(IF(AND((DJ92+DR92+DS92+DT92)=DI92,CR92=0,CZ92=0,DA92=0),$CP92,0),0)</f>
        <v>0</v>
      </c>
      <c r="DC92" s="255">
        <f>IFERROR(IF(AND((DJ92+DR92+DU92+DS92+DT92)=DI92,CR92=0,CZ92=0,DA92=0,DB92=0),$CP92,0),0)</f>
        <v>0</v>
      </c>
      <c r="DD92" s="183"/>
      <c r="DE92" s="300">
        <f>IFERROR(DJ92/DI92,0)</f>
        <v>0</v>
      </c>
      <c r="DF92" s="300">
        <f>IFERROR(DK92/DI92,0)</f>
        <v>0</v>
      </c>
      <c r="DG92" s="300">
        <f t="shared" ref="DG92:DG96" si="523">IFERROR(DQ92/DI92,0)</f>
        <v>0</v>
      </c>
      <c r="DI92" s="297">
        <f>COUNTIF('MEP | Drawing List'!$I:$I,$B92)</f>
        <v>0</v>
      </c>
      <c r="DJ92" s="191">
        <f>COUNTIFS('MEP | Drawing List'!$I:$I,$B92,INDEX('MEP | Drawing List'!$B:$X,,MATCH('Design Fee'!DJ$8,'MEP | Drawing List'!$B$1:$X$1,0)),1)</f>
        <v>0</v>
      </c>
      <c r="DK92" s="191">
        <f>COUNTIFS('MEP | Drawing List'!$I:$I,$B92,INDEX('MEP | Drawing List'!$L:$X,,MATCH('Design Fee'!DK$8,'MEP | Drawing List'!$L$1:$X$1,0)),1)</f>
        <v>0</v>
      </c>
      <c r="DL92" s="191">
        <f>COUNTIFS('MEP | Drawing List'!$I:$I,$B92,INDEX('MEP | Drawing List'!$L:$X,,MATCH('Design Fee'!DL$8,'MEP | Drawing List'!$L$1:$X$1,0)),1)</f>
        <v>0</v>
      </c>
      <c r="DM92" s="191">
        <f>COUNTIFS('MEP | Drawing List'!$I:$I,$B92,INDEX('MEP | Drawing List'!$L:$X,,MATCH('Design Fee'!DM$8,'MEP | Drawing List'!$L$1:$X$1,0)),1)</f>
        <v>0</v>
      </c>
      <c r="DN92" s="191">
        <f>COUNTIFS('MEP | Drawing List'!$I:$I,$B92,INDEX('MEP | Drawing List'!$L:$X,,MATCH('Design Fee'!DN$8,'MEP | Drawing List'!$L$1:$X$1,0)),1)</f>
        <v>0</v>
      </c>
      <c r="DO92" s="191">
        <f>COUNTIFS('MEP | Drawing List'!$I:$I,$B92,INDEX('MEP | Drawing List'!$L:$X,,MATCH('Design Fee'!DO$8,'MEP | Drawing List'!$L$1:$X$1,0)),1)</f>
        <v>0</v>
      </c>
      <c r="DP92" s="198"/>
      <c r="DQ92" s="191">
        <f>COUNTIFS('MEP | Drawing List'!$I:$I,$B92,INDEX('MEP | Drawing List'!$L:$X,,MATCH('Design Fee'!DQ$8,'MEP | Drawing List'!$L$1:$X$1,0)),1)</f>
        <v>0</v>
      </c>
      <c r="DR92" s="191">
        <f>COUNTIFS('MEP | Drawing List'!$I:$I,$B92,INDEX('MEP | Drawing List'!$L:$X,,MATCH('Design Fee'!DR$8,'MEP | Drawing List'!$L$1:$X$1,0)),1)</f>
        <v>0</v>
      </c>
      <c r="DS92" s="191">
        <f>COUNTIFS('MEP | Drawing List'!$I:$I,$B92,INDEX('MEP | Drawing List'!$L:$X,,MATCH('Design Fee'!DS$8,'MEP | Drawing List'!$L$1:$X$1,0)),1)</f>
        <v>0</v>
      </c>
      <c r="DT92" s="191">
        <f>COUNTIFS('MEP | Drawing List'!$I:$I,$B92,INDEX('MEP | Drawing List'!$L:$X,,MATCH('Design Fee'!DT$8,'MEP | Drawing List'!$L$1:$X$1,0)),1)</f>
        <v>0</v>
      </c>
      <c r="DU92" s="191">
        <f>COUNTIFS('MEP | Drawing List'!$I:$I,$B92,INDEX('MEP | Drawing List'!$L:$X,,MATCH('Design Fee'!DU$8,'MEP | Drawing List'!$L$1:$X$1,0)),1)</f>
        <v>0</v>
      </c>
      <c r="DV92" s="207"/>
      <c r="DX92" s="276">
        <v>0</v>
      </c>
      <c r="DY92" s="222"/>
      <c r="DZ92" s="253">
        <f>$DZ$91/$DX$91*DX92</f>
        <v>0</v>
      </c>
      <c r="EA92" s="253">
        <f t="shared" si="508"/>
        <v>0</v>
      </c>
      <c r="EB92" s="254">
        <f>IFERROR(IF(EO92=100%,$DZ92,0),0)</f>
        <v>0</v>
      </c>
      <c r="EC92" s="255">
        <f>IFERROR(IF(AND((EO92+EP92)=100%,EO92&lt;1),$DZ92,0),0)</f>
        <v>0</v>
      </c>
      <c r="ED92" s="255">
        <f>IFERROR(IF(AND((ET92+EV92)=ES92,EB92=0),$DZ92,0),0)</f>
        <v>0</v>
      </c>
      <c r="EE92" s="255">
        <f>IFERROR(IF(AND((ET92+EV92+EW92)=ES92,EB92=0,ED92=0),$DZ92,0),0)</f>
        <v>0</v>
      </c>
      <c r="EF92" s="255">
        <f>IFERROR(IF(AND((ET92+EV92+EW92+EX92)=ES92,EB92=0,ED92=0,EE92=0),$DZ92,0),0)</f>
        <v>0</v>
      </c>
      <c r="EG92" s="255">
        <f>IFERROR(IF(AND((ET92+EV92+EW92+EX92+EY92)=ES92,EB92=0,ED92=0,EE92=0,EF92=0),$DZ92,0),0)</f>
        <v>0</v>
      </c>
      <c r="EH92" s="256"/>
      <c r="EI92" s="255">
        <f>IFERROR(IF(AND((EO92+EQ92)=100%,EO92&lt;1),$DZ92,0),0)</f>
        <v>0</v>
      </c>
      <c r="EJ92" s="255">
        <f>IFERROR(IF(AND((ET92+FB92)=ES92,EB92=0),$DZ92,0),0)</f>
        <v>0</v>
      </c>
      <c r="EK92" s="255">
        <f>IFERROR(IF(AND((ET92+FB92+FC92)=ES92,EB92=0,EJ92=0),DZ92,0),0)</f>
        <v>0</v>
      </c>
      <c r="EL92" s="255">
        <f>IFERROR(IF(AND((ET92+FB92+FC92+FD92)=ES92,EB92=0,EJ92=0,EK92=0),$DZ92,0),0)</f>
        <v>0</v>
      </c>
      <c r="EM92" s="255">
        <f>IFERROR(IF(AND((ET92+FB92+FE92+FC92+FD92)=ES92,EB92=0,EJ92=0,EK92=0,EL92=0),$DZ92,0),0)</f>
        <v>0</v>
      </c>
      <c r="EN92" s="183"/>
      <c r="EO92" s="300">
        <f>IFERROR(ET92/ES92,0)</f>
        <v>0</v>
      </c>
      <c r="EP92" s="300">
        <f>IFERROR(EU92/ES92,0)</f>
        <v>0</v>
      </c>
      <c r="EQ92" s="300">
        <f t="shared" ref="EQ92:EQ96" si="524">IFERROR(FA92/ES92,0)</f>
        <v>0</v>
      </c>
      <c r="ES92" s="297">
        <f>COUNTIF('LS | Drawing List'!$H:$H,$B92)</f>
        <v>0</v>
      </c>
      <c r="ET92" s="191">
        <f>COUNTIFS('LS | Drawing List'!$H:$H,$B92,INDEX('LS | Drawing List'!$A:$V,,MATCH('Design Fee'!ET$8,'LS | Drawing List'!$A$1:$V$1,0)),1)</f>
        <v>0</v>
      </c>
      <c r="EU92" s="191">
        <f>COUNTIFS('LS | Drawing List'!$H:$H,$B92,INDEX('LS | Drawing List'!$K:$V,,MATCH('Design Fee'!EU$8,'LS | Drawing List'!$K$1:$V$1,0)),1)</f>
        <v>0</v>
      </c>
      <c r="EV92" s="191">
        <f>COUNTIFS('LS | Drawing List'!$H:$H,$B92,INDEX('LS | Drawing List'!$K:$V,,MATCH('Design Fee'!EV$8,'LS | Drawing List'!$K$1:$V$1,0)),1)</f>
        <v>0</v>
      </c>
      <c r="EW92" s="191">
        <f>COUNTIFS('LS | Drawing List'!$H:$H,$B92,INDEX('LS | Drawing List'!$K:$V,,MATCH('Design Fee'!EW$8,'LS | Drawing List'!$K$1:$V$1,0)),1)</f>
        <v>0</v>
      </c>
      <c r="EX92" s="191">
        <f>COUNTIFS('LS | Drawing List'!$H:$H,$B92,INDEX('LS | Drawing List'!$K:$V,,MATCH('Design Fee'!EX$8,'LS | Drawing List'!$K$1:$V$1,0)),1)</f>
        <v>0</v>
      </c>
      <c r="EY92" s="191">
        <f>COUNTIFS('LS | Drawing List'!$H:$H,$B92,INDEX('LS | Drawing List'!$K:$V,,MATCH('Design Fee'!EY$8,'LS | Drawing List'!$K$1:$V$1,0)),1)</f>
        <v>0</v>
      </c>
      <c r="EZ92" s="198"/>
      <c r="FA92" s="191">
        <f>COUNTIFS('LS | Drawing List'!$H:$H,$B92,INDEX('LS | Drawing List'!$K:$V,,MATCH('Design Fee'!FA$8,'LS | Drawing List'!$K$1:$V$1,0)),1)</f>
        <v>0</v>
      </c>
      <c r="FB92" s="191">
        <f>COUNTIFS('LS | Drawing List'!$H:$H,$B92,INDEX('LS | Drawing List'!$K:$V,,MATCH('Design Fee'!FB$8,'LS | Drawing List'!$K$1:$V$1,0)),1)</f>
        <v>0</v>
      </c>
      <c r="FC92" s="191">
        <f>COUNTIFS('LS | Drawing List'!$H:$H,$B92,INDEX('LS | Drawing List'!$K:$V,,MATCH('Design Fee'!FC$8,'LS | Drawing List'!$K$1:$V$1,0)),1)</f>
        <v>0</v>
      </c>
      <c r="FD92" s="191">
        <f>COUNTIFS('LS | Drawing List'!$H:$H,$B92,INDEX('LS | Drawing List'!$K:$V,,MATCH('Design Fee'!FD$8,'LS | Drawing List'!$K$1:$V$1,0)),1)</f>
        <v>0</v>
      </c>
      <c r="FE92" s="191">
        <f>COUNTIFS('LS | Drawing List'!$H:$H,$B92,INDEX('LS | Drawing List'!$K:$V,,MATCH('Design Fee'!FE$8,'LS | Drawing List'!$K$1:$V$1,0)),1)</f>
        <v>0</v>
      </c>
      <c r="FF92" s="207"/>
    </row>
    <row r="93" spans="2:162" ht="11.85" customHeight="1" outlineLevel="2">
      <c r="B93" s="459" t="s">
        <v>168</v>
      </c>
      <c r="C93" s="280" t="s">
        <v>112</v>
      </c>
      <c r="E93" s="253">
        <f t="shared" si="493"/>
        <v>4.4969810000000013E-2</v>
      </c>
      <c r="F93" s="253">
        <f t="shared" si="493"/>
        <v>0</v>
      </c>
      <c r="G93" s="254">
        <f t="shared" si="512"/>
        <v>4.4969810000000013E-2</v>
      </c>
      <c r="H93" s="253">
        <f t="shared" si="495"/>
        <v>0</v>
      </c>
      <c r="I93" s="253">
        <f t="shared" si="495"/>
        <v>4.4969810000000013E-2</v>
      </c>
      <c r="J93" s="254">
        <f t="shared" si="495"/>
        <v>0</v>
      </c>
      <c r="K93" s="254">
        <f t="shared" si="495"/>
        <v>4.4969810000000013E-2</v>
      </c>
      <c r="L93" s="254">
        <f t="shared" si="495"/>
        <v>0</v>
      </c>
      <c r="M93" s="253">
        <f t="shared" si="495"/>
        <v>0</v>
      </c>
      <c r="N93" s="256"/>
      <c r="O93" s="253">
        <f t="shared" si="496"/>
        <v>0</v>
      </c>
      <c r="P93" s="253">
        <f t="shared" si="496"/>
        <v>0</v>
      </c>
      <c r="Q93" s="253">
        <f t="shared" si="496"/>
        <v>0</v>
      </c>
      <c r="R93" s="253">
        <f t="shared" si="496"/>
        <v>0</v>
      </c>
      <c r="S93" s="253">
        <f t="shared" si="496"/>
        <v>0</v>
      </c>
      <c r="T93" s="169"/>
      <c r="U93" s="183"/>
      <c r="V93" s="232">
        <v>0.2</v>
      </c>
      <c r="W93" s="222"/>
      <c r="X93" s="253">
        <f t="shared" ref="X93:X96" si="525">$X$91/$V$91*V93</f>
        <v>2.1600000000000005E-2</v>
      </c>
      <c r="Y93" s="253">
        <f t="shared" si="497"/>
        <v>0</v>
      </c>
      <c r="Z93" s="254">
        <f t="shared" si="513"/>
        <v>0</v>
      </c>
      <c r="AA93" s="255">
        <f t="shared" si="514"/>
        <v>2.1600000000000005E-2</v>
      </c>
      <c r="AB93" s="255">
        <f t="shared" si="515"/>
        <v>0</v>
      </c>
      <c r="AC93" s="255">
        <f t="shared" si="516"/>
        <v>2.1600000000000005E-2</v>
      </c>
      <c r="AD93" s="255">
        <f>IFERROR(IF(AND((AR93+AT93+AU93+AV93)=AQ93,Z93=0,AB93=0,AC93=0),$X93,0),0)</f>
        <v>0</v>
      </c>
      <c r="AE93" s="255">
        <f>IFERROR(IF(AND((AR93+AT93+AU93+AV93+AW93)=AQ93,Z93=0,AB93=0,AC93=0,AD93=0),$X93,0),0)</f>
        <v>0</v>
      </c>
      <c r="AF93" s="256"/>
      <c r="AG93" s="255">
        <f>IFERROR(IF(AND((AM93+AO93)=100%,AM93&lt;1),$X93,0),0)</f>
        <v>0</v>
      </c>
      <c r="AH93" s="255">
        <f>IFERROR(IF(AND((AR93+AZ93)=AQ93,Z93=0),$X93,0),0)</f>
        <v>0</v>
      </c>
      <c r="AI93" s="255">
        <f t="shared" si="517"/>
        <v>0</v>
      </c>
      <c r="AJ93" s="255">
        <f t="shared" si="518"/>
        <v>0</v>
      </c>
      <c r="AK93" s="255">
        <f>IFERROR(IF(AND((AR93+AZ93+BC93+BA93+BB93)=AQ93,Z93=0,AH93=0,AI93=0,AJ93=0),$X93,0),0)</f>
        <v>0</v>
      </c>
      <c r="AL93" s="169"/>
      <c r="AM93" s="279">
        <f>IFERROR(AR93/AQ93,0)</f>
        <v>0</v>
      </c>
      <c r="AN93" s="279">
        <f>IFERROR(AS93/AQ93,0)</f>
        <v>1</v>
      </c>
      <c r="AO93" s="279">
        <f t="shared" si="519"/>
        <v>0</v>
      </c>
      <c r="AQ93" s="364">
        <f>COUNTIF('AR | Drawing List'!$H:$H,$B93)</f>
        <v>25</v>
      </c>
      <c r="AR93" s="365">
        <f>COUNTIFS('AR | Drawing List'!$H:$H,$B93,INDEX('AR | Drawing List'!$A:$AT,,MATCH('Design Fee'!AR$8,'AR | Drawing List'!$A$1:$AT$1,0)),1)</f>
        <v>0</v>
      </c>
      <c r="AS93" s="365">
        <f>COUNTIFS('AR | Drawing List'!$H:$H,$B93,INDEX('AR | Drawing List'!$K:$AT,,MATCH('Design Fee'!AS$8,'AR | Drawing List'!$K$1:$AT$1,0)),1)</f>
        <v>25</v>
      </c>
      <c r="AT93" s="365">
        <f>COUNTIFS('AR | Drawing List'!$H:$H,$B93,INDEX('AR | Drawing List'!$K:$AT,,MATCH('Design Fee'!AT$8,'AR | Drawing List'!$K$1:$AT$1,0)),1)</f>
        <v>0</v>
      </c>
      <c r="AU93" s="365">
        <f>COUNTIFS('AR | Drawing List'!$H:$H,$B93,INDEX('AR | Drawing List'!$K:$AT,,MATCH('Design Fee'!AU$8,'AR | Drawing List'!$K$1:$AT$1,0)),1)</f>
        <v>25</v>
      </c>
      <c r="AV93" s="365">
        <f>COUNTIFS('AR | Drawing List'!$H:$H,$B93,INDEX('AR | Drawing List'!$K:$AT,,MATCH('Design Fee'!AV$8,'AR | Drawing List'!$K$1:$AT$1,0)),1)</f>
        <v>0</v>
      </c>
      <c r="AW93" s="365">
        <f>COUNTIFS('AR | Drawing List'!$H:$H,$B93,INDEX('AR | Drawing List'!$K:$AT,,MATCH('Design Fee'!AW$8,'AR | Drawing List'!$K$1:$AT$1,0)),1)</f>
        <v>0</v>
      </c>
      <c r="AX93" s="198"/>
      <c r="AY93" s="365">
        <f>COUNTIFS('AR | Drawing List'!$H:$H,$B93,INDEX('AR | Drawing List'!$K:$AT,,MATCH('Design Fee'!AY$8,'AR | Drawing List'!$K$1:$AT$1,0)),1)</f>
        <v>0</v>
      </c>
      <c r="AZ93" s="365">
        <f>COUNTIFS('AR | Drawing List'!$H:$H,$B93,INDEX('AR | Drawing List'!$K:$AT,,MATCH('Design Fee'!AZ$8,'AR | Drawing List'!$K$1:$AT$1,0)),1)</f>
        <v>0</v>
      </c>
      <c r="BA93" s="365">
        <f>COUNTIFS('AR | Drawing List'!$H:$H,$B93,INDEX('AR | Drawing List'!$K:$AT,,MATCH('Design Fee'!BA$8,'AR | Drawing List'!$K$1:$AT$1,0)),1)</f>
        <v>0</v>
      </c>
      <c r="BB93" s="365">
        <f>COUNTIFS('AR | Drawing List'!$H:$H,$B93,INDEX('AR | Drawing List'!$K:$AT,,MATCH('Design Fee'!BB$8,'AR | Drawing List'!$K$1:$AT$1,0)),1)</f>
        <v>0</v>
      </c>
      <c r="BC93" s="365">
        <f>COUNTIFS('AR | Drawing List'!$H:$H,$B93,INDEX('AR | Drawing List'!$K:$AT,,MATCH('Design Fee'!BC$8,'AR | Drawing List'!$K$1:$AT$1,0)),1)</f>
        <v>0</v>
      </c>
      <c r="BE93" s="232"/>
      <c r="BF93" s="222"/>
      <c r="BG93" s="253"/>
      <c r="BH93" s="253">
        <f t="shared" si="500"/>
        <v>0</v>
      </c>
      <c r="BI93" s="254">
        <f>IFERROR(IF(BV93=100%,$BG93,0),0)</f>
        <v>0</v>
      </c>
      <c r="BJ93" s="255">
        <f>IFERROR(IF(AND((BV93+BW93)=100%,BV93&lt;1),$BG93,0),0)</f>
        <v>0</v>
      </c>
      <c r="BK93" s="255">
        <f>IFERROR(IF(AND((CA93+CC93)=BZ93,BI93=0),$BG93,0),0)</f>
        <v>0</v>
      </c>
      <c r="BL93" s="255">
        <f t="shared" si="520"/>
        <v>0</v>
      </c>
      <c r="BM93" s="255">
        <f>IFERROR(IF(AND((CA93+CC93+CD93+CE93)=BZ93,BI93=0,BK93=0,BL93=0),$BG93,0),0)</f>
        <v>0</v>
      </c>
      <c r="BN93" s="255">
        <f>IFERROR(IF(AND((CA93+CC93+CD93+CE93+CF93)=BZ93,BI93=0,BK93=0,BL93=0,BM93=0),$BG93,0),0)</f>
        <v>0</v>
      </c>
      <c r="BO93" s="256"/>
      <c r="BP93" s="255">
        <f>IFERROR(IF(AND((BV93+BX93)=100%,BV93&lt;1),$BG93,0),0)</f>
        <v>0</v>
      </c>
      <c r="BQ93" s="255">
        <f>IFERROR(IF(AND((CA93+CI93)=BZ93,BI93=0),$BG93,0),0)</f>
        <v>0</v>
      </c>
      <c r="BR93" s="255">
        <f t="shared" si="521"/>
        <v>0</v>
      </c>
      <c r="BS93" s="255">
        <f>IFERROR(IF(AND((CA93+CI93+CJ93+CK93)=BZ93,BI93=0,BQ93=0,BR93=0),$BG93,0),0)</f>
        <v>0</v>
      </c>
      <c r="BT93" s="255">
        <f>IFERROR(IF(AND((CA93+CI93+CL93+CJ93+CK93)=BZ93,BI93=0,BQ93=0,BR93=0,BS93=0),$BG93,0),0)</f>
        <v>0</v>
      </c>
      <c r="BU93" s="169"/>
      <c r="BV93" s="279">
        <f>IFERROR(CA93/BZ93,0)</f>
        <v>0</v>
      </c>
      <c r="BW93" s="279">
        <f>IFERROR(CB93/BZ93,0)</f>
        <v>0</v>
      </c>
      <c r="BX93" s="279">
        <f>IFERROR(#REF!/BZ93,0)</f>
        <v>0</v>
      </c>
      <c r="BZ93" s="297">
        <f>COUNTIF('ST | Drawing List'!$G:$G,$B93)</f>
        <v>0</v>
      </c>
      <c r="CA93" s="191">
        <f>COUNTIFS('ST | Drawing List'!$G:$G,$B93,INDEX('ST | Drawing List'!$A:$U,,MATCH('Design Fee'!CA$8,'ST | Drawing List'!$A$1:$U$1,0)),1)</f>
        <v>0</v>
      </c>
      <c r="CB93" s="191">
        <f>COUNTIFS('ST | Drawing List'!$G:$G,$B93,INDEX('ST | Drawing List'!$J:$U,,MATCH('Design Fee'!CB$8,'ST | Drawing List'!$J$1:$U$1,0)),1)</f>
        <v>0</v>
      </c>
      <c r="CC93" s="191">
        <f>COUNTIFS('ST | Drawing List'!$G:$G,$B93,INDEX('ST | Drawing List'!$J:$U,,MATCH('Design Fee'!CC$8,'ST | Drawing List'!$J$1:$U$1,0)),1)</f>
        <v>0</v>
      </c>
      <c r="CD93" s="191">
        <f>COUNTIFS('ST | Drawing List'!$G:$G,$B93,INDEX('ST | Drawing List'!$J:$U,,MATCH('Design Fee'!CD$8,'ST | Drawing List'!$J$1:$U$1,0)),1)</f>
        <v>0</v>
      </c>
      <c r="CE93" s="191">
        <f>COUNTIFS('ST | Drawing List'!$G:$G,$B93,INDEX('ST | Drawing List'!$J:$U,,MATCH('Design Fee'!CE$8,'ST | Drawing List'!$J$1:$U$1,0)),1)</f>
        <v>0</v>
      </c>
      <c r="CF93" s="191">
        <f>COUNTIFS('ST | Drawing List'!$G:$G,$B93,INDEX('ST | Drawing List'!$J:$U,,MATCH('Design Fee'!CF$8,'ST | Drawing List'!$J$1:$U$1,0)),1)</f>
        <v>0</v>
      </c>
      <c r="CG93" s="198"/>
      <c r="CH93" s="191">
        <f>COUNTIFS('ST | Drawing List'!$G:$G,$B93,INDEX('ST | Drawing List'!$J:$U,,MATCH('Design Fee'!CH$8,'ST | Drawing List'!$J$1:$U$1,0)),1)</f>
        <v>0</v>
      </c>
      <c r="CI93" s="191">
        <f>COUNTIFS('ST | Drawing List'!$G:$G,$B93,INDEX('ST | Drawing List'!$J:$U,,MATCH('Design Fee'!CI$8,'ST | Drawing List'!$J$1:$U$1,0)),1)</f>
        <v>0</v>
      </c>
      <c r="CJ93" s="191">
        <f>COUNTIFS('ST | Drawing List'!$G:$G,$B93,INDEX('ST | Drawing List'!$J:$U,,MATCH('Design Fee'!CJ$8,'ST | Drawing List'!$J$1:$U$1,0)),1)</f>
        <v>0</v>
      </c>
      <c r="CK93" s="191">
        <f>COUNTIFS('ST | Drawing List'!$G:$G,$B93,INDEX('ST | Drawing List'!$J:$U,,MATCH('Design Fee'!CK$8,'ST | Drawing List'!$J$1:$U$1,0)),1)</f>
        <v>0</v>
      </c>
      <c r="CL93" s="191">
        <f>COUNTIFS('ST | Drawing List'!$G:$G,$B93,INDEX('ST | Drawing List'!$J:$U,,MATCH('Design Fee'!CL$8,'ST | Drawing List'!$J$1:$U$1,0)),1)</f>
        <v>0</v>
      </c>
      <c r="CN93" s="276">
        <v>0.5</v>
      </c>
      <c r="CO93" s="222"/>
      <c r="CP93" s="253">
        <f t="shared" ref="CP93:CP96" si="526">$CP$91/$CN$91*CN93</f>
        <v>3.8900000000000002E-3</v>
      </c>
      <c r="CQ93" s="253">
        <f t="shared" si="504"/>
        <v>0</v>
      </c>
      <c r="CR93" s="254">
        <f>IFERROR(IF(DE93=100%,$CP93,0),0)</f>
        <v>0</v>
      </c>
      <c r="CS93" s="255">
        <f>IFERROR(IF(AND((DE93+DF93)=100%,DE93&lt;1),$CP93,0),0)</f>
        <v>3.8900000000000002E-3</v>
      </c>
      <c r="CT93" s="255">
        <f>IFERROR(IF(AND((DJ93+DL93)=DI93,CR93=0),$CP93,0),0)</f>
        <v>0</v>
      </c>
      <c r="CU93" s="255">
        <f>IFERROR(IF(AND((DJ93+DL93+DM93)=DI93,CR93=0,CT93=0),$CP93,0),0)</f>
        <v>3.8900000000000002E-3</v>
      </c>
      <c r="CV93" s="255">
        <f>IFERROR(IF(AND((DJ93+DL93+DM93+DN93)=DI93,CR93=0,CT93=0,CU93=0),$CP93,0),0)</f>
        <v>0</v>
      </c>
      <c r="CW93" s="255">
        <f>IFERROR(IF(AND((DJ93+DL93+DM93+DN93+DO93)=DI93,CR93=0,CT93=0,CU93=0,CV93=0),$CP93,0),0)</f>
        <v>0</v>
      </c>
      <c r="CX93" s="256"/>
      <c r="CY93" s="255">
        <f>IFERROR(IF(AND((DE93+DG93)=100%,DE93&lt;1),$CP93,0),0)</f>
        <v>0</v>
      </c>
      <c r="CZ93" s="255">
        <f>IFERROR(IF(AND((DJ93+DR93)=DI93,CR93=0),$CP93,0),0)</f>
        <v>0</v>
      </c>
      <c r="DA93" s="255">
        <f t="shared" si="522"/>
        <v>0</v>
      </c>
      <c r="DB93" s="255">
        <f>IFERROR(IF(AND((DJ93+DR93+DS93+DT93)=DI93,CR93=0,CZ93=0,DA93=0),$CP93,0),0)</f>
        <v>0</v>
      </c>
      <c r="DC93" s="255">
        <f>IFERROR(IF(AND((DJ93+DR93+DU93+DS93+DT93)=DI93,CR93=0,CZ93=0,DA93=0,DB93=0),$CP93,0),0)</f>
        <v>0</v>
      </c>
      <c r="DD93" s="183"/>
      <c r="DE93" s="300">
        <f>IFERROR(DJ93/DI93,0)</f>
        <v>0.125</v>
      </c>
      <c r="DF93" s="300">
        <f>IFERROR(DK93/DI93,0)</f>
        <v>0.875</v>
      </c>
      <c r="DG93" s="300">
        <f t="shared" si="523"/>
        <v>0</v>
      </c>
      <c r="DI93" s="297">
        <f>COUNTIF('MEP | Drawing List'!$I:$I,$B93)</f>
        <v>8</v>
      </c>
      <c r="DJ93" s="191">
        <f>COUNTIFS('MEP | Drawing List'!$I:$I,$B93,INDEX('MEP | Drawing List'!$B:$X,,MATCH('Design Fee'!DJ$8,'MEP | Drawing List'!$B$1:$X$1,0)),1)</f>
        <v>1</v>
      </c>
      <c r="DK93" s="191">
        <f>COUNTIFS('MEP | Drawing List'!$I:$I,$B93,INDEX('MEP | Drawing List'!$L:$X,,MATCH('Design Fee'!DK$8,'MEP | Drawing List'!$L$1:$X$1,0)),1)</f>
        <v>7</v>
      </c>
      <c r="DL93" s="191">
        <f>COUNTIFS('MEP | Drawing List'!$I:$I,$B93,INDEX('MEP | Drawing List'!$L:$X,,MATCH('Design Fee'!DL$8,'MEP | Drawing List'!$L$1:$X$1,0)),1)</f>
        <v>0</v>
      </c>
      <c r="DM93" s="191">
        <f>COUNTIFS('MEP | Drawing List'!$I:$I,$B93,INDEX('MEP | Drawing List'!$L:$X,,MATCH('Design Fee'!DM$8,'MEP | Drawing List'!$L$1:$X$1,0)),1)</f>
        <v>7</v>
      </c>
      <c r="DN93" s="191">
        <f>COUNTIFS('MEP | Drawing List'!$I:$I,$B93,INDEX('MEP | Drawing List'!$L:$X,,MATCH('Design Fee'!DN$8,'MEP | Drawing List'!$L$1:$X$1,0)),1)</f>
        <v>0</v>
      </c>
      <c r="DO93" s="191">
        <f>COUNTIFS('MEP | Drawing List'!$I:$I,$B93,INDEX('MEP | Drawing List'!$L:$X,,MATCH('Design Fee'!DO$8,'MEP | Drawing List'!$L$1:$X$1,0)),1)</f>
        <v>0</v>
      </c>
      <c r="DP93" s="198"/>
      <c r="DQ93" s="191">
        <f>COUNTIFS('MEP | Drawing List'!$I:$I,$B93,INDEX('MEP | Drawing List'!$L:$X,,MATCH('Design Fee'!DQ$8,'MEP | Drawing List'!$L$1:$X$1,0)),1)</f>
        <v>0</v>
      </c>
      <c r="DR93" s="191">
        <f>COUNTIFS('MEP | Drawing List'!$I:$I,$B93,INDEX('MEP | Drawing List'!$L:$X,,MATCH('Design Fee'!DR$8,'MEP | Drawing List'!$L$1:$X$1,0)),1)</f>
        <v>0</v>
      </c>
      <c r="DS93" s="191">
        <f>COUNTIFS('MEP | Drawing List'!$I:$I,$B93,INDEX('MEP | Drawing List'!$L:$X,,MATCH('Design Fee'!DS$8,'MEP | Drawing List'!$L$1:$X$1,0)),1)</f>
        <v>0</v>
      </c>
      <c r="DT93" s="191">
        <f>COUNTIFS('MEP | Drawing List'!$I:$I,$B93,INDEX('MEP | Drawing List'!$L:$X,,MATCH('Design Fee'!DT$8,'MEP | Drawing List'!$L$1:$X$1,0)),1)</f>
        <v>0</v>
      </c>
      <c r="DU93" s="191">
        <f>COUNTIFS('MEP | Drawing List'!$I:$I,$B93,INDEX('MEP | Drawing List'!$L:$X,,MATCH('Design Fee'!DU$8,'MEP | Drawing List'!$L$1:$X$1,0)),1)</f>
        <v>0</v>
      </c>
      <c r="DV93" s="207"/>
      <c r="DX93" s="276">
        <v>0.1</v>
      </c>
      <c r="DY93" s="222"/>
      <c r="DZ93" s="253">
        <f t="shared" ref="DZ93:DZ96" si="527">$DZ$91/$DX$91*DX93</f>
        <v>1.9479810000000004E-2</v>
      </c>
      <c r="EA93" s="253">
        <f t="shared" si="508"/>
        <v>0</v>
      </c>
      <c r="EB93" s="254">
        <f>IFERROR(IF(EO93=100%,$DZ93,0),0)</f>
        <v>0</v>
      </c>
      <c r="EC93" s="255">
        <f>IFERROR(IF(AND((EO93+EP93)=100%,EO93&lt;1),$DZ93,0),0)</f>
        <v>1.9479810000000004E-2</v>
      </c>
      <c r="ED93" s="255">
        <f>IFERROR(IF(AND((ET93+EV93)=ES93,EB93=0),$DZ93,0),0)</f>
        <v>0</v>
      </c>
      <c r="EE93" s="255">
        <f>IFERROR(IF(AND((ET93+EV93+EW93)=ES93,EB93=0,ED93=0),$DZ93,0),0)</f>
        <v>1.9479810000000004E-2</v>
      </c>
      <c r="EF93" s="255">
        <f>IFERROR(IF(AND((ET93+EV93+EW93+EX93)=ES93,EB93=0,ED93=0,EE93=0),$DZ93,0),0)</f>
        <v>0</v>
      </c>
      <c r="EG93" s="255">
        <f>IFERROR(IF(AND((ET93+EV93+EW93+EX93+EY93)=ES93,EB93=0,ED93=0,EE93=0,EF93=0),$DZ93,0),0)</f>
        <v>0</v>
      </c>
      <c r="EH93" s="256"/>
      <c r="EI93" s="255">
        <f>IFERROR(IF(AND((EO93+EQ93)=100%,EO93&lt;1),$DZ93,0),0)</f>
        <v>0</v>
      </c>
      <c r="EJ93" s="255">
        <f>IFERROR(IF(AND((ET93+FB93)=ES93,EB93=0),$DZ93,0),0)</f>
        <v>0</v>
      </c>
      <c r="EK93" s="255">
        <f>IFERROR(IF(AND((ET93+FB93+FC93)=ES93,EB93=0,EJ93=0),DZ93,0),0)</f>
        <v>0</v>
      </c>
      <c r="EL93" s="255">
        <f>IFERROR(IF(AND((ET93+FB93+FC93+FD93)=ES93,EB93=0,EJ93=0,EK93=0),$DZ93,0),0)</f>
        <v>0</v>
      </c>
      <c r="EM93" s="255">
        <f>IFERROR(IF(AND((ET93+FB93+FE93+FC93+FD93)=ES93,EB93=0,EJ93=0,EK93=0,EL93=0),$DZ93,0),0)</f>
        <v>0</v>
      </c>
      <c r="EN93" s="183"/>
      <c r="EO93" s="300">
        <f>IFERROR(ET93/ES93,0)</f>
        <v>0</v>
      </c>
      <c r="EP93" s="300">
        <f>IFERROR(EU93/ES93,0)</f>
        <v>1</v>
      </c>
      <c r="EQ93" s="300">
        <f t="shared" si="524"/>
        <v>0</v>
      </c>
      <c r="ES93" s="297">
        <f>COUNTIF('LS | Drawing List'!$H:$H,$B93)</f>
        <v>5</v>
      </c>
      <c r="ET93" s="191">
        <f>COUNTIFS('LS | Drawing List'!$H:$H,$B93,INDEX('LS | Drawing List'!$A:$V,,MATCH('Design Fee'!ET$8,'LS | Drawing List'!$A$1:$V$1,0)),1)</f>
        <v>0</v>
      </c>
      <c r="EU93" s="191">
        <f>COUNTIFS('LS | Drawing List'!$H:$H,$B93,INDEX('LS | Drawing List'!$K:$V,,MATCH('Design Fee'!EU$8,'LS | Drawing List'!$K$1:$V$1,0)),1)</f>
        <v>5</v>
      </c>
      <c r="EV93" s="191">
        <f>COUNTIFS('LS | Drawing List'!$H:$H,$B93,INDEX('LS | Drawing List'!$K:$V,,MATCH('Design Fee'!EV$8,'LS | Drawing List'!$K$1:$V$1,0)),1)</f>
        <v>0</v>
      </c>
      <c r="EW93" s="191">
        <f>COUNTIFS('LS | Drawing List'!$H:$H,$B93,INDEX('LS | Drawing List'!$K:$V,,MATCH('Design Fee'!EW$8,'LS | Drawing List'!$K$1:$V$1,0)),1)</f>
        <v>5</v>
      </c>
      <c r="EX93" s="191">
        <f>COUNTIFS('LS | Drawing List'!$H:$H,$B93,INDEX('LS | Drawing List'!$K:$V,,MATCH('Design Fee'!EX$8,'LS | Drawing List'!$K$1:$V$1,0)),1)</f>
        <v>0</v>
      </c>
      <c r="EY93" s="191">
        <f>COUNTIFS('LS | Drawing List'!$H:$H,$B93,INDEX('LS | Drawing List'!$K:$V,,MATCH('Design Fee'!EY$8,'LS | Drawing List'!$K$1:$V$1,0)),1)</f>
        <v>0</v>
      </c>
      <c r="EZ93" s="198"/>
      <c r="FA93" s="191">
        <f>COUNTIFS('LS | Drawing List'!$H:$H,$B93,INDEX('LS | Drawing List'!$K:$V,,MATCH('Design Fee'!FA$8,'LS | Drawing List'!$K$1:$V$1,0)),1)</f>
        <v>0</v>
      </c>
      <c r="FB93" s="191">
        <f>COUNTIFS('LS | Drawing List'!$H:$H,$B93,INDEX('LS | Drawing List'!$K:$V,,MATCH('Design Fee'!FB$8,'LS | Drawing List'!$K$1:$V$1,0)),1)</f>
        <v>0</v>
      </c>
      <c r="FC93" s="191">
        <f>COUNTIFS('LS | Drawing List'!$H:$H,$B93,INDEX('LS | Drawing List'!$K:$V,,MATCH('Design Fee'!FC$8,'LS | Drawing List'!$K$1:$V$1,0)),1)</f>
        <v>0</v>
      </c>
      <c r="FD93" s="191">
        <f>COUNTIFS('LS | Drawing List'!$H:$H,$B93,INDEX('LS | Drawing List'!$K:$V,,MATCH('Design Fee'!FD$8,'LS | Drawing List'!$K$1:$V$1,0)),1)</f>
        <v>0</v>
      </c>
      <c r="FE93" s="191">
        <f>COUNTIFS('LS | Drawing List'!$H:$H,$B93,INDEX('LS | Drawing List'!$K:$V,,MATCH('Design Fee'!FE$8,'LS | Drawing List'!$K$1:$V$1,0)),1)</f>
        <v>0</v>
      </c>
      <c r="FF93" s="207"/>
    </row>
    <row r="94" spans="2:162" ht="15" outlineLevel="2">
      <c r="B94" s="459" t="s">
        <v>169</v>
      </c>
      <c r="C94" s="280" t="s">
        <v>114</v>
      </c>
      <c r="E94" s="253">
        <f t="shared" si="493"/>
        <v>5.6326620000000008E-2</v>
      </c>
      <c r="F94" s="253">
        <f t="shared" si="493"/>
        <v>0</v>
      </c>
      <c r="G94" s="254">
        <f t="shared" si="512"/>
        <v>5.6326620000000008E-2</v>
      </c>
      <c r="H94" s="253">
        <f t="shared" si="495"/>
        <v>0</v>
      </c>
      <c r="I94" s="253">
        <f t="shared" si="495"/>
        <v>5.6326620000000008E-2</v>
      </c>
      <c r="J94" s="254">
        <f t="shared" si="495"/>
        <v>1.6200000000000003E-2</v>
      </c>
      <c r="K94" s="254">
        <f t="shared" si="495"/>
        <v>3.8959620000000007E-2</v>
      </c>
      <c r="L94" s="254">
        <f t="shared" si="495"/>
        <v>1.1670000000000001E-3</v>
      </c>
      <c r="M94" s="253">
        <f t="shared" si="495"/>
        <v>0</v>
      </c>
      <c r="N94" s="256"/>
      <c r="O94" s="253">
        <f t="shared" si="496"/>
        <v>0</v>
      </c>
      <c r="P94" s="253">
        <f t="shared" si="496"/>
        <v>0</v>
      </c>
      <c r="Q94" s="253">
        <f t="shared" si="496"/>
        <v>0</v>
      </c>
      <c r="R94" s="253">
        <f t="shared" si="496"/>
        <v>0</v>
      </c>
      <c r="S94" s="253">
        <f t="shared" si="496"/>
        <v>0</v>
      </c>
      <c r="T94" s="169"/>
      <c r="U94" s="183"/>
      <c r="V94" s="232">
        <v>0.15</v>
      </c>
      <c r="W94" s="222"/>
      <c r="X94" s="253">
        <f t="shared" si="525"/>
        <v>1.6200000000000003E-2</v>
      </c>
      <c r="Y94" s="253">
        <f t="shared" si="497"/>
        <v>0</v>
      </c>
      <c r="Z94" s="254">
        <f t="shared" si="513"/>
        <v>0</v>
      </c>
      <c r="AA94" s="255">
        <f t="shared" si="514"/>
        <v>1.6200000000000003E-2</v>
      </c>
      <c r="AB94" s="255">
        <f t="shared" si="515"/>
        <v>1.6200000000000003E-2</v>
      </c>
      <c r="AC94" s="255">
        <f t="shared" si="516"/>
        <v>0</v>
      </c>
      <c r="AD94" s="255">
        <f>IFERROR(IF(AND((AR94+AT94+AU94+AV94)=AQ94,Z94=0,AB94=0,AC94=0),$X94,0),0)</f>
        <v>0</v>
      </c>
      <c r="AE94" s="255">
        <f>IFERROR(IF(AND((AR94+AT94+AU94+AV94+AW94)=AQ94,Z94=0,AB94=0,AC94=0,AD94=0),$X94,0),0)</f>
        <v>0</v>
      </c>
      <c r="AF94" s="256"/>
      <c r="AG94" s="255">
        <f>IFERROR(IF(AND((AM94+AO94)=100%,AM94&lt;1),$X94,0),0)</f>
        <v>0</v>
      </c>
      <c r="AH94" s="255">
        <f>IFERROR(IF(AND((AR94+AZ94)=AQ94,Z94=0),$X94,0),0)</f>
        <v>0</v>
      </c>
      <c r="AI94" s="255">
        <f t="shared" si="517"/>
        <v>0</v>
      </c>
      <c r="AJ94" s="255">
        <f t="shared" si="518"/>
        <v>0</v>
      </c>
      <c r="AK94" s="255">
        <f>IFERROR(IF(AND((AR94+AZ94+BC94+BA94+BB94)=AQ94,Z94=0,AH94=0,AI94=0,AJ94=0),$X94,0),0)</f>
        <v>0</v>
      </c>
      <c r="AL94" s="169"/>
      <c r="AM94" s="279">
        <f>IFERROR(AR94/AQ94,0)</f>
        <v>0</v>
      </c>
      <c r="AN94" s="279">
        <f>IFERROR(AS94/AQ94,0)</f>
        <v>1</v>
      </c>
      <c r="AO94" s="279">
        <f t="shared" si="519"/>
        <v>0</v>
      </c>
      <c r="AQ94" s="364">
        <f>COUNTIF('AR | Drawing List'!$H:$H,$B94)</f>
        <v>3</v>
      </c>
      <c r="AR94" s="365">
        <f>COUNTIFS('AR | Drawing List'!$H:$H,$B94,INDEX('AR | Drawing List'!$A:$AT,,MATCH('Design Fee'!AR$8,'AR | Drawing List'!$A$1:$AT$1,0)),1)</f>
        <v>0</v>
      </c>
      <c r="AS94" s="365">
        <f>COUNTIFS('AR | Drawing List'!$H:$H,$B94,INDEX('AR | Drawing List'!$K:$AT,,MATCH('Design Fee'!AS$8,'AR | Drawing List'!$K$1:$AT$1,0)),1)</f>
        <v>3</v>
      </c>
      <c r="AT94" s="365">
        <f>COUNTIFS('AR | Drawing List'!$H:$H,$B94,INDEX('AR | Drawing List'!$K:$AT,,MATCH('Design Fee'!AT$8,'AR | Drawing List'!$K$1:$AT$1,0)),1)</f>
        <v>3</v>
      </c>
      <c r="AU94" s="365">
        <f>COUNTIFS('AR | Drawing List'!$H:$H,$B94,INDEX('AR | Drawing List'!$K:$AT,,MATCH('Design Fee'!AU$8,'AR | Drawing List'!$K$1:$AT$1,0)),1)</f>
        <v>0</v>
      </c>
      <c r="AV94" s="365">
        <f>COUNTIFS('AR | Drawing List'!$H:$H,$B94,INDEX('AR | Drawing List'!$K:$AT,,MATCH('Design Fee'!AV$8,'AR | Drawing List'!$K$1:$AT$1,0)),1)</f>
        <v>0</v>
      </c>
      <c r="AW94" s="365">
        <f>COUNTIFS('AR | Drawing List'!$H:$H,$B94,INDEX('AR | Drawing List'!$K:$AT,,MATCH('Design Fee'!AW$8,'AR | Drawing List'!$K$1:$AT$1,0)),1)</f>
        <v>0</v>
      </c>
      <c r="AX94" s="198"/>
      <c r="AY94" s="365">
        <f>COUNTIFS('AR | Drawing List'!$H:$H,$B94,INDEX('AR | Drawing List'!$K:$AT,,MATCH('Design Fee'!AY$8,'AR | Drawing List'!$K$1:$AT$1,0)),1)</f>
        <v>0</v>
      </c>
      <c r="AZ94" s="365">
        <f>COUNTIFS('AR | Drawing List'!$H:$H,$B94,INDEX('AR | Drawing List'!$K:$AT,,MATCH('Design Fee'!AZ$8,'AR | Drawing List'!$K$1:$AT$1,0)),1)</f>
        <v>0</v>
      </c>
      <c r="BA94" s="365">
        <f>COUNTIFS('AR | Drawing List'!$H:$H,$B94,INDEX('AR | Drawing List'!$K:$AT,,MATCH('Design Fee'!BA$8,'AR | Drawing List'!$K$1:$AT$1,0)),1)</f>
        <v>0</v>
      </c>
      <c r="BB94" s="365">
        <f>COUNTIFS('AR | Drawing List'!$H:$H,$B94,INDEX('AR | Drawing List'!$K:$AT,,MATCH('Design Fee'!BB$8,'AR | Drawing List'!$K$1:$AT$1,0)),1)</f>
        <v>0</v>
      </c>
      <c r="BC94" s="365">
        <f>COUNTIFS('AR | Drawing List'!$H:$H,$B94,INDEX('AR | Drawing List'!$K:$AT,,MATCH('Design Fee'!BC$8,'AR | Drawing List'!$K$1:$AT$1,0)),1)</f>
        <v>0</v>
      </c>
      <c r="BE94" s="232"/>
      <c r="BF94" s="222"/>
      <c r="BG94" s="253"/>
      <c r="BH94" s="253">
        <f t="shared" si="500"/>
        <v>0</v>
      </c>
      <c r="BI94" s="254">
        <f>IFERROR(IF(BV94=100%,$BG94,0),0)</f>
        <v>0</v>
      </c>
      <c r="BJ94" s="255">
        <f>IFERROR(IF(AND((BV94+BW94)=100%,BV94&lt;1),$BG94,0),0)</f>
        <v>0</v>
      </c>
      <c r="BK94" s="255">
        <f>IFERROR(IF(AND((CA94+CC94)=BZ94,BI94=0),$BG94,0),0)</f>
        <v>0</v>
      </c>
      <c r="BL94" s="255">
        <f t="shared" si="520"/>
        <v>0</v>
      </c>
      <c r="BM94" s="255">
        <f>IFERROR(IF(AND((CA94+CC94+CD94+CE94)=BZ94,BI94=0,BK94=0,BL94=0),$BG94,0),0)</f>
        <v>0</v>
      </c>
      <c r="BN94" s="255">
        <f>IFERROR(IF(AND((CA94+CC94+CD94+CE94+CF94)=BZ94,BI94=0,BK94=0,BL94=0,BM94=0),$BG94,0),0)</f>
        <v>0</v>
      </c>
      <c r="BO94" s="256"/>
      <c r="BP94" s="255">
        <f>IFERROR(IF(AND((BV94+BX94)=100%,BV94&lt;1),$BG94,0),0)</f>
        <v>0</v>
      </c>
      <c r="BQ94" s="255">
        <f>IFERROR(IF(AND((CA94+CI94)=BZ94,BI94=0),$BG94,0),0)</f>
        <v>0</v>
      </c>
      <c r="BR94" s="255">
        <f t="shared" si="521"/>
        <v>0</v>
      </c>
      <c r="BS94" s="255">
        <f>IFERROR(IF(AND((CA94+CI94+CJ94+CK94)=BZ94,BI94=0,BQ94=0,BR94=0),$BG94,0),0)</f>
        <v>0</v>
      </c>
      <c r="BT94" s="255">
        <f>IFERROR(IF(AND((CA94+CI94+CL94+CJ94+CK94)=BZ94,BI94=0,BQ94=0,BR94=0,BS94=0),$BG94,0),0)</f>
        <v>0</v>
      </c>
      <c r="BU94" s="169"/>
      <c r="BV94" s="279">
        <f>IFERROR(CA94/BZ94,0)</f>
        <v>0</v>
      </c>
      <c r="BW94" s="279">
        <f>IFERROR(CB94/BZ94,0)</f>
        <v>0</v>
      </c>
      <c r="BX94" s="279">
        <f>IFERROR(#REF!/BZ94,0)</f>
        <v>0</v>
      </c>
      <c r="BZ94" s="297">
        <f>COUNTIF('ST | Drawing List'!$G:$G,$B94)</f>
        <v>0</v>
      </c>
      <c r="CA94" s="191">
        <f>COUNTIFS('ST | Drawing List'!$G:$G,$B94,INDEX('ST | Drawing List'!$A:$U,,MATCH('Design Fee'!CA$8,'ST | Drawing List'!$A$1:$U$1,0)),1)</f>
        <v>0</v>
      </c>
      <c r="CB94" s="191">
        <f>COUNTIFS('ST | Drawing List'!$G:$G,$B94,INDEX('ST | Drawing List'!$J:$U,,MATCH('Design Fee'!CB$8,'ST | Drawing List'!$J$1:$U$1,0)),1)</f>
        <v>0</v>
      </c>
      <c r="CC94" s="191">
        <f>COUNTIFS('ST | Drawing List'!$G:$G,$B94,INDEX('ST | Drawing List'!$J:$U,,MATCH('Design Fee'!CC$8,'ST | Drawing List'!$J$1:$U$1,0)),1)</f>
        <v>0</v>
      </c>
      <c r="CD94" s="191">
        <f>COUNTIFS('ST | Drawing List'!$G:$G,$B94,INDEX('ST | Drawing List'!$J:$U,,MATCH('Design Fee'!CD$8,'ST | Drawing List'!$J$1:$U$1,0)),1)</f>
        <v>0</v>
      </c>
      <c r="CE94" s="191">
        <f>COUNTIFS('ST | Drawing List'!$G:$G,$B94,INDEX('ST | Drawing List'!$J:$U,,MATCH('Design Fee'!CE$8,'ST | Drawing List'!$J$1:$U$1,0)),1)</f>
        <v>0</v>
      </c>
      <c r="CF94" s="191">
        <f>COUNTIFS('ST | Drawing List'!$G:$G,$B94,INDEX('ST | Drawing List'!$J:$U,,MATCH('Design Fee'!CF$8,'ST | Drawing List'!$J$1:$U$1,0)),1)</f>
        <v>0</v>
      </c>
      <c r="CG94" s="198"/>
      <c r="CH94" s="191">
        <f>COUNTIFS('ST | Drawing List'!$G:$G,$B94,INDEX('ST | Drawing List'!$J:$U,,MATCH('Design Fee'!CH$8,'ST | Drawing List'!$J$1:$U$1,0)),1)</f>
        <v>0</v>
      </c>
      <c r="CI94" s="191">
        <f>COUNTIFS('ST | Drawing List'!$G:$G,$B94,INDEX('ST | Drawing List'!$J:$U,,MATCH('Design Fee'!CI$8,'ST | Drawing List'!$J$1:$U$1,0)),1)</f>
        <v>0</v>
      </c>
      <c r="CJ94" s="191">
        <f>COUNTIFS('ST | Drawing List'!$G:$G,$B94,INDEX('ST | Drawing List'!$J:$U,,MATCH('Design Fee'!CJ$8,'ST | Drawing List'!$J$1:$U$1,0)),1)</f>
        <v>0</v>
      </c>
      <c r="CK94" s="191">
        <f>COUNTIFS('ST | Drawing List'!$G:$G,$B94,INDEX('ST | Drawing List'!$J:$U,,MATCH('Design Fee'!CK$8,'ST | Drawing List'!$J$1:$U$1,0)),1)</f>
        <v>0</v>
      </c>
      <c r="CL94" s="191">
        <f>COUNTIFS('ST | Drawing List'!$G:$G,$B94,INDEX('ST | Drawing List'!$J:$U,,MATCH('Design Fee'!CL$8,'ST | Drawing List'!$J$1:$U$1,0)),1)</f>
        <v>0</v>
      </c>
      <c r="CN94" s="276">
        <v>0.15</v>
      </c>
      <c r="CO94" s="222"/>
      <c r="CP94" s="253">
        <f t="shared" si="526"/>
        <v>1.1670000000000001E-3</v>
      </c>
      <c r="CQ94" s="253">
        <f t="shared" si="504"/>
        <v>0</v>
      </c>
      <c r="CR94" s="254">
        <f>IFERROR(IF(DE94=100%,$CP94,0),0)</f>
        <v>0</v>
      </c>
      <c r="CS94" s="255">
        <f>IFERROR(IF(AND((DE94+DF94)=100%,DE94&lt;1),$CP94,0),0)</f>
        <v>1.1670000000000001E-3</v>
      </c>
      <c r="CT94" s="255">
        <f>IFERROR(IF(AND((DJ94+DL94)=DI94,CR94=0),$CP94,0),0)</f>
        <v>0</v>
      </c>
      <c r="CU94" s="255">
        <f>IFERROR(IF(AND((DJ94+DL94+DM94)=DI94,CR94=0,CT94=0),$CP94,0),0)</f>
        <v>0</v>
      </c>
      <c r="CV94" s="255">
        <f>IFERROR(IF(AND((DJ94+DL94+DM94+DN94)=DI94,CR94=0,CT94=0,CU94=0),$CP94,0),0)</f>
        <v>1.1670000000000001E-3</v>
      </c>
      <c r="CW94" s="255">
        <f>IFERROR(IF(AND((DJ94+DL94+DM94+DN94+DO94)=DI94,CR94=0,CT94=0,CU94=0,CV94=0),$CP94,0),0)</f>
        <v>0</v>
      </c>
      <c r="CX94" s="256"/>
      <c r="CY94" s="255">
        <f>IFERROR(IF(AND((DE94+DG94)=100%,DE94&lt;1),$CP94,0),0)</f>
        <v>0</v>
      </c>
      <c r="CZ94" s="255">
        <f>IFERROR(IF(AND((DJ94+DR94)=DI94,CR94=0),$CP94,0),0)</f>
        <v>0</v>
      </c>
      <c r="DA94" s="255">
        <f t="shared" si="522"/>
        <v>0</v>
      </c>
      <c r="DB94" s="255">
        <f>IFERROR(IF(AND((DJ94+DR94+DS94+DT94)=DI94,CR94=0,CZ94=0,DA94=0),$CP94,0),0)</f>
        <v>0</v>
      </c>
      <c r="DC94" s="255">
        <f>IFERROR(IF(AND((DJ94+DR94+DU94+DS94+DT94)=DI94,CR94=0,CZ94=0,DA94=0,DB94=0),$CP94,0),0)</f>
        <v>0</v>
      </c>
      <c r="DD94" s="183"/>
      <c r="DE94" s="300">
        <f>IFERROR(DJ94/DI94,0)</f>
        <v>0</v>
      </c>
      <c r="DF94" s="300">
        <f>IFERROR(DK94/DI94,0)</f>
        <v>1</v>
      </c>
      <c r="DG94" s="300">
        <f t="shared" si="523"/>
        <v>0</v>
      </c>
      <c r="DI94" s="297">
        <f>COUNTIF('MEP | Drawing List'!$I:$I,$B94)</f>
        <v>1</v>
      </c>
      <c r="DJ94" s="191">
        <f>COUNTIFS('MEP | Drawing List'!$I:$I,$B94,INDEX('MEP | Drawing List'!$B:$X,,MATCH('Design Fee'!DJ$8,'MEP | Drawing List'!$B$1:$X$1,0)),1)</f>
        <v>0</v>
      </c>
      <c r="DK94" s="191">
        <f>COUNTIFS('MEP | Drawing List'!$I:$I,$B94,INDEX('MEP | Drawing List'!$L:$X,,MATCH('Design Fee'!DK$8,'MEP | Drawing List'!$L$1:$X$1,0)),1)</f>
        <v>1</v>
      </c>
      <c r="DL94" s="191">
        <f>COUNTIFS('MEP | Drawing List'!$I:$I,$B94,INDEX('MEP | Drawing List'!$L:$X,,MATCH('Design Fee'!DL$8,'MEP | Drawing List'!$L$1:$X$1,0)),1)</f>
        <v>0</v>
      </c>
      <c r="DM94" s="191">
        <f>COUNTIFS('MEP | Drawing List'!$I:$I,$B94,INDEX('MEP | Drawing List'!$L:$X,,MATCH('Design Fee'!DM$8,'MEP | Drawing List'!$L$1:$X$1,0)),1)</f>
        <v>0</v>
      </c>
      <c r="DN94" s="191">
        <f>COUNTIFS('MEP | Drawing List'!$I:$I,$B94,INDEX('MEP | Drawing List'!$L:$X,,MATCH('Design Fee'!DN$8,'MEP | Drawing List'!$L$1:$X$1,0)),1)</f>
        <v>1</v>
      </c>
      <c r="DO94" s="191">
        <f>COUNTIFS('MEP | Drawing List'!$I:$I,$B94,INDEX('MEP | Drawing List'!$L:$X,,MATCH('Design Fee'!DO$8,'MEP | Drawing List'!$L$1:$X$1,0)),1)</f>
        <v>0</v>
      </c>
      <c r="DP94" s="198"/>
      <c r="DQ94" s="191">
        <f>COUNTIFS('MEP | Drawing List'!$I:$I,$B94,INDEX('MEP | Drawing List'!$L:$X,,MATCH('Design Fee'!DQ$8,'MEP | Drawing List'!$L$1:$X$1,0)),1)</f>
        <v>0</v>
      </c>
      <c r="DR94" s="191">
        <f>COUNTIFS('MEP | Drawing List'!$I:$I,$B94,INDEX('MEP | Drawing List'!$L:$X,,MATCH('Design Fee'!DR$8,'MEP | Drawing List'!$L$1:$X$1,0)),1)</f>
        <v>0</v>
      </c>
      <c r="DS94" s="191">
        <f>COUNTIFS('MEP | Drawing List'!$I:$I,$B94,INDEX('MEP | Drawing List'!$L:$X,,MATCH('Design Fee'!DS$8,'MEP | Drawing List'!$L$1:$X$1,0)),1)</f>
        <v>0</v>
      </c>
      <c r="DT94" s="191">
        <f>COUNTIFS('MEP | Drawing List'!$I:$I,$B94,INDEX('MEP | Drawing List'!$L:$X,,MATCH('Design Fee'!DT$8,'MEP | Drawing List'!$L$1:$X$1,0)),1)</f>
        <v>0</v>
      </c>
      <c r="DU94" s="191">
        <f>COUNTIFS('MEP | Drawing List'!$I:$I,$B94,INDEX('MEP | Drawing List'!$L:$X,,MATCH('Design Fee'!DU$8,'MEP | Drawing List'!$L$1:$X$1,0)),1)</f>
        <v>0</v>
      </c>
      <c r="DV94" s="207"/>
      <c r="DX94" s="276">
        <v>0.2</v>
      </c>
      <c r="DY94" s="222"/>
      <c r="DZ94" s="253">
        <f t="shared" si="527"/>
        <v>3.8959620000000007E-2</v>
      </c>
      <c r="EA94" s="253">
        <f t="shared" si="508"/>
        <v>0</v>
      </c>
      <c r="EB94" s="254">
        <f>IFERROR(IF(EO94=100%,$DZ94,0),0)</f>
        <v>0</v>
      </c>
      <c r="EC94" s="255">
        <f>IFERROR(IF(AND((EO94+EP94)=100%,EO94&lt;1),$DZ94,0),0)</f>
        <v>3.8959620000000007E-2</v>
      </c>
      <c r="ED94" s="255">
        <f>IFERROR(IF(AND((ET94+EV94)=ES94,EB94=0),$DZ94,0),0)</f>
        <v>0</v>
      </c>
      <c r="EE94" s="255">
        <f>IFERROR(IF(AND((ET94+EV94+EW94)=ES94,EB94=0,ED94=0),$DZ94,0),0)</f>
        <v>3.8959620000000007E-2</v>
      </c>
      <c r="EF94" s="255">
        <f>IFERROR(IF(AND((ET94+EV94+EW94+EX94)=ES94,EB94=0,ED94=0,EE94=0),$DZ94,0),0)</f>
        <v>0</v>
      </c>
      <c r="EG94" s="255">
        <f>IFERROR(IF(AND((ET94+EV94+EW94+EX94+EY94)=ES94,EB94=0,ED94=0,EE94=0,EF94=0),$DZ94,0),0)</f>
        <v>0</v>
      </c>
      <c r="EH94" s="256"/>
      <c r="EI94" s="255">
        <f>IFERROR(IF(AND((EO94+EQ94)=100%,EO94&lt;1),$DZ94,0),0)</f>
        <v>0</v>
      </c>
      <c r="EJ94" s="255">
        <f>IFERROR(IF(AND((ET94+FB94)=ES94,EB94=0),$DZ94,0),0)</f>
        <v>0</v>
      </c>
      <c r="EK94" s="255">
        <f>IFERROR(IF(AND((ET94+FB94+FC94)=ES94,EB94=0,EJ94=0),DZ94,0),0)</f>
        <v>0</v>
      </c>
      <c r="EL94" s="255">
        <f>IFERROR(IF(AND((ET94+FB94+FC94+FD94)=ES94,EB94=0,EJ94=0,EK94=0),$DZ94,0),0)</f>
        <v>0</v>
      </c>
      <c r="EM94" s="255">
        <f>IFERROR(IF(AND((ET94+FB94+FE94+FC94+FD94)=ES94,EB94=0,EJ94=0,EK94=0,EL94=0),$DZ94,0),0)</f>
        <v>0</v>
      </c>
      <c r="EN94" s="183"/>
      <c r="EO94" s="300">
        <f>IFERROR(ET94/ES94,0)</f>
        <v>0</v>
      </c>
      <c r="EP94" s="300">
        <f>IFERROR(EU94/ES94,0)</f>
        <v>1</v>
      </c>
      <c r="EQ94" s="300">
        <f t="shared" si="524"/>
        <v>0</v>
      </c>
      <c r="ES94" s="297">
        <f>COUNTIF('LS | Drawing List'!$H:$H,$B94)</f>
        <v>2</v>
      </c>
      <c r="ET94" s="191">
        <f>COUNTIFS('LS | Drawing List'!$H:$H,$B94,INDEX('LS | Drawing List'!$A:$V,,MATCH('Design Fee'!ET$8,'LS | Drawing List'!$A$1:$V$1,0)),1)</f>
        <v>0</v>
      </c>
      <c r="EU94" s="191">
        <f>COUNTIFS('LS | Drawing List'!$H:$H,$B94,INDEX('LS | Drawing List'!$K:$V,,MATCH('Design Fee'!EU$8,'LS | Drawing List'!$K$1:$V$1,0)),1)</f>
        <v>2</v>
      </c>
      <c r="EV94" s="191">
        <f>COUNTIFS('LS | Drawing List'!$H:$H,$B94,INDEX('LS | Drawing List'!$K:$V,,MATCH('Design Fee'!EV$8,'LS | Drawing List'!$K$1:$V$1,0)),1)</f>
        <v>0</v>
      </c>
      <c r="EW94" s="191">
        <f>COUNTIFS('LS | Drawing List'!$H:$H,$B94,INDEX('LS | Drawing List'!$K:$V,,MATCH('Design Fee'!EW$8,'LS | Drawing List'!$K$1:$V$1,0)),1)</f>
        <v>2</v>
      </c>
      <c r="EX94" s="191">
        <f>COUNTIFS('LS | Drawing List'!$H:$H,$B94,INDEX('LS | Drawing List'!$K:$V,,MATCH('Design Fee'!EX$8,'LS | Drawing List'!$K$1:$V$1,0)),1)</f>
        <v>0</v>
      </c>
      <c r="EY94" s="191">
        <f>COUNTIFS('LS | Drawing List'!$H:$H,$B94,INDEX('LS | Drawing List'!$K:$V,,MATCH('Design Fee'!EY$8,'LS | Drawing List'!$K$1:$V$1,0)),1)</f>
        <v>0</v>
      </c>
      <c r="EZ94" s="198"/>
      <c r="FA94" s="191">
        <f>COUNTIFS('LS | Drawing List'!$H:$H,$B94,INDEX('LS | Drawing List'!$K:$V,,MATCH('Design Fee'!FA$8,'LS | Drawing List'!$K$1:$V$1,0)),1)</f>
        <v>0</v>
      </c>
      <c r="FB94" s="191">
        <f>COUNTIFS('LS | Drawing List'!$H:$H,$B94,INDEX('LS | Drawing List'!$K:$V,,MATCH('Design Fee'!FB$8,'LS | Drawing List'!$K$1:$V$1,0)),1)</f>
        <v>0</v>
      </c>
      <c r="FC94" s="191">
        <f>COUNTIFS('LS | Drawing List'!$H:$H,$B94,INDEX('LS | Drawing List'!$K:$V,,MATCH('Design Fee'!FC$8,'LS | Drawing List'!$K$1:$V$1,0)),1)</f>
        <v>0</v>
      </c>
      <c r="FD94" s="191">
        <f>COUNTIFS('LS | Drawing List'!$H:$H,$B94,INDEX('LS | Drawing List'!$K:$V,,MATCH('Design Fee'!FD$8,'LS | Drawing List'!$K$1:$V$1,0)),1)</f>
        <v>0</v>
      </c>
      <c r="FE94" s="191">
        <f>COUNTIFS('LS | Drawing List'!$H:$H,$B94,INDEX('LS | Drawing List'!$K:$V,,MATCH('Design Fee'!FE$8,'LS | Drawing List'!$K$1:$V$1,0)),1)</f>
        <v>0</v>
      </c>
      <c r="FF94" s="207"/>
    </row>
    <row r="95" spans="2:162" ht="15" outlineLevel="2">
      <c r="B95" s="459" t="s">
        <v>170</v>
      </c>
      <c r="C95" s="280" t="s">
        <v>116</v>
      </c>
      <c r="E95" s="253">
        <f t="shared" si="493"/>
        <v>6.4899525000000013E-2</v>
      </c>
      <c r="F95" s="253">
        <f t="shared" si="493"/>
        <v>0</v>
      </c>
      <c r="G95" s="254">
        <f t="shared" si="512"/>
        <v>6.4899525000000013E-2</v>
      </c>
      <c r="H95" s="253">
        <f t="shared" si="495"/>
        <v>0</v>
      </c>
      <c r="I95" s="253">
        <f t="shared" si="495"/>
        <v>6.4899525000000013E-2</v>
      </c>
      <c r="J95" s="254">
        <f t="shared" si="495"/>
        <v>1.6200000000000003E-2</v>
      </c>
      <c r="K95" s="254">
        <f t="shared" si="495"/>
        <v>0</v>
      </c>
      <c r="L95" s="254">
        <f t="shared" si="495"/>
        <v>4.8699525000000007E-2</v>
      </c>
      <c r="M95" s="253">
        <f t="shared" si="495"/>
        <v>0</v>
      </c>
      <c r="N95" s="256"/>
      <c r="O95" s="253">
        <f t="shared" si="496"/>
        <v>0</v>
      </c>
      <c r="P95" s="253">
        <f t="shared" si="496"/>
        <v>0</v>
      </c>
      <c r="Q95" s="253">
        <f t="shared" si="496"/>
        <v>0</v>
      </c>
      <c r="R95" s="253">
        <f t="shared" si="496"/>
        <v>0</v>
      </c>
      <c r="S95" s="253">
        <f t="shared" si="496"/>
        <v>0</v>
      </c>
      <c r="T95" s="169"/>
      <c r="U95" s="183"/>
      <c r="V95" s="232">
        <v>0.15</v>
      </c>
      <c r="W95" s="222"/>
      <c r="X95" s="253">
        <f t="shared" si="525"/>
        <v>1.6200000000000003E-2</v>
      </c>
      <c r="Y95" s="253">
        <f t="shared" si="497"/>
        <v>0</v>
      </c>
      <c r="Z95" s="254">
        <f t="shared" si="513"/>
        <v>0</v>
      </c>
      <c r="AA95" s="255">
        <f t="shared" si="514"/>
        <v>1.6200000000000003E-2</v>
      </c>
      <c r="AB95" s="255">
        <f t="shared" si="515"/>
        <v>1.6200000000000003E-2</v>
      </c>
      <c r="AC95" s="255">
        <f t="shared" si="516"/>
        <v>0</v>
      </c>
      <c r="AD95" s="255">
        <f>IFERROR(IF(AND((AR95+AT95+AU95+AV95)=AQ95,Z95=0,AB95=0,AC95=0),$X95,0),0)</f>
        <v>0</v>
      </c>
      <c r="AE95" s="255">
        <f>IFERROR(IF(AND((AR95+AT95+AU95+AV95+AW95)=AQ95,Z95=0,AB95=0,AC95=0,AD95=0),$X95,0),0)</f>
        <v>0</v>
      </c>
      <c r="AF95" s="256"/>
      <c r="AG95" s="255">
        <f>IFERROR(IF(AND((AM95+AO95)=100%,AM95&lt;1),$X95,0),0)</f>
        <v>0</v>
      </c>
      <c r="AH95" s="255">
        <f>IFERROR(IF(AND((AR95+AZ95)=AQ95,Z95=0),$X95,0),0)</f>
        <v>0</v>
      </c>
      <c r="AI95" s="255">
        <f t="shared" si="517"/>
        <v>0</v>
      </c>
      <c r="AJ95" s="255">
        <f t="shared" si="518"/>
        <v>0</v>
      </c>
      <c r="AK95" s="255">
        <f>IFERROR(IF(AND((AR95+AZ95+BC95+BA95+BB95)=AQ95,Z95=0,AH95=0,AI95=0,AJ95=0),$X95,0),0)</f>
        <v>0</v>
      </c>
      <c r="AL95" s="169"/>
      <c r="AM95" s="279">
        <f>IFERROR(AR95/AQ95,0)</f>
        <v>0</v>
      </c>
      <c r="AN95" s="279">
        <f>IFERROR(AS95/AQ95,0)</f>
        <v>1</v>
      </c>
      <c r="AO95" s="279">
        <f t="shared" si="519"/>
        <v>0</v>
      </c>
      <c r="AQ95" s="364">
        <f>COUNTIF('AR | Drawing List'!$H:$H,$B95)</f>
        <v>17</v>
      </c>
      <c r="AR95" s="365">
        <f>COUNTIFS('AR | Drawing List'!$H:$H,$B95,INDEX('AR | Drawing List'!$A:$AT,,MATCH('Design Fee'!AR$8,'AR | Drawing List'!$A$1:$AT$1,0)),1)</f>
        <v>0</v>
      </c>
      <c r="AS95" s="365">
        <f>COUNTIFS('AR | Drawing List'!$H:$H,$B95,INDEX('AR | Drawing List'!$K:$AT,,MATCH('Design Fee'!AS$8,'AR | Drawing List'!$K$1:$AT$1,0)),1)</f>
        <v>17</v>
      </c>
      <c r="AT95" s="365">
        <f>COUNTIFS('AR | Drawing List'!$H:$H,$B95,INDEX('AR | Drawing List'!$K:$AT,,MATCH('Design Fee'!AT$8,'AR | Drawing List'!$K$1:$AT$1,0)),1)</f>
        <v>17</v>
      </c>
      <c r="AU95" s="365">
        <f>COUNTIFS('AR | Drawing List'!$H:$H,$B95,INDEX('AR | Drawing List'!$K:$AT,,MATCH('Design Fee'!AU$8,'AR | Drawing List'!$K$1:$AT$1,0)),1)</f>
        <v>0</v>
      </c>
      <c r="AV95" s="365">
        <f>COUNTIFS('AR | Drawing List'!$H:$H,$B95,INDEX('AR | Drawing List'!$K:$AT,,MATCH('Design Fee'!AV$8,'AR | Drawing List'!$K$1:$AT$1,0)),1)</f>
        <v>0</v>
      </c>
      <c r="AW95" s="365">
        <f>COUNTIFS('AR | Drawing List'!$H:$H,$B95,INDEX('AR | Drawing List'!$K:$AT,,MATCH('Design Fee'!AW$8,'AR | Drawing List'!$K$1:$AT$1,0)),1)</f>
        <v>0</v>
      </c>
      <c r="AX95" s="198"/>
      <c r="AY95" s="365">
        <f>COUNTIFS('AR | Drawing List'!$H:$H,$B95,INDEX('AR | Drawing List'!$K:$AT,,MATCH('Design Fee'!AY$8,'AR | Drawing List'!$K$1:$AT$1,0)),1)</f>
        <v>0</v>
      </c>
      <c r="AZ95" s="365">
        <f>COUNTIFS('AR | Drawing List'!$H:$H,$B95,INDEX('AR | Drawing List'!$K:$AT,,MATCH('Design Fee'!AZ$8,'AR | Drawing List'!$K$1:$AT$1,0)),1)</f>
        <v>0</v>
      </c>
      <c r="BA95" s="365">
        <f>COUNTIFS('AR | Drawing List'!$H:$H,$B95,INDEX('AR | Drawing List'!$K:$AT,,MATCH('Design Fee'!BA$8,'AR | Drawing List'!$K$1:$AT$1,0)),1)</f>
        <v>0</v>
      </c>
      <c r="BB95" s="365">
        <f>COUNTIFS('AR | Drawing List'!$H:$H,$B95,INDEX('AR | Drawing List'!$K:$AT,,MATCH('Design Fee'!BB$8,'AR | Drawing List'!$K$1:$AT$1,0)),1)</f>
        <v>0</v>
      </c>
      <c r="BC95" s="365">
        <f>COUNTIFS('AR | Drawing List'!$H:$H,$B95,INDEX('AR | Drawing List'!$K:$AT,,MATCH('Design Fee'!BC$8,'AR | Drawing List'!$K$1:$AT$1,0)),1)</f>
        <v>0</v>
      </c>
      <c r="BE95" s="232"/>
      <c r="BF95" s="222"/>
      <c r="BG95" s="253"/>
      <c r="BH95" s="253">
        <f t="shared" si="500"/>
        <v>0</v>
      </c>
      <c r="BI95" s="254">
        <f>IFERROR(IF(BV95=100%,$BG95,0),0)</f>
        <v>0</v>
      </c>
      <c r="BJ95" s="255">
        <f>IFERROR(IF(AND((BV95+BW95)=100%,BV95&lt;1),$BG95,0),0)</f>
        <v>0</v>
      </c>
      <c r="BK95" s="255">
        <f>IFERROR(IF(AND((CA95+CC95)=BZ95,BI95=0),$BG95,0),0)</f>
        <v>0</v>
      </c>
      <c r="BL95" s="255">
        <f t="shared" si="520"/>
        <v>0</v>
      </c>
      <c r="BM95" s="255">
        <f>IFERROR(IF(AND((CA95+CC95+CD95+CE95)=BZ95,BI95=0,BK95=0,BL95=0),$BG95,0),0)</f>
        <v>0</v>
      </c>
      <c r="BN95" s="255">
        <f>IFERROR(IF(AND((CA95+CC95+CD95+CE95+CF95)=BZ95,BI95=0,BK95=0,BL95=0,BM95=0),$BG95,0),0)</f>
        <v>0</v>
      </c>
      <c r="BO95" s="256"/>
      <c r="BP95" s="255">
        <f>IFERROR(IF(AND((BV95+BX95)=100%,BV95&lt;1),$BG95,0),0)</f>
        <v>0</v>
      </c>
      <c r="BQ95" s="255">
        <f>IFERROR(IF(AND((CA95+CI95)=BZ95,BI95=0),$BG95,0),0)</f>
        <v>0</v>
      </c>
      <c r="BR95" s="255">
        <f t="shared" si="521"/>
        <v>0</v>
      </c>
      <c r="BS95" s="255">
        <f>IFERROR(IF(AND((CA95+CI95+CJ95+CK95)=BZ95,BI95=0,BQ95=0,BR95=0),$BG95,0),0)</f>
        <v>0</v>
      </c>
      <c r="BT95" s="255">
        <f>IFERROR(IF(AND((CA95+CI95+CL95+CJ95+CK95)=BZ95,BI95=0,BQ95=0,BR95=0,BS95=0),$BG95,0),0)</f>
        <v>0</v>
      </c>
      <c r="BU95" s="169"/>
      <c r="BV95" s="279">
        <f>IFERROR(CA95/BZ95,0)</f>
        <v>0</v>
      </c>
      <c r="BW95" s="279">
        <f>IFERROR(CB95/BZ95,0)</f>
        <v>0</v>
      </c>
      <c r="BX95" s="279">
        <f>IFERROR(#REF!/BZ95,0)</f>
        <v>0</v>
      </c>
      <c r="BZ95" s="297">
        <f>COUNTIF('ST | Drawing List'!$G:$G,$B95)</f>
        <v>0</v>
      </c>
      <c r="CA95" s="191">
        <f>COUNTIFS('ST | Drawing List'!$G:$G,$B95,INDEX('ST | Drawing List'!$A:$U,,MATCH('Design Fee'!CA$8,'ST | Drawing List'!$A$1:$U$1,0)),1)</f>
        <v>0</v>
      </c>
      <c r="CB95" s="191">
        <f>COUNTIFS('ST | Drawing List'!$G:$G,$B95,INDEX('ST | Drawing List'!$J:$U,,MATCH('Design Fee'!CB$8,'ST | Drawing List'!$J$1:$U$1,0)),1)</f>
        <v>0</v>
      </c>
      <c r="CC95" s="191">
        <f>COUNTIFS('ST | Drawing List'!$G:$G,$B95,INDEX('ST | Drawing List'!$J:$U,,MATCH('Design Fee'!CC$8,'ST | Drawing List'!$J$1:$U$1,0)),1)</f>
        <v>0</v>
      </c>
      <c r="CD95" s="191">
        <f>COUNTIFS('ST | Drawing List'!$G:$G,$B95,INDEX('ST | Drawing List'!$J:$U,,MATCH('Design Fee'!CD$8,'ST | Drawing List'!$J$1:$U$1,0)),1)</f>
        <v>0</v>
      </c>
      <c r="CE95" s="191">
        <f>COUNTIFS('ST | Drawing List'!$G:$G,$B95,INDEX('ST | Drawing List'!$J:$U,,MATCH('Design Fee'!CE$8,'ST | Drawing List'!$J$1:$U$1,0)),1)</f>
        <v>0</v>
      </c>
      <c r="CF95" s="191">
        <f>COUNTIFS('ST | Drawing List'!$G:$G,$B95,INDEX('ST | Drawing List'!$J:$U,,MATCH('Design Fee'!CF$8,'ST | Drawing List'!$J$1:$U$1,0)),1)</f>
        <v>0</v>
      </c>
      <c r="CG95" s="198"/>
      <c r="CH95" s="191">
        <f>COUNTIFS('ST | Drawing List'!$G:$G,$B95,INDEX('ST | Drawing List'!$J:$U,,MATCH('Design Fee'!CH$8,'ST | Drawing List'!$J$1:$U$1,0)),1)</f>
        <v>0</v>
      </c>
      <c r="CI95" s="191">
        <f>COUNTIFS('ST | Drawing List'!$G:$G,$B95,INDEX('ST | Drawing List'!$J:$U,,MATCH('Design Fee'!CI$8,'ST | Drawing List'!$J$1:$U$1,0)),1)</f>
        <v>0</v>
      </c>
      <c r="CJ95" s="191">
        <f>COUNTIFS('ST | Drawing List'!$G:$G,$B95,INDEX('ST | Drawing List'!$J:$U,,MATCH('Design Fee'!CJ$8,'ST | Drawing List'!$J$1:$U$1,0)),1)</f>
        <v>0</v>
      </c>
      <c r="CK95" s="191">
        <f>COUNTIFS('ST | Drawing List'!$G:$G,$B95,INDEX('ST | Drawing List'!$J:$U,,MATCH('Design Fee'!CK$8,'ST | Drawing List'!$J$1:$U$1,0)),1)</f>
        <v>0</v>
      </c>
      <c r="CL95" s="191">
        <f>COUNTIFS('ST | Drawing List'!$G:$G,$B95,INDEX('ST | Drawing List'!$J:$U,,MATCH('Design Fee'!CL$8,'ST | Drawing List'!$J$1:$U$1,0)),1)</f>
        <v>0</v>
      </c>
      <c r="CN95" s="276">
        <v>0</v>
      </c>
      <c r="CO95" s="222"/>
      <c r="CP95" s="253">
        <f t="shared" si="526"/>
        <v>0</v>
      </c>
      <c r="CQ95" s="253">
        <f t="shared" si="504"/>
        <v>0</v>
      </c>
      <c r="CR95" s="254">
        <f>IFERROR(IF(DE95=100%,$CP95,0),0)</f>
        <v>0</v>
      </c>
      <c r="CS95" s="255">
        <f>IFERROR(IF(AND((DE95+DF95)=100%,DE95&lt;1),$CP95,0),0)</f>
        <v>0</v>
      </c>
      <c r="CT95" s="255">
        <f>IFERROR(IF(AND((DJ95+DL95)=DI95,CR95=0),$CP95,0),0)</f>
        <v>0</v>
      </c>
      <c r="CU95" s="255">
        <f>IFERROR(IF(AND((DJ95+DL95+DM95)=DI95,CR95=0,CT95=0),$CP95,0),0)</f>
        <v>0</v>
      </c>
      <c r="CV95" s="255">
        <f>IFERROR(IF(AND((DJ95+DL95+DM95+DN95)=DI95,CR95=0,CT95=0,CU95=0),$CP95,0),0)</f>
        <v>0</v>
      </c>
      <c r="CW95" s="255">
        <f>IFERROR(IF(AND((DJ95+DL95+DM95+DN95+DO95)=DI95,CR95=0,CT95=0,CU95=0,CV95=0),$CP95,0),0)</f>
        <v>0</v>
      </c>
      <c r="CX95" s="256"/>
      <c r="CY95" s="255">
        <f>IFERROR(IF(AND((DE95+DG95)=100%,DE95&lt;1),$CP95,0),0)</f>
        <v>0</v>
      </c>
      <c r="CZ95" s="255">
        <f>IFERROR(IF(AND((DJ95+DR95)=DI95,CR95=0),$CP95,0),0)</f>
        <v>0</v>
      </c>
      <c r="DA95" s="255">
        <f t="shared" si="522"/>
        <v>0</v>
      </c>
      <c r="DB95" s="255">
        <f>IFERROR(IF(AND((DJ95+DR95+DS95+DT95)=DI95,CR95=0,CZ95=0,DA95=0),$CP95,0),0)</f>
        <v>0</v>
      </c>
      <c r="DC95" s="255">
        <f>IFERROR(IF(AND((DJ95+DR95+DU95+DS95+DT95)=DI95,CR95=0,CZ95=0,DA95=0,DB95=0),$CP95,0),0)</f>
        <v>0</v>
      </c>
      <c r="DD95" s="183"/>
      <c r="DE95" s="300">
        <f>IFERROR(DJ95/DI95,0)</f>
        <v>0</v>
      </c>
      <c r="DF95" s="300">
        <f>IFERROR(DK95/DI95,0)</f>
        <v>0</v>
      </c>
      <c r="DG95" s="300">
        <f t="shared" si="523"/>
        <v>0</v>
      </c>
      <c r="DI95" s="297">
        <f>COUNTIF('MEP | Drawing List'!$I:$I,$B95)</f>
        <v>0</v>
      </c>
      <c r="DJ95" s="191">
        <f>COUNTIFS('MEP | Drawing List'!$I:$I,$B95,INDEX('MEP | Drawing List'!$B:$X,,MATCH('Design Fee'!DJ$8,'MEP | Drawing List'!$B$1:$X$1,0)),1)</f>
        <v>0</v>
      </c>
      <c r="DK95" s="191">
        <f>COUNTIFS('MEP | Drawing List'!$I:$I,$B95,INDEX('MEP | Drawing List'!$L:$X,,MATCH('Design Fee'!DK$8,'MEP | Drawing List'!$L$1:$X$1,0)),1)</f>
        <v>0</v>
      </c>
      <c r="DL95" s="191">
        <f>COUNTIFS('MEP | Drawing List'!$I:$I,$B95,INDEX('MEP | Drawing List'!$L:$X,,MATCH('Design Fee'!DL$8,'MEP | Drawing List'!$L$1:$X$1,0)),1)</f>
        <v>0</v>
      </c>
      <c r="DM95" s="191">
        <f>COUNTIFS('MEP | Drawing List'!$I:$I,$B95,INDEX('MEP | Drawing List'!$L:$X,,MATCH('Design Fee'!DM$8,'MEP | Drawing List'!$L$1:$X$1,0)),1)</f>
        <v>0</v>
      </c>
      <c r="DN95" s="191">
        <f>COUNTIFS('MEP | Drawing List'!$I:$I,$B95,INDEX('MEP | Drawing List'!$L:$X,,MATCH('Design Fee'!DN$8,'MEP | Drawing List'!$L$1:$X$1,0)),1)</f>
        <v>0</v>
      </c>
      <c r="DO95" s="191">
        <f>COUNTIFS('MEP | Drawing List'!$I:$I,$B95,INDEX('MEP | Drawing List'!$L:$X,,MATCH('Design Fee'!DO$8,'MEP | Drawing List'!$L$1:$X$1,0)),1)</f>
        <v>0</v>
      </c>
      <c r="DP95" s="198"/>
      <c r="DQ95" s="191">
        <f>COUNTIFS('MEP | Drawing List'!$I:$I,$B95,INDEX('MEP | Drawing List'!$L:$X,,MATCH('Design Fee'!DQ$8,'MEP | Drawing List'!$L$1:$X$1,0)),1)</f>
        <v>0</v>
      </c>
      <c r="DR95" s="191">
        <f>COUNTIFS('MEP | Drawing List'!$I:$I,$B95,INDEX('MEP | Drawing List'!$L:$X,,MATCH('Design Fee'!DR$8,'MEP | Drawing List'!$L$1:$X$1,0)),1)</f>
        <v>0</v>
      </c>
      <c r="DS95" s="191">
        <f>COUNTIFS('MEP | Drawing List'!$I:$I,$B95,INDEX('MEP | Drawing List'!$L:$X,,MATCH('Design Fee'!DS$8,'MEP | Drawing List'!$L$1:$X$1,0)),1)</f>
        <v>0</v>
      </c>
      <c r="DT95" s="191">
        <f>COUNTIFS('MEP | Drawing List'!$I:$I,$B95,INDEX('MEP | Drawing List'!$L:$X,,MATCH('Design Fee'!DT$8,'MEP | Drawing List'!$L$1:$X$1,0)),1)</f>
        <v>0</v>
      </c>
      <c r="DU95" s="191">
        <f>COUNTIFS('MEP | Drawing List'!$I:$I,$B95,INDEX('MEP | Drawing List'!$L:$X,,MATCH('Design Fee'!DU$8,'MEP | Drawing List'!$L$1:$X$1,0)),1)</f>
        <v>0</v>
      </c>
      <c r="DV95" s="207"/>
      <c r="DX95" s="276">
        <v>0.25</v>
      </c>
      <c r="DY95" s="222"/>
      <c r="DZ95" s="253">
        <f t="shared" si="527"/>
        <v>4.8699525000000007E-2</v>
      </c>
      <c r="EA95" s="253">
        <f t="shared" si="508"/>
        <v>0</v>
      </c>
      <c r="EB95" s="254">
        <f>IFERROR(IF(EO95=100%,$DZ95,0),0)</f>
        <v>0</v>
      </c>
      <c r="EC95" s="255">
        <f>IFERROR(IF(AND((EO95+EP95)=100%,EO95&lt;1),$DZ95,0),0)</f>
        <v>4.8699525000000007E-2</v>
      </c>
      <c r="ED95" s="255">
        <f>IFERROR(IF(AND((ET95+EV95)=ES95,EB95=0),$DZ95,0),0)</f>
        <v>0</v>
      </c>
      <c r="EE95" s="255">
        <f>IFERROR(IF(AND((ET95+EV95+EW95)=ES95,EB95=0,ED95=0),$DZ95,0),0)</f>
        <v>0</v>
      </c>
      <c r="EF95" s="255">
        <f>IFERROR(IF(AND((ET95+EV95+EW95+EX95)=ES95,EB95=0,ED95=0,EE95=0),$DZ95,0),0)</f>
        <v>4.8699525000000007E-2</v>
      </c>
      <c r="EG95" s="255">
        <f>IFERROR(IF(AND((ET95+EV95+EW95+EX95+EY95)=ES95,EB95=0,ED95=0,EE95=0,EF95=0),$DZ95,0),0)</f>
        <v>0</v>
      </c>
      <c r="EH95" s="256"/>
      <c r="EI95" s="255">
        <f>IFERROR(IF(AND((EO95+EQ95)=100%,EO95&lt;1),$DZ95,0),0)</f>
        <v>0</v>
      </c>
      <c r="EJ95" s="255">
        <f>IFERROR(IF(AND((ET95+FB95)=ES95,EB95=0),$DZ95,0),0)</f>
        <v>0</v>
      </c>
      <c r="EK95" s="255">
        <f>IFERROR(IF(AND((ET95+FB95+FC95)=ES95,EB95=0,EJ95=0),DZ95,0),0)</f>
        <v>0</v>
      </c>
      <c r="EL95" s="255">
        <f>IFERROR(IF(AND((ET95+FB95+FC95+FD95)=ES95,EB95=0,EJ95=0,EK95=0),$DZ95,0),0)</f>
        <v>0</v>
      </c>
      <c r="EM95" s="255">
        <f>IFERROR(IF(AND((ET95+FB95+FE95+FC95+FD95)=ES95,EB95=0,EJ95=0,EK95=0,EL95=0),$DZ95,0),0)</f>
        <v>0</v>
      </c>
      <c r="EN95" s="183"/>
      <c r="EO95" s="300">
        <f>IFERROR(ET95/ES95,0)</f>
        <v>0</v>
      </c>
      <c r="EP95" s="300">
        <f>IFERROR(EU95/ES95,0)</f>
        <v>1</v>
      </c>
      <c r="EQ95" s="300">
        <f t="shared" si="524"/>
        <v>0</v>
      </c>
      <c r="ES95" s="297">
        <f>COUNTIF('LS | Drawing List'!$H:$H,$B95)</f>
        <v>9</v>
      </c>
      <c r="ET95" s="191">
        <f>COUNTIFS('LS | Drawing List'!$H:$H,$B95,INDEX('LS | Drawing List'!$A:$V,,MATCH('Design Fee'!ET$8,'LS | Drawing List'!$A$1:$V$1,0)),1)</f>
        <v>0</v>
      </c>
      <c r="EU95" s="191">
        <f>COUNTIFS('LS | Drawing List'!$H:$H,$B95,INDEX('LS | Drawing List'!$K:$V,,MATCH('Design Fee'!EU$8,'LS | Drawing List'!$K$1:$V$1,0)),1)</f>
        <v>9</v>
      </c>
      <c r="EV95" s="191">
        <f>COUNTIFS('LS | Drawing List'!$H:$H,$B95,INDEX('LS | Drawing List'!$K:$V,,MATCH('Design Fee'!EV$8,'LS | Drawing List'!$K$1:$V$1,0)),1)</f>
        <v>0</v>
      </c>
      <c r="EW95" s="191">
        <f>COUNTIFS('LS | Drawing List'!$H:$H,$B95,INDEX('LS | Drawing List'!$K:$V,,MATCH('Design Fee'!EW$8,'LS | Drawing List'!$K$1:$V$1,0)),1)</f>
        <v>0</v>
      </c>
      <c r="EX95" s="191">
        <f>COUNTIFS('LS | Drawing List'!$H:$H,$B95,INDEX('LS | Drawing List'!$K:$V,,MATCH('Design Fee'!EX$8,'LS | Drawing List'!$K$1:$V$1,0)),1)</f>
        <v>9</v>
      </c>
      <c r="EY95" s="191">
        <f>COUNTIFS('LS | Drawing List'!$H:$H,$B95,INDEX('LS | Drawing List'!$K:$V,,MATCH('Design Fee'!EY$8,'LS | Drawing List'!$K$1:$V$1,0)),1)</f>
        <v>0</v>
      </c>
      <c r="EZ95" s="198"/>
      <c r="FA95" s="191">
        <f>COUNTIFS('LS | Drawing List'!$H:$H,$B95,INDEX('LS | Drawing List'!$K:$V,,MATCH('Design Fee'!FA$8,'LS | Drawing List'!$K$1:$V$1,0)),1)</f>
        <v>0</v>
      </c>
      <c r="FB95" s="191">
        <f>COUNTIFS('LS | Drawing List'!$H:$H,$B95,INDEX('LS | Drawing List'!$K:$V,,MATCH('Design Fee'!FB$8,'LS | Drawing List'!$K$1:$V$1,0)),1)</f>
        <v>0</v>
      </c>
      <c r="FC95" s="191">
        <f>COUNTIFS('LS | Drawing List'!$H:$H,$B95,INDEX('LS | Drawing List'!$K:$V,,MATCH('Design Fee'!FC$8,'LS | Drawing List'!$K$1:$V$1,0)),1)</f>
        <v>0</v>
      </c>
      <c r="FD95" s="191">
        <f>COUNTIFS('LS | Drawing List'!$H:$H,$B95,INDEX('LS | Drawing List'!$K:$V,,MATCH('Design Fee'!FD$8,'LS | Drawing List'!$K$1:$V$1,0)),1)</f>
        <v>0</v>
      </c>
      <c r="FE95" s="191">
        <f>COUNTIFS('LS | Drawing List'!$H:$H,$B95,INDEX('LS | Drawing List'!$K:$V,,MATCH('Design Fee'!FE$8,'LS | Drawing List'!$K$1:$V$1,0)),1)</f>
        <v>0</v>
      </c>
      <c r="FF95" s="207"/>
    </row>
    <row r="96" spans="2:162" ht="11.85" customHeight="1" outlineLevel="2">
      <c r="B96" s="459" t="s">
        <v>171</v>
      </c>
      <c r="C96" s="280" t="s">
        <v>118</v>
      </c>
      <c r="E96" s="253">
        <f t="shared" si="493"/>
        <v>0</v>
      </c>
      <c r="F96" s="253">
        <f t="shared" si="493"/>
        <v>0</v>
      </c>
      <c r="G96" s="254">
        <f t="shared" si="512"/>
        <v>0</v>
      </c>
      <c r="H96" s="253">
        <f t="shared" si="495"/>
        <v>0</v>
      </c>
      <c r="I96" s="253">
        <f t="shared" si="495"/>
        <v>0</v>
      </c>
      <c r="J96" s="254">
        <f t="shared" si="495"/>
        <v>0</v>
      </c>
      <c r="K96" s="254">
        <f t="shared" si="495"/>
        <v>0</v>
      </c>
      <c r="L96" s="254">
        <f t="shared" si="495"/>
        <v>0</v>
      </c>
      <c r="M96" s="253">
        <f t="shared" si="495"/>
        <v>0</v>
      </c>
      <c r="N96" s="256"/>
      <c r="O96" s="253">
        <f t="shared" si="496"/>
        <v>0</v>
      </c>
      <c r="P96" s="253">
        <f t="shared" si="496"/>
        <v>0</v>
      </c>
      <c r="Q96" s="253">
        <f t="shared" si="496"/>
        <v>0</v>
      </c>
      <c r="R96" s="253">
        <f t="shared" si="496"/>
        <v>0</v>
      </c>
      <c r="S96" s="253">
        <f t="shared" si="496"/>
        <v>0</v>
      </c>
      <c r="T96" s="169"/>
      <c r="U96" s="183"/>
      <c r="V96" s="232">
        <v>0</v>
      </c>
      <c r="W96" s="222"/>
      <c r="X96" s="253">
        <f t="shared" si="525"/>
        <v>0</v>
      </c>
      <c r="Y96" s="253">
        <f t="shared" si="497"/>
        <v>0</v>
      </c>
      <c r="Z96" s="254">
        <f t="shared" si="513"/>
        <v>0</v>
      </c>
      <c r="AA96" s="255">
        <f t="shared" si="514"/>
        <v>0</v>
      </c>
      <c r="AB96" s="255">
        <f t="shared" si="515"/>
        <v>0</v>
      </c>
      <c r="AC96" s="255">
        <f t="shared" si="516"/>
        <v>0</v>
      </c>
      <c r="AD96" s="255">
        <f>IFERROR(IF(AND((AR96+AT96+AU96+AV96)=AQ96,Z96=0,AB96=0,AC96=0),$X96,0),0)</f>
        <v>0</v>
      </c>
      <c r="AE96" s="255">
        <f>IFERROR(IF(AND((AR96+AT96+AU96+AV96+AW96)=AQ96,Z96=0,AB96=0,AC96=0,AD96=0),$X96,0),0)</f>
        <v>0</v>
      </c>
      <c r="AF96" s="256"/>
      <c r="AG96" s="255">
        <f>IFERROR(IF(AND((AM96+AO96)=100%,AM96&lt;1),$X96,0),0)</f>
        <v>0</v>
      </c>
      <c r="AH96" s="255">
        <f>IFERROR(IF(AND((AR96+AZ96)=AQ96,Z96=0),$X96,0),0)</f>
        <v>0</v>
      </c>
      <c r="AI96" s="255">
        <f t="shared" si="517"/>
        <v>0</v>
      </c>
      <c r="AJ96" s="255">
        <f t="shared" si="518"/>
        <v>0</v>
      </c>
      <c r="AK96" s="255">
        <f>IFERROR(IF(AND((AR96+AZ96+BC96+BA96+BB96)=AQ96,Z96=0,AH96=0,AI96=0,AJ96=0),$X96,0),0)</f>
        <v>0</v>
      </c>
      <c r="AL96" s="169"/>
      <c r="AM96" s="279">
        <f>IFERROR(AR96/AQ96,0)</f>
        <v>0</v>
      </c>
      <c r="AN96" s="279">
        <f>IFERROR(AS96/AQ96,0)</f>
        <v>0</v>
      </c>
      <c r="AO96" s="279">
        <f t="shared" si="519"/>
        <v>0</v>
      </c>
      <c r="AQ96" s="364">
        <f>COUNTIF('AR | Drawing List'!$H:$H,$B96)</f>
        <v>0</v>
      </c>
      <c r="AR96" s="365">
        <f>COUNTIFS('AR | Drawing List'!$H:$H,$B96,INDEX('AR | Drawing List'!$A:$AT,,MATCH('Design Fee'!AR$8,'AR | Drawing List'!$A$1:$AT$1,0)),1)</f>
        <v>0</v>
      </c>
      <c r="AS96" s="365">
        <f>COUNTIFS('AR | Drawing List'!$H:$H,$B96,INDEX('AR | Drawing List'!$K:$AT,,MATCH('Design Fee'!AS$8,'AR | Drawing List'!$K$1:$AT$1,0)),1)</f>
        <v>0</v>
      </c>
      <c r="AT96" s="365">
        <f>COUNTIFS('AR | Drawing List'!$H:$H,$B96,INDEX('AR | Drawing List'!$K:$AT,,MATCH('Design Fee'!AT$8,'AR | Drawing List'!$K$1:$AT$1,0)),1)</f>
        <v>0</v>
      </c>
      <c r="AU96" s="365">
        <f>COUNTIFS('AR | Drawing List'!$H:$H,$B96,INDEX('AR | Drawing List'!$K:$AT,,MATCH('Design Fee'!AU$8,'AR | Drawing List'!$K$1:$AT$1,0)),1)</f>
        <v>0</v>
      </c>
      <c r="AV96" s="365">
        <f>COUNTIFS('AR | Drawing List'!$H:$H,$B96,INDEX('AR | Drawing List'!$K:$AT,,MATCH('Design Fee'!AV$8,'AR | Drawing List'!$K$1:$AT$1,0)),1)</f>
        <v>0</v>
      </c>
      <c r="AW96" s="365">
        <f>COUNTIFS('AR | Drawing List'!$H:$H,$B96,INDEX('AR | Drawing List'!$K:$AT,,MATCH('Design Fee'!AW$8,'AR | Drawing List'!$K$1:$AT$1,0)),1)</f>
        <v>0</v>
      </c>
      <c r="AX96" s="198"/>
      <c r="AY96" s="365">
        <f>COUNTIFS('AR | Drawing List'!$H:$H,$B96,INDEX('AR | Drawing List'!$K:$AT,,MATCH('Design Fee'!AY$8,'AR | Drawing List'!$K$1:$AT$1,0)),1)</f>
        <v>0</v>
      </c>
      <c r="AZ96" s="365">
        <f>COUNTIFS('AR | Drawing List'!$H:$H,$B96,INDEX('AR | Drawing List'!$K:$AT,,MATCH('Design Fee'!AZ$8,'AR | Drawing List'!$K$1:$AT$1,0)),1)</f>
        <v>0</v>
      </c>
      <c r="BA96" s="365">
        <f>COUNTIFS('AR | Drawing List'!$H:$H,$B96,INDEX('AR | Drawing List'!$K:$AT,,MATCH('Design Fee'!BA$8,'AR | Drawing List'!$K$1:$AT$1,0)),1)</f>
        <v>0</v>
      </c>
      <c r="BB96" s="365">
        <f>COUNTIFS('AR | Drawing List'!$H:$H,$B96,INDEX('AR | Drawing List'!$K:$AT,,MATCH('Design Fee'!BB$8,'AR | Drawing List'!$K$1:$AT$1,0)),1)</f>
        <v>0</v>
      </c>
      <c r="BC96" s="365">
        <f>COUNTIFS('AR | Drawing List'!$H:$H,$B96,INDEX('AR | Drawing List'!$K:$AT,,MATCH('Design Fee'!BC$8,'AR | Drawing List'!$K$1:$AT$1,0)),1)</f>
        <v>0</v>
      </c>
      <c r="BE96" s="232"/>
      <c r="BF96" s="222"/>
      <c r="BG96" s="253"/>
      <c r="BH96" s="253">
        <f t="shared" si="500"/>
        <v>0</v>
      </c>
      <c r="BI96" s="254">
        <f>IFERROR(IF(BV96=100%,$BG96,0),0)</f>
        <v>0</v>
      </c>
      <c r="BJ96" s="255">
        <f>IFERROR(IF(AND((BV96+BW96)=100%,BV96&lt;1),$BG96,0),0)</f>
        <v>0</v>
      </c>
      <c r="BK96" s="255">
        <f>IFERROR(IF(AND((CA96+CC96)=BZ96,BI96=0),$BG96,0),0)</f>
        <v>0</v>
      </c>
      <c r="BL96" s="255">
        <f t="shared" si="520"/>
        <v>0</v>
      </c>
      <c r="BM96" s="255">
        <f>IFERROR(IF(AND((CA96+CC96+CD96+CE96)=BZ96,BI96=0,BK96=0,BL96=0),$BG96,0),0)</f>
        <v>0</v>
      </c>
      <c r="BN96" s="255">
        <f>IFERROR(IF(AND((CA96+CC96+CD96+CE96+CF96)=BZ96,BI96=0,BK96=0,BL96=0,BM96=0),$BG96,0),0)</f>
        <v>0</v>
      </c>
      <c r="BO96" s="256"/>
      <c r="BP96" s="255">
        <f>IFERROR(IF(AND((BV96+BX96)=100%,BV96&lt;1),$BG96,0),0)</f>
        <v>0</v>
      </c>
      <c r="BQ96" s="255">
        <f>IFERROR(IF(AND((CA96+CI96)=BZ96,BI96=0),$BG96,0),0)</f>
        <v>0</v>
      </c>
      <c r="BR96" s="255">
        <f t="shared" si="521"/>
        <v>0</v>
      </c>
      <c r="BS96" s="255">
        <f>IFERROR(IF(AND((CA96+CI96+CJ96+CK96)=BZ96,BI96=0,BQ96=0,BR96=0),$BG96,0),0)</f>
        <v>0</v>
      </c>
      <c r="BT96" s="255">
        <f>IFERROR(IF(AND((CA96+CI96+CL96+CJ96+CK96)=BZ96,BI96=0,BQ96=0,BR96=0,BS96=0),$BG96,0),0)</f>
        <v>0</v>
      </c>
      <c r="BU96" s="169"/>
      <c r="BV96" s="279">
        <f>IFERROR(CA96/BZ96,0)</f>
        <v>0</v>
      </c>
      <c r="BW96" s="279">
        <f>IFERROR(CB96/BZ96,0)</f>
        <v>0</v>
      </c>
      <c r="BX96" s="279">
        <f>IFERROR(#REF!/BZ96,0)</f>
        <v>0</v>
      </c>
      <c r="BZ96" s="297">
        <f>COUNTIF('ST | Drawing List'!$G:$G,$B96)</f>
        <v>0</v>
      </c>
      <c r="CA96" s="191">
        <f>COUNTIFS('ST | Drawing List'!$G:$G,$B96,INDEX('ST | Drawing List'!$A:$U,,MATCH('Design Fee'!CA$8,'ST | Drawing List'!$A$1:$U$1,0)),1)</f>
        <v>0</v>
      </c>
      <c r="CB96" s="191">
        <f>COUNTIFS('ST | Drawing List'!$G:$G,$B96,INDEX('ST | Drawing List'!$J:$U,,MATCH('Design Fee'!CB$8,'ST | Drawing List'!$J$1:$U$1,0)),1)</f>
        <v>0</v>
      </c>
      <c r="CC96" s="191">
        <f>COUNTIFS('ST | Drawing List'!$G:$G,$B96,INDEX('ST | Drawing List'!$J:$U,,MATCH('Design Fee'!CC$8,'ST | Drawing List'!$J$1:$U$1,0)),1)</f>
        <v>0</v>
      </c>
      <c r="CD96" s="191">
        <f>COUNTIFS('ST | Drawing List'!$G:$G,$B96,INDEX('ST | Drawing List'!$J:$U,,MATCH('Design Fee'!CD$8,'ST | Drawing List'!$J$1:$U$1,0)),1)</f>
        <v>0</v>
      </c>
      <c r="CE96" s="191">
        <f>COUNTIFS('ST | Drawing List'!$G:$G,$B96,INDEX('ST | Drawing List'!$J:$U,,MATCH('Design Fee'!CE$8,'ST | Drawing List'!$J$1:$U$1,0)),1)</f>
        <v>0</v>
      </c>
      <c r="CF96" s="191">
        <f>COUNTIFS('ST | Drawing List'!$G:$G,$B96,INDEX('ST | Drawing List'!$J:$U,,MATCH('Design Fee'!CF$8,'ST | Drawing List'!$J$1:$U$1,0)),1)</f>
        <v>0</v>
      </c>
      <c r="CG96" s="198"/>
      <c r="CH96" s="191">
        <f>COUNTIFS('ST | Drawing List'!$G:$G,$B96,INDEX('ST | Drawing List'!$J:$U,,MATCH('Design Fee'!CH$8,'ST | Drawing List'!$J$1:$U$1,0)),1)</f>
        <v>0</v>
      </c>
      <c r="CI96" s="191">
        <f>COUNTIFS('ST | Drawing List'!$G:$G,$B96,INDEX('ST | Drawing List'!$J:$U,,MATCH('Design Fee'!CI$8,'ST | Drawing List'!$J$1:$U$1,0)),1)</f>
        <v>0</v>
      </c>
      <c r="CJ96" s="191">
        <f>COUNTIFS('ST | Drawing List'!$G:$G,$B96,INDEX('ST | Drawing List'!$J:$U,,MATCH('Design Fee'!CJ$8,'ST | Drawing List'!$J$1:$U$1,0)),1)</f>
        <v>0</v>
      </c>
      <c r="CK96" s="191">
        <f>COUNTIFS('ST | Drawing List'!$G:$G,$B96,INDEX('ST | Drawing List'!$J:$U,,MATCH('Design Fee'!CK$8,'ST | Drawing List'!$J$1:$U$1,0)),1)</f>
        <v>0</v>
      </c>
      <c r="CL96" s="191">
        <f>COUNTIFS('ST | Drawing List'!$G:$G,$B96,INDEX('ST | Drawing List'!$J:$U,,MATCH('Design Fee'!CL$8,'ST | Drawing List'!$J$1:$U$1,0)),1)</f>
        <v>0</v>
      </c>
      <c r="CN96" s="276">
        <v>0</v>
      </c>
      <c r="CO96" s="222"/>
      <c r="CP96" s="253">
        <f t="shared" si="526"/>
        <v>0</v>
      </c>
      <c r="CQ96" s="253">
        <f t="shared" si="504"/>
        <v>0</v>
      </c>
      <c r="CR96" s="254">
        <f>IFERROR(IF(DE96=100%,$CP96,0),0)</f>
        <v>0</v>
      </c>
      <c r="CS96" s="255">
        <f>IFERROR(IF(AND((DE96+DF96)=100%,DE96&lt;1),$CP96,0),0)</f>
        <v>0</v>
      </c>
      <c r="CT96" s="255">
        <f>IFERROR(IF(AND((DJ96+DL96)=DI96,CR96=0),$CP96,0),0)</f>
        <v>0</v>
      </c>
      <c r="CU96" s="255">
        <f>IFERROR(IF(AND((DJ96+DL96+DM96)=DI96,CR96=0,CT96=0),$CP96,0),0)</f>
        <v>0</v>
      </c>
      <c r="CV96" s="255">
        <f>IFERROR(IF(AND((DJ96+DL96+DM96+DN96)=DI96,CR96=0,CT96=0,CU96=0),$CP96,0),0)</f>
        <v>0</v>
      </c>
      <c r="CW96" s="255">
        <f>IFERROR(IF(AND((DJ96+DL96+DM96+DN96+DO96)=DI96,CR96=0,CT96=0,CU96=0,CV96=0),$CP96,0),0)</f>
        <v>0</v>
      </c>
      <c r="CX96" s="256"/>
      <c r="CY96" s="255">
        <f>IFERROR(IF(AND((DE96+DG96)=100%,DE96&lt;1),$CP96,0),0)</f>
        <v>0</v>
      </c>
      <c r="CZ96" s="255">
        <f>IFERROR(IF(AND((DJ96+DR96)=DI96,CR96=0),$CP96,0),0)</f>
        <v>0</v>
      </c>
      <c r="DA96" s="255">
        <f t="shared" si="522"/>
        <v>0</v>
      </c>
      <c r="DB96" s="255">
        <f>IFERROR(IF(AND((DJ96+DR96+DS96+DT96)=DI96,CR96=0,CZ96=0,DA96=0),$CP96,0),0)</f>
        <v>0</v>
      </c>
      <c r="DC96" s="255">
        <f>IFERROR(IF(AND((DJ96+DR96+DU96+DS96+DT96)=DI96,CR96=0,CZ96=0,DA96=0,DB96=0),$CP96,0),0)</f>
        <v>0</v>
      </c>
      <c r="DD96" s="183"/>
      <c r="DE96" s="300">
        <f>IFERROR(DJ96/DI96,0)</f>
        <v>0</v>
      </c>
      <c r="DF96" s="300">
        <f>IFERROR(DK96/DI96,0)</f>
        <v>0</v>
      </c>
      <c r="DG96" s="300">
        <f t="shared" si="523"/>
        <v>0</v>
      </c>
      <c r="DI96" s="297">
        <f>COUNTIF('MEP | Drawing List'!$I:$I,$B96)</f>
        <v>0</v>
      </c>
      <c r="DJ96" s="191">
        <f>COUNTIFS('MEP | Drawing List'!$I:$I,$B96,INDEX('MEP | Drawing List'!$B:$X,,MATCH('Design Fee'!DJ$8,'MEP | Drawing List'!$B$1:$X$1,0)),1)</f>
        <v>0</v>
      </c>
      <c r="DK96" s="191">
        <f>COUNTIFS('MEP | Drawing List'!$I:$I,$B96,INDEX('MEP | Drawing List'!$L:$X,,MATCH('Design Fee'!DK$8,'MEP | Drawing List'!$L$1:$X$1,0)),1)</f>
        <v>0</v>
      </c>
      <c r="DL96" s="191">
        <f>COUNTIFS('MEP | Drawing List'!$I:$I,$B96,INDEX('MEP | Drawing List'!$L:$X,,MATCH('Design Fee'!DL$8,'MEP | Drawing List'!$L$1:$X$1,0)),1)</f>
        <v>0</v>
      </c>
      <c r="DM96" s="191">
        <f>COUNTIFS('MEP | Drawing List'!$I:$I,$B96,INDEX('MEP | Drawing List'!$L:$X,,MATCH('Design Fee'!DM$8,'MEP | Drawing List'!$L$1:$X$1,0)),1)</f>
        <v>0</v>
      </c>
      <c r="DN96" s="191">
        <f>COUNTIFS('MEP | Drawing List'!$I:$I,$B96,INDEX('MEP | Drawing List'!$L:$X,,MATCH('Design Fee'!DN$8,'MEP | Drawing List'!$L$1:$X$1,0)),1)</f>
        <v>0</v>
      </c>
      <c r="DO96" s="191">
        <f>COUNTIFS('MEP | Drawing List'!$I:$I,$B96,INDEX('MEP | Drawing List'!$L:$X,,MATCH('Design Fee'!DO$8,'MEP | Drawing List'!$L$1:$X$1,0)),1)</f>
        <v>0</v>
      </c>
      <c r="DP96" s="198"/>
      <c r="DQ96" s="191">
        <f>COUNTIFS('MEP | Drawing List'!$I:$I,$B96,INDEX('MEP | Drawing List'!$L:$X,,MATCH('Design Fee'!DQ$8,'MEP | Drawing List'!$L$1:$X$1,0)),1)</f>
        <v>0</v>
      </c>
      <c r="DR96" s="191">
        <f>COUNTIFS('MEP | Drawing List'!$I:$I,$B96,INDEX('MEP | Drawing List'!$L:$X,,MATCH('Design Fee'!DR$8,'MEP | Drawing List'!$L$1:$X$1,0)),1)</f>
        <v>0</v>
      </c>
      <c r="DS96" s="191">
        <f>COUNTIFS('MEP | Drawing List'!$I:$I,$B96,INDEX('MEP | Drawing List'!$L:$X,,MATCH('Design Fee'!DS$8,'MEP | Drawing List'!$L$1:$X$1,0)),1)</f>
        <v>0</v>
      </c>
      <c r="DT96" s="191">
        <f>COUNTIFS('MEP | Drawing List'!$I:$I,$B96,INDEX('MEP | Drawing List'!$L:$X,,MATCH('Design Fee'!DT$8,'MEP | Drawing List'!$L$1:$X$1,0)),1)</f>
        <v>0</v>
      </c>
      <c r="DU96" s="191">
        <f>COUNTIFS('MEP | Drawing List'!$I:$I,$B96,INDEX('MEP | Drawing List'!$L:$X,,MATCH('Design Fee'!DU$8,'MEP | Drawing List'!$L$1:$X$1,0)),1)</f>
        <v>0</v>
      </c>
      <c r="DV96" s="258"/>
      <c r="DX96" s="276">
        <v>0</v>
      </c>
      <c r="DY96" s="222"/>
      <c r="DZ96" s="253">
        <f t="shared" si="527"/>
        <v>0</v>
      </c>
      <c r="EA96" s="253">
        <f t="shared" si="508"/>
        <v>0</v>
      </c>
      <c r="EB96" s="254">
        <f>IFERROR(IF(EO96=100%,$DZ96,0),0)</f>
        <v>0</v>
      </c>
      <c r="EC96" s="255">
        <f>IFERROR(IF(AND((EO96+EP96)=100%,EO96&lt;1),$DZ96,0),0)</f>
        <v>0</v>
      </c>
      <c r="ED96" s="255">
        <f>IFERROR(IF(AND((ET96+EV96)=ES96,EB96=0),$DZ96,0),0)</f>
        <v>0</v>
      </c>
      <c r="EE96" s="255">
        <f>IFERROR(IF(AND((ET96+EV96+EW96)=ES96,EB96=0,ED96=0),$DZ96,0),0)</f>
        <v>0</v>
      </c>
      <c r="EF96" s="255">
        <f>IFERROR(IF(AND((ET96+EV96+EW96+EX96)=ES96,EB96=0,ED96=0,EE96=0),$DZ96,0),0)</f>
        <v>0</v>
      </c>
      <c r="EG96" s="255">
        <f>IFERROR(IF(AND((ET96+EV96+EW96+EX96+EY96)=ES96,EB96=0,ED96=0,EE96=0,EF96=0),$DZ96,0),0)</f>
        <v>0</v>
      </c>
      <c r="EH96" s="256"/>
      <c r="EI96" s="255">
        <f>IFERROR(IF(AND((EO96+EQ96)=100%,EO96&lt;1),$DZ96,0),0)</f>
        <v>0</v>
      </c>
      <c r="EJ96" s="255">
        <f>IFERROR(IF(AND((ET96+FB96)=ES96,EB96=0),$DZ96,0),0)</f>
        <v>0</v>
      </c>
      <c r="EK96" s="255">
        <f>IFERROR(IF(AND((ET96+FB96+FC96)=ES96,EB96=0,EJ96=0),DZ96,0),0)</f>
        <v>0</v>
      </c>
      <c r="EL96" s="255">
        <f>IFERROR(IF(AND((ET96+FB96+FC96+FD96)=ES96,EB96=0,EJ96=0,EK96=0),$DZ96,0),0)</f>
        <v>0</v>
      </c>
      <c r="EM96" s="255">
        <f>IFERROR(IF(AND((ET96+FB96+FE96+FC96+FD96)=ES96,EB96=0,EJ96=0,EK96=0,EL96=0),$DZ96,0),0)</f>
        <v>0</v>
      </c>
      <c r="EN96" s="183"/>
      <c r="EO96" s="300">
        <f>IFERROR(ET96/ES96,0)</f>
        <v>0</v>
      </c>
      <c r="EP96" s="300">
        <f>IFERROR(EU96/ES96,0)</f>
        <v>0</v>
      </c>
      <c r="EQ96" s="300">
        <f t="shared" si="524"/>
        <v>0</v>
      </c>
      <c r="ES96" s="297">
        <f>COUNTIF('LS | Drawing List'!$H:$H,$B96)</f>
        <v>0</v>
      </c>
      <c r="ET96" s="191">
        <f>COUNTIFS('LS | Drawing List'!$H:$H,$B96,INDEX('LS | Drawing List'!$A:$V,,MATCH('Design Fee'!ET$8,'LS | Drawing List'!$A$1:$V$1,0)),1)</f>
        <v>0</v>
      </c>
      <c r="EU96" s="191">
        <f>COUNTIFS('LS | Drawing List'!$H:$H,$B96,INDEX('LS | Drawing List'!$K:$V,,MATCH('Design Fee'!EU$8,'LS | Drawing List'!$K$1:$V$1,0)),1)</f>
        <v>0</v>
      </c>
      <c r="EV96" s="191">
        <f>COUNTIFS('LS | Drawing List'!$H:$H,$B96,INDEX('LS | Drawing List'!$K:$V,,MATCH('Design Fee'!EV$8,'LS | Drawing List'!$K$1:$V$1,0)),1)</f>
        <v>0</v>
      </c>
      <c r="EW96" s="191">
        <f>COUNTIFS('LS | Drawing List'!$H:$H,$B96,INDEX('LS | Drawing List'!$K:$V,,MATCH('Design Fee'!EW$8,'LS | Drawing List'!$K$1:$V$1,0)),1)</f>
        <v>0</v>
      </c>
      <c r="EX96" s="191">
        <f>COUNTIFS('LS | Drawing List'!$H:$H,$B96,INDEX('LS | Drawing List'!$K:$V,,MATCH('Design Fee'!EX$8,'LS | Drawing List'!$K$1:$V$1,0)),1)</f>
        <v>0</v>
      </c>
      <c r="EY96" s="191">
        <f>COUNTIFS('LS | Drawing List'!$H:$H,$B96,INDEX('LS | Drawing List'!$K:$V,,MATCH('Design Fee'!EY$8,'LS | Drawing List'!$K$1:$V$1,0)),1)</f>
        <v>0</v>
      </c>
      <c r="EZ96" s="198"/>
      <c r="FA96" s="191">
        <f>COUNTIFS('LS | Drawing List'!$H:$H,$B96,INDEX('LS | Drawing List'!$K:$V,,MATCH('Design Fee'!FA$8,'LS | Drawing List'!$K$1:$V$1,0)),1)</f>
        <v>0</v>
      </c>
      <c r="FB96" s="191">
        <f>COUNTIFS('LS | Drawing List'!$H:$H,$B96,INDEX('LS | Drawing List'!$K:$V,,MATCH('Design Fee'!FB$8,'LS | Drawing List'!$K$1:$V$1,0)),1)</f>
        <v>0</v>
      </c>
      <c r="FC96" s="191">
        <f>COUNTIFS('LS | Drawing List'!$H:$H,$B96,INDEX('LS | Drawing List'!$K:$V,,MATCH('Design Fee'!FC$8,'LS | Drawing List'!$K$1:$V$1,0)),1)</f>
        <v>0</v>
      </c>
      <c r="FD96" s="191">
        <f>COUNTIFS('LS | Drawing List'!$H:$H,$B96,INDEX('LS | Drawing List'!$K:$V,,MATCH('Design Fee'!FD$8,'LS | Drawing List'!$K$1:$V$1,0)),1)</f>
        <v>0</v>
      </c>
      <c r="FE96" s="191">
        <f>COUNTIFS('LS | Drawing List'!$H:$H,$B96,INDEX('LS | Drawing List'!$K:$V,,MATCH('Design Fee'!FE$8,'LS | Drawing List'!$K$1:$V$1,0)),1)</f>
        <v>0</v>
      </c>
      <c r="FF96" s="258"/>
    </row>
    <row r="97" spans="2:162" ht="3" customHeight="1">
      <c r="C97" s="188"/>
      <c r="D97" s="188"/>
      <c r="E97" s="188"/>
      <c r="F97" s="188"/>
      <c r="G97" s="188"/>
      <c r="H97" s="196"/>
      <c r="I97" s="196"/>
      <c r="J97" s="229"/>
      <c r="K97" s="229"/>
      <c r="L97" s="229"/>
      <c r="M97" s="229"/>
      <c r="N97" s="230"/>
      <c r="O97" s="196"/>
      <c r="P97" s="229"/>
      <c r="Q97" s="229"/>
      <c r="R97" s="229"/>
      <c r="S97" s="229"/>
      <c r="T97" s="169"/>
      <c r="U97" s="183"/>
      <c r="W97" s="189"/>
      <c r="X97" s="195"/>
      <c r="Y97" s="195"/>
      <c r="Z97" s="196"/>
      <c r="AA97" s="196"/>
      <c r="AB97" s="229"/>
      <c r="AC97" s="229"/>
      <c r="AD97" s="229"/>
      <c r="AE97" s="229"/>
      <c r="AF97" s="230"/>
      <c r="AG97" s="231"/>
      <c r="AH97" s="231"/>
      <c r="AI97" s="231"/>
      <c r="AJ97" s="231"/>
      <c r="AK97" s="231"/>
      <c r="AL97" s="169"/>
      <c r="AM97" s="281"/>
      <c r="AN97" s="281"/>
      <c r="AO97" s="281"/>
      <c r="AP97" s="191"/>
      <c r="AQ97" s="198"/>
      <c r="AR97" s="198"/>
      <c r="AS97" s="198"/>
      <c r="AT97" s="198"/>
      <c r="AU97" s="198"/>
      <c r="AV97" s="198"/>
      <c r="AW97" s="198"/>
      <c r="AX97" s="198"/>
      <c r="BD97" s="198"/>
      <c r="BE97" s="277"/>
      <c r="BF97" s="189"/>
      <c r="BG97" s="195"/>
      <c r="BH97" s="195"/>
      <c r="BI97" s="196"/>
      <c r="BJ97" s="196"/>
      <c r="BK97" s="229"/>
      <c r="BL97" s="229"/>
      <c r="BM97" s="229"/>
      <c r="BN97" s="229"/>
      <c r="BO97" s="230"/>
      <c r="BP97" s="231"/>
      <c r="BQ97" s="231"/>
      <c r="BR97" s="231"/>
      <c r="BS97" s="231"/>
      <c r="BT97" s="231"/>
      <c r="BU97" s="169"/>
      <c r="BV97" s="281"/>
      <c r="BW97" s="281"/>
      <c r="BX97" s="281"/>
      <c r="BY97" s="281"/>
      <c r="BZ97" s="198"/>
      <c r="CA97" s="198"/>
      <c r="CB97" s="198"/>
      <c r="CC97" s="198"/>
      <c r="CD97" s="198"/>
      <c r="CE97" s="198"/>
      <c r="CF97" s="198"/>
      <c r="CG97" s="198"/>
      <c r="CM97" s="198"/>
      <c r="CN97" s="277"/>
      <c r="CO97" s="189"/>
      <c r="CP97" s="195"/>
      <c r="CQ97" s="195"/>
      <c r="CR97" s="196"/>
      <c r="CS97" s="196"/>
      <c r="CT97" s="229"/>
      <c r="CU97" s="229"/>
      <c r="CV97" s="229"/>
      <c r="CW97" s="229"/>
      <c r="CX97" s="230"/>
      <c r="CY97" s="231"/>
      <c r="CZ97" s="231"/>
      <c r="DA97" s="231"/>
      <c r="DB97" s="231"/>
      <c r="DC97" s="231"/>
      <c r="DD97" s="183"/>
      <c r="DE97" s="191"/>
      <c r="DF97" s="191"/>
      <c r="DG97" s="191"/>
      <c r="DH97" s="191"/>
      <c r="DI97" s="198"/>
      <c r="DJ97" s="198"/>
      <c r="DK97" s="198"/>
      <c r="DL97" s="198"/>
      <c r="DM97" s="198"/>
      <c r="DN97" s="198"/>
      <c r="DO97" s="198"/>
      <c r="DP97" s="198"/>
      <c r="DW97" s="198"/>
      <c r="DX97" s="277"/>
      <c r="DY97" s="189"/>
      <c r="DZ97" s="195"/>
      <c r="EA97" s="195"/>
      <c r="EB97" s="196"/>
      <c r="EC97" s="196"/>
      <c r="ED97" s="229"/>
      <c r="EE97" s="229"/>
      <c r="EF97" s="229"/>
      <c r="EG97" s="229"/>
      <c r="EH97" s="230"/>
      <c r="EI97" s="231"/>
      <c r="EJ97" s="231"/>
      <c r="EK97" s="231"/>
      <c r="EL97" s="231"/>
      <c r="EM97" s="231"/>
      <c r="EN97" s="183"/>
      <c r="EO97" s="191"/>
      <c r="EP97" s="191"/>
      <c r="EQ97" s="191"/>
      <c r="ER97" s="191"/>
      <c r="ES97" s="198"/>
      <c r="ET97" s="198"/>
      <c r="EU97" s="198"/>
      <c r="EV97" s="198"/>
      <c r="EW97" s="198"/>
      <c r="EX97" s="198"/>
      <c r="EY97" s="198"/>
      <c r="EZ97" s="198"/>
    </row>
    <row r="98" spans="2:162" ht="17.399999999999999">
      <c r="B98" s="612" t="s">
        <v>119</v>
      </c>
      <c r="C98" s="612"/>
      <c r="D98" s="312"/>
      <c r="E98" s="291">
        <f>X98+BG98+CP98+DZ98</f>
        <v>1.5500955769789286</v>
      </c>
      <c r="F98" s="291">
        <f>Y98+BH98+CQ98+EA98</f>
        <v>0</v>
      </c>
      <c r="G98" s="291">
        <f t="shared" ref="G98" si="528">E98-F98</f>
        <v>1.5500955769789286</v>
      </c>
      <c r="H98" s="291">
        <f t="shared" ref="H98:M98" si="529">Z98+BI98+CR98+EB98</f>
        <v>0</v>
      </c>
      <c r="I98" s="291">
        <f t="shared" si="529"/>
        <v>1.5500955769789286</v>
      </c>
      <c r="J98" s="299">
        <f t="shared" si="529"/>
        <v>0</v>
      </c>
      <c r="K98" s="299">
        <f t="shared" si="529"/>
        <v>0</v>
      </c>
      <c r="L98" s="299">
        <f t="shared" si="529"/>
        <v>0</v>
      </c>
      <c r="M98" s="299">
        <f t="shared" si="529"/>
        <v>1.5500955769789286</v>
      </c>
      <c r="N98" s="225"/>
      <c r="O98" s="307">
        <f>AG98+BP98+CY98+EI98</f>
        <v>0</v>
      </c>
      <c r="P98" s="307">
        <f>AH98+BQ98+CZ98+EJ98</f>
        <v>0</v>
      </c>
      <c r="Q98" s="307">
        <f>AI98+BR98+DA98+EK98</f>
        <v>0</v>
      </c>
      <c r="R98" s="307">
        <f>AJ98+BS98+DB98+EL98</f>
        <v>0</v>
      </c>
      <c r="S98" s="307">
        <f>AK98+BT98+DC98+EM98</f>
        <v>0</v>
      </c>
      <c r="T98" s="169"/>
      <c r="U98" s="183"/>
      <c r="W98" s="189"/>
      <c r="X98" s="289">
        <f>X100</f>
        <v>1.1445000000000001</v>
      </c>
      <c r="Y98" s="289">
        <f>Z98</f>
        <v>0</v>
      </c>
      <c r="Z98" s="291">
        <f t="shared" ref="Z98:AE98" si="530">Z100</f>
        <v>0</v>
      </c>
      <c r="AA98" s="291">
        <f t="shared" si="530"/>
        <v>1.1445000000000001</v>
      </c>
      <c r="AB98" s="299">
        <f t="shared" si="530"/>
        <v>0</v>
      </c>
      <c r="AC98" s="299">
        <f t="shared" si="530"/>
        <v>0</v>
      </c>
      <c r="AD98" s="299">
        <f t="shared" si="530"/>
        <v>0</v>
      </c>
      <c r="AE98" s="299">
        <f t="shared" si="530"/>
        <v>1.1445000000000001</v>
      </c>
      <c r="AF98" s="225"/>
      <c r="AG98" s="307">
        <f>AG100</f>
        <v>0</v>
      </c>
      <c r="AH98" s="307">
        <f>AH100</f>
        <v>0</v>
      </c>
      <c r="AI98" s="307">
        <f>AI100</f>
        <v>0</v>
      </c>
      <c r="AJ98" s="307">
        <f>AJ100</f>
        <v>0</v>
      </c>
      <c r="AK98" s="307">
        <f>AK100</f>
        <v>0</v>
      </c>
      <c r="AL98" s="169"/>
      <c r="AM98" s="281">
        <f>AM100</f>
        <v>0</v>
      </c>
      <c r="AN98" s="281">
        <f>AN100</f>
        <v>0</v>
      </c>
      <c r="AO98" s="281">
        <f>AO100</f>
        <v>0</v>
      </c>
      <c r="AP98" s="191"/>
      <c r="AQ98" s="365">
        <f>AQ100</f>
        <v>0</v>
      </c>
      <c r="AR98" s="365">
        <f t="shared" ref="AR98:AW98" si="531">AR100</f>
        <v>0</v>
      </c>
      <c r="AS98" s="365">
        <f t="shared" si="531"/>
        <v>0</v>
      </c>
      <c r="AT98" s="365">
        <f t="shared" si="531"/>
        <v>0</v>
      </c>
      <c r="AU98" s="365">
        <f t="shared" si="531"/>
        <v>0</v>
      </c>
      <c r="AV98" s="365">
        <f t="shared" si="531"/>
        <v>0</v>
      </c>
      <c r="AW98" s="365">
        <f t="shared" si="531"/>
        <v>0</v>
      </c>
      <c r="AX98" s="198"/>
      <c r="AY98" s="365">
        <f t="shared" ref="AY98:BC98" si="532">AY100</f>
        <v>0</v>
      </c>
      <c r="AZ98" s="365">
        <f t="shared" si="532"/>
        <v>0</v>
      </c>
      <c r="BA98" s="365">
        <f t="shared" si="532"/>
        <v>0</v>
      </c>
      <c r="BB98" s="365">
        <f t="shared" si="532"/>
        <v>0</v>
      </c>
      <c r="BC98" s="365">
        <f t="shared" si="532"/>
        <v>0</v>
      </c>
      <c r="BD98" s="198"/>
      <c r="BE98" s="277"/>
      <c r="BF98" s="189"/>
      <c r="BG98" s="289">
        <f>BG100</f>
        <v>0.309477</v>
      </c>
      <c r="BH98" s="289">
        <f>BI98</f>
        <v>0</v>
      </c>
      <c r="BI98" s="291">
        <f t="shared" ref="BI98:BN98" si="533">BI100</f>
        <v>0</v>
      </c>
      <c r="BJ98" s="291">
        <f t="shared" si="533"/>
        <v>0.309477</v>
      </c>
      <c r="BK98" s="299">
        <f t="shared" si="533"/>
        <v>0</v>
      </c>
      <c r="BL98" s="299">
        <f t="shared" si="533"/>
        <v>0</v>
      </c>
      <c r="BM98" s="299">
        <f t="shared" si="533"/>
        <v>0</v>
      </c>
      <c r="BN98" s="299">
        <f t="shared" si="533"/>
        <v>0.309477</v>
      </c>
      <c r="BO98" s="225"/>
      <c r="BP98" s="307">
        <f>BP100</f>
        <v>0</v>
      </c>
      <c r="BQ98" s="307">
        <f>BQ100</f>
        <v>0</v>
      </c>
      <c r="BR98" s="307">
        <f>BR100</f>
        <v>0</v>
      </c>
      <c r="BS98" s="307">
        <f>BS100</f>
        <v>0</v>
      </c>
      <c r="BT98" s="307">
        <f>BT100</f>
        <v>0</v>
      </c>
      <c r="BU98" s="169"/>
      <c r="BV98" s="281">
        <f>BV100</f>
        <v>0</v>
      </c>
      <c r="BW98" s="281">
        <f>BW100</f>
        <v>0</v>
      </c>
      <c r="BX98" s="281">
        <f>BX100</f>
        <v>0</v>
      </c>
      <c r="BY98" s="281"/>
      <c r="BZ98" s="191">
        <f>BZ100</f>
        <v>0</v>
      </c>
      <c r="CA98" s="191">
        <f t="shared" ref="CA98:CF98" si="534">CA100</f>
        <v>0</v>
      </c>
      <c r="CB98" s="191">
        <f t="shared" si="534"/>
        <v>0</v>
      </c>
      <c r="CC98" s="191">
        <f t="shared" si="534"/>
        <v>0</v>
      </c>
      <c r="CD98" s="191">
        <f t="shared" si="534"/>
        <v>0</v>
      </c>
      <c r="CE98" s="191">
        <f t="shared" si="534"/>
        <v>0</v>
      </c>
      <c r="CF98" s="191">
        <f t="shared" si="534"/>
        <v>0</v>
      </c>
      <c r="CG98" s="198"/>
      <c r="CH98" s="191">
        <f t="shared" ref="CH98:CL98" si="535">CH100</f>
        <v>0</v>
      </c>
      <c r="CI98" s="191">
        <f t="shared" si="535"/>
        <v>0</v>
      </c>
      <c r="CJ98" s="191">
        <f t="shared" si="535"/>
        <v>0</v>
      </c>
      <c r="CK98" s="191">
        <f t="shared" si="535"/>
        <v>0</v>
      </c>
      <c r="CL98" s="191">
        <f t="shared" si="535"/>
        <v>0</v>
      </c>
      <c r="CM98" s="198"/>
      <c r="CN98" s="277"/>
      <c r="CO98" s="189"/>
      <c r="CP98" s="289">
        <f>CP100</f>
        <v>8.1791081978928412E-2</v>
      </c>
      <c r="CQ98" s="289">
        <f>CR98</f>
        <v>0</v>
      </c>
      <c r="CR98" s="291">
        <f t="shared" ref="CR98:CW98" si="536">CR100</f>
        <v>0</v>
      </c>
      <c r="CS98" s="291">
        <f t="shared" si="536"/>
        <v>8.1791081978928412E-2</v>
      </c>
      <c r="CT98" s="299">
        <f t="shared" si="536"/>
        <v>0</v>
      </c>
      <c r="CU98" s="299">
        <f t="shared" si="536"/>
        <v>0</v>
      </c>
      <c r="CV98" s="299">
        <f t="shared" si="536"/>
        <v>0</v>
      </c>
      <c r="CW98" s="299">
        <f t="shared" si="536"/>
        <v>8.1791081978928412E-2</v>
      </c>
      <c r="CX98" s="225"/>
      <c r="CY98" s="307">
        <f>CY100</f>
        <v>0</v>
      </c>
      <c r="CZ98" s="307">
        <f>CZ100</f>
        <v>0</v>
      </c>
      <c r="DA98" s="307">
        <f>DA100</f>
        <v>0</v>
      </c>
      <c r="DB98" s="307">
        <f>DB100</f>
        <v>0</v>
      </c>
      <c r="DC98" s="307">
        <f>DC100</f>
        <v>0</v>
      </c>
      <c r="DD98" s="169"/>
      <c r="DE98" s="191">
        <f>DE100</f>
        <v>0</v>
      </c>
      <c r="DF98" s="191">
        <f>DF100</f>
        <v>0</v>
      </c>
      <c r="DG98" s="191">
        <f>DG100</f>
        <v>0</v>
      </c>
      <c r="DH98" s="191"/>
      <c r="DI98" s="191">
        <f>DI100</f>
        <v>0</v>
      </c>
      <c r="DJ98" s="191">
        <f t="shared" ref="DJ98:DO98" si="537">DJ100</f>
        <v>0</v>
      </c>
      <c r="DK98" s="191">
        <f t="shared" si="537"/>
        <v>0</v>
      </c>
      <c r="DL98" s="191">
        <f t="shared" si="537"/>
        <v>0</v>
      </c>
      <c r="DM98" s="191">
        <f t="shared" si="537"/>
        <v>0</v>
      </c>
      <c r="DN98" s="191">
        <f t="shared" si="537"/>
        <v>0</v>
      </c>
      <c r="DO98" s="191">
        <f t="shared" si="537"/>
        <v>0</v>
      </c>
      <c r="DP98" s="198"/>
      <c r="DQ98" s="191">
        <f t="shared" ref="DQ98:DU98" si="538">DQ100</f>
        <v>0</v>
      </c>
      <c r="DR98" s="191">
        <f t="shared" si="538"/>
        <v>0</v>
      </c>
      <c r="DS98" s="191">
        <f t="shared" si="538"/>
        <v>0</v>
      </c>
      <c r="DT98" s="191">
        <f t="shared" si="538"/>
        <v>0</v>
      </c>
      <c r="DU98" s="191">
        <f t="shared" si="538"/>
        <v>0</v>
      </c>
      <c r="DW98" s="198"/>
      <c r="DX98" s="277"/>
      <c r="DY98" s="189"/>
      <c r="DZ98" s="289">
        <f>DZ100</f>
        <v>1.4327495000000003E-2</v>
      </c>
      <c r="EA98" s="289">
        <f>EB98</f>
        <v>0</v>
      </c>
      <c r="EB98" s="291">
        <f t="shared" ref="EB98:EG98" si="539">EB100</f>
        <v>0</v>
      </c>
      <c r="EC98" s="291">
        <f t="shared" si="539"/>
        <v>1.4327495000000003E-2</v>
      </c>
      <c r="ED98" s="299">
        <f t="shared" si="539"/>
        <v>0</v>
      </c>
      <c r="EE98" s="299">
        <f t="shared" si="539"/>
        <v>0</v>
      </c>
      <c r="EF98" s="299">
        <f t="shared" si="539"/>
        <v>0</v>
      </c>
      <c r="EG98" s="299">
        <f t="shared" si="539"/>
        <v>1.4327495000000003E-2</v>
      </c>
      <c r="EH98" s="225"/>
      <c r="EI98" s="307">
        <f>EI100</f>
        <v>0</v>
      </c>
      <c r="EJ98" s="307">
        <f>EJ100</f>
        <v>0</v>
      </c>
      <c r="EK98" s="307">
        <f>EK100</f>
        <v>0</v>
      </c>
      <c r="EL98" s="307">
        <f>EL100</f>
        <v>0</v>
      </c>
      <c r="EM98" s="307">
        <f>EM100</f>
        <v>0</v>
      </c>
      <c r="EN98" s="169"/>
      <c r="EO98" s="191">
        <f>EO100</f>
        <v>0</v>
      </c>
      <c r="EP98" s="191">
        <f>EP100</f>
        <v>0</v>
      </c>
      <c r="EQ98" s="191">
        <f>EQ100</f>
        <v>0</v>
      </c>
      <c r="ER98" s="191"/>
      <c r="ES98" s="191">
        <f>ES100</f>
        <v>0</v>
      </c>
      <c r="ET98" s="191">
        <f t="shared" ref="ET98:EY98" si="540">ET100</f>
        <v>0</v>
      </c>
      <c r="EU98" s="191">
        <f t="shared" si="540"/>
        <v>0</v>
      </c>
      <c r="EV98" s="191">
        <f t="shared" si="540"/>
        <v>0</v>
      </c>
      <c r="EW98" s="191">
        <f t="shared" si="540"/>
        <v>0</v>
      </c>
      <c r="EX98" s="191">
        <f t="shared" si="540"/>
        <v>0</v>
      </c>
      <c r="EY98" s="191">
        <f t="shared" si="540"/>
        <v>0</v>
      </c>
      <c r="EZ98" s="198"/>
      <c r="FA98" s="191">
        <f t="shared" ref="FA98:FE98" si="541">FA100</f>
        <v>0</v>
      </c>
      <c r="FB98" s="191">
        <f t="shared" si="541"/>
        <v>0</v>
      </c>
      <c r="FC98" s="191">
        <f t="shared" si="541"/>
        <v>0</v>
      </c>
      <c r="FD98" s="191">
        <f t="shared" si="541"/>
        <v>0</v>
      </c>
      <c r="FE98" s="191">
        <f t="shared" si="541"/>
        <v>0</v>
      </c>
    </row>
    <row r="99" spans="2:162" ht="3" customHeight="1" outlineLevel="1">
      <c r="C99" s="188"/>
      <c r="D99" s="188"/>
      <c r="E99" s="188"/>
      <c r="F99" s="188"/>
      <c r="G99" s="188"/>
      <c r="H99" s="234"/>
      <c r="I99" s="234"/>
      <c r="J99" s="234"/>
      <c r="K99" s="234"/>
      <c r="L99" s="234"/>
      <c r="M99" s="234"/>
      <c r="N99" s="234"/>
      <c r="O99" s="278"/>
      <c r="P99" s="278"/>
      <c r="Q99" s="278"/>
      <c r="R99" s="278"/>
      <c r="S99" s="278"/>
      <c r="T99" s="169"/>
      <c r="U99" s="183"/>
      <c r="W99" s="189"/>
      <c r="X99" s="233"/>
      <c r="Y99" s="233"/>
      <c r="Z99" s="234"/>
      <c r="AA99" s="234"/>
      <c r="AB99" s="234"/>
      <c r="AC99" s="234"/>
      <c r="AD99" s="234"/>
      <c r="AE99" s="234"/>
      <c r="AF99" s="234"/>
      <c r="AG99" s="278"/>
      <c r="AH99" s="278"/>
      <c r="AI99" s="278"/>
      <c r="AJ99" s="278"/>
      <c r="AK99" s="278"/>
      <c r="AL99" s="169"/>
      <c r="AM99" s="281"/>
      <c r="AN99" s="281"/>
      <c r="AO99" s="281"/>
      <c r="AP99" s="191"/>
      <c r="AQ99" s="198"/>
      <c r="AR99" s="198"/>
      <c r="AS99" s="198"/>
      <c r="AT99" s="198"/>
      <c r="AU99" s="198"/>
      <c r="AV99" s="198"/>
      <c r="AW99" s="198"/>
      <c r="AX99" s="198"/>
      <c r="BD99" s="198"/>
      <c r="BE99" s="277"/>
      <c r="BF99" s="189"/>
      <c r="BG99" s="233"/>
      <c r="BH99" s="233"/>
      <c r="BI99" s="234"/>
      <c r="BJ99" s="234"/>
      <c r="BK99" s="234"/>
      <c r="BL99" s="234"/>
      <c r="BM99" s="234"/>
      <c r="BN99" s="234"/>
      <c r="BO99" s="234"/>
      <c r="BP99" s="278"/>
      <c r="BQ99" s="278"/>
      <c r="BR99" s="278"/>
      <c r="BS99" s="278"/>
      <c r="BT99" s="278"/>
      <c r="BU99" s="169"/>
      <c r="BV99" s="281"/>
      <c r="BW99" s="281"/>
      <c r="BX99" s="281"/>
      <c r="BY99" s="281"/>
      <c r="BZ99" s="198"/>
      <c r="CA99" s="198"/>
      <c r="CB99" s="198"/>
      <c r="CC99" s="198"/>
      <c r="CD99" s="198"/>
      <c r="CE99" s="198"/>
      <c r="CF99" s="198"/>
      <c r="CG99" s="198"/>
      <c r="CM99" s="198"/>
      <c r="CN99" s="277"/>
      <c r="CO99" s="189"/>
      <c r="CP99" s="233"/>
      <c r="CQ99" s="233"/>
      <c r="CR99" s="234"/>
      <c r="CS99" s="234"/>
      <c r="CT99" s="234"/>
      <c r="CU99" s="234"/>
      <c r="CV99" s="234"/>
      <c r="CW99" s="234"/>
      <c r="CX99" s="234"/>
      <c r="CY99" s="278"/>
      <c r="CZ99" s="278"/>
      <c r="DA99" s="278"/>
      <c r="DB99" s="278"/>
      <c r="DC99" s="278"/>
      <c r="DD99" s="183"/>
      <c r="DE99" s="191"/>
      <c r="DF99" s="191"/>
      <c r="DG99" s="191"/>
      <c r="DH99" s="191"/>
      <c r="DI99" s="198"/>
      <c r="DJ99" s="198"/>
      <c r="DK99" s="198"/>
      <c r="DL99" s="198"/>
      <c r="DM99" s="198"/>
      <c r="DN99" s="198"/>
      <c r="DO99" s="198"/>
      <c r="DP99" s="198"/>
      <c r="DW99" s="198"/>
      <c r="DX99" s="277"/>
      <c r="DY99" s="189"/>
      <c r="DZ99" s="233"/>
      <c r="EA99" s="233"/>
      <c r="EB99" s="234"/>
      <c r="EC99" s="234"/>
      <c r="ED99" s="234"/>
      <c r="EE99" s="234"/>
      <c r="EF99" s="234"/>
      <c r="EG99" s="234"/>
      <c r="EH99" s="234"/>
      <c r="EI99" s="278"/>
      <c r="EJ99" s="278"/>
      <c r="EK99" s="278"/>
      <c r="EL99" s="278"/>
      <c r="EM99" s="278"/>
      <c r="EN99" s="183"/>
      <c r="EO99" s="191"/>
      <c r="EP99" s="191"/>
      <c r="EQ99" s="191"/>
      <c r="ER99" s="191"/>
      <c r="ES99" s="198"/>
      <c r="ET99" s="198"/>
      <c r="EU99" s="198"/>
      <c r="EV99" s="198"/>
      <c r="EW99" s="198"/>
      <c r="EX99" s="198"/>
      <c r="EY99" s="198"/>
      <c r="EZ99" s="198"/>
    </row>
    <row r="100" spans="2:162" ht="15" outlineLevel="1">
      <c r="B100" s="208">
        <v>1</v>
      </c>
      <c r="C100" s="209" t="s">
        <v>120</v>
      </c>
      <c r="D100" s="313"/>
      <c r="E100" s="332">
        <f>X100+BG100+CP100+DZ100</f>
        <v>1.5500955769789286</v>
      </c>
      <c r="F100" s="332">
        <f>Y100+BH100+CQ100+EA100</f>
        <v>0</v>
      </c>
      <c r="G100" s="332">
        <f t="shared" ref="G100:G101" si="542">E100-F100</f>
        <v>1.5500955769789286</v>
      </c>
      <c r="H100" s="332">
        <f t="shared" ref="H100:M101" si="543">Z100+BI100+CR100+EB100</f>
        <v>0</v>
      </c>
      <c r="I100" s="332">
        <f t="shared" si="543"/>
        <v>1.5500955769789286</v>
      </c>
      <c r="J100" s="332">
        <f t="shared" si="543"/>
        <v>0</v>
      </c>
      <c r="K100" s="332">
        <f t="shared" si="543"/>
        <v>0</v>
      </c>
      <c r="L100" s="332">
        <f t="shared" si="543"/>
        <v>0</v>
      </c>
      <c r="M100" s="332">
        <f t="shared" si="543"/>
        <v>1.5500955769789286</v>
      </c>
      <c r="N100" s="333"/>
      <c r="O100" s="334">
        <f t="shared" ref="O100:S101" si="544">AG100+BP100+CY100+EI100</f>
        <v>0</v>
      </c>
      <c r="P100" s="334">
        <f t="shared" si="544"/>
        <v>0</v>
      </c>
      <c r="Q100" s="334">
        <f t="shared" si="544"/>
        <v>0</v>
      </c>
      <c r="R100" s="334">
        <f t="shared" si="544"/>
        <v>0</v>
      </c>
      <c r="S100" s="334">
        <f t="shared" si="544"/>
        <v>0</v>
      </c>
      <c r="T100" s="331"/>
      <c r="U100" s="183"/>
      <c r="V100" s="210">
        <v>0.05</v>
      </c>
      <c r="W100" s="210"/>
      <c r="X100" s="292">
        <f>V100*($V$4*'BOQ COST'!$E$4)</f>
        <v>1.1445000000000001</v>
      </c>
      <c r="Y100" s="292">
        <f>Z100</f>
        <v>0</v>
      </c>
      <c r="Z100" s="293">
        <f>Z101</f>
        <v>0</v>
      </c>
      <c r="AA100" s="293">
        <f t="shared" ref="AA100:AE100" si="545">AA101</f>
        <v>1.1445000000000001</v>
      </c>
      <c r="AB100" s="293">
        <f t="shared" si="545"/>
        <v>0</v>
      </c>
      <c r="AC100" s="293">
        <f t="shared" si="545"/>
        <v>0</v>
      </c>
      <c r="AD100" s="293">
        <f t="shared" si="545"/>
        <v>0</v>
      </c>
      <c r="AE100" s="293">
        <f t="shared" si="545"/>
        <v>1.1445000000000001</v>
      </c>
      <c r="AF100" s="213"/>
      <c r="AG100" s="293">
        <f t="shared" ref="AG100:AK100" si="546">AG101</f>
        <v>0</v>
      </c>
      <c r="AH100" s="293">
        <f t="shared" si="546"/>
        <v>0</v>
      </c>
      <c r="AI100" s="293">
        <f t="shared" si="546"/>
        <v>0</v>
      </c>
      <c r="AJ100" s="293">
        <f t="shared" si="546"/>
        <v>0</v>
      </c>
      <c r="AK100" s="293">
        <f t="shared" si="546"/>
        <v>0</v>
      </c>
      <c r="AL100" s="169"/>
      <c r="AM100" s="350"/>
      <c r="AN100" s="350"/>
      <c r="AO100" s="350"/>
      <c r="AP100" s="267"/>
      <c r="AQ100" s="363">
        <f t="shared" ref="AQ100:AW100" si="547">AQ101</f>
        <v>0</v>
      </c>
      <c r="AR100" s="363">
        <f t="shared" si="547"/>
        <v>0</v>
      </c>
      <c r="AS100" s="363">
        <f t="shared" si="547"/>
        <v>0</v>
      </c>
      <c r="AT100" s="363">
        <f t="shared" si="547"/>
        <v>0</v>
      </c>
      <c r="AU100" s="363">
        <f t="shared" si="547"/>
        <v>0</v>
      </c>
      <c r="AV100" s="363">
        <f t="shared" si="547"/>
        <v>0</v>
      </c>
      <c r="AW100" s="363">
        <f t="shared" si="547"/>
        <v>0</v>
      </c>
      <c r="AX100" s="198"/>
      <c r="AY100" s="363">
        <f t="shared" ref="AY100:BC100" si="548">AY101</f>
        <v>0</v>
      </c>
      <c r="AZ100" s="363">
        <f t="shared" si="548"/>
        <v>0</v>
      </c>
      <c r="BA100" s="363">
        <f t="shared" si="548"/>
        <v>0</v>
      </c>
      <c r="BB100" s="363">
        <f t="shared" si="548"/>
        <v>0</v>
      </c>
      <c r="BC100" s="363">
        <f t="shared" si="548"/>
        <v>0</v>
      </c>
      <c r="BD100" s="219"/>
      <c r="BE100" s="210">
        <v>0.05</v>
      </c>
      <c r="BF100" s="210"/>
      <c r="BG100" s="292">
        <f>BE100*($BE$4*'BOQ COST'!$F$4)</f>
        <v>0.309477</v>
      </c>
      <c r="BH100" s="292">
        <f>BI100</f>
        <v>0</v>
      </c>
      <c r="BI100" s="293">
        <f>BI101</f>
        <v>0</v>
      </c>
      <c r="BJ100" s="293">
        <f t="shared" ref="BJ100" si="549">BJ101</f>
        <v>0.309477</v>
      </c>
      <c r="BK100" s="293">
        <f t="shared" ref="BK100" si="550">BK101</f>
        <v>0</v>
      </c>
      <c r="BL100" s="293">
        <f t="shared" ref="BL100" si="551">BL101</f>
        <v>0</v>
      </c>
      <c r="BM100" s="293">
        <f t="shared" ref="BM100" si="552">BM101</f>
        <v>0</v>
      </c>
      <c r="BN100" s="293">
        <f t="shared" ref="BN100" si="553">BN101</f>
        <v>0.309477</v>
      </c>
      <c r="BO100" s="213"/>
      <c r="BP100" s="293">
        <f t="shared" ref="BP100" si="554">BP101</f>
        <v>0</v>
      </c>
      <c r="BQ100" s="293">
        <f t="shared" ref="BQ100" si="555">BQ101</f>
        <v>0</v>
      </c>
      <c r="BR100" s="293">
        <f t="shared" ref="BR100" si="556">BR101</f>
        <v>0</v>
      </c>
      <c r="BS100" s="293">
        <f t="shared" ref="BS100" si="557">BS101</f>
        <v>0</v>
      </c>
      <c r="BT100" s="293">
        <f t="shared" ref="BT100" si="558">BT101</f>
        <v>0</v>
      </c>
      <c r="BU100" s="169"/>
      <c r="BV100" s="350">
        <f t="shared" ref="BV100" si="559">BV101</f>
        <v>0</v>
      </c>
      <c r="BW100" s="350">
        <f t="shared" ref="BW100" si="560">BW101</f>
        <v>0</v>
      </c>
      <c r="BX100" s="350">
        <f t="shared" ref="BX100" si="561">BX101</f>
        <v>0</v>
      </c>
      <c r="BY100" s="359"/>
      <c r="BZ100" s="293">
        <f t="shared" ref="BZ100" si="562">BZ101</f>
        <v>0</v>
      </c>
      <c r="CA100" s="293">
        <f t="shared" ref="CA100" si="563">CA101</f>
        <v>0</v>
      </c>
      <c r="CB100" s="293">
        <f t="shared" ref="CB100" si="564">CB101</f>
        <v>0</v>
      </c>
      <c r="CC100" s="293">
        <f t="shared" ref="CC100" si="565">CC101</f>
        <v>0</v>
      </c>
      <c r="CD100" s="293">
        <f t="shared" ref="CD100" si="566">CD101</f>
        <v>0</v>
      </c>
      <c r="CE100" s="293">
        <f t="shared" ref="CE100" si="567">CE101</f>
        <v>0</v>
      </c>
      <c r="CF100" s="293">
        <f t="shared" ref="CF100" si="568">CF101</f>
        <v>0</v>
      </c>
      <c r="CG100" s="198"/>
      <c r="CH100" s="293">
        <f t="shared" ref="CH100" si="569">CH101</f>
        <v>0</v>
      </c>
      <c r="CI100" s="293">
        <f t="shared" ref="CI100" si="570">CI101</f>
        <v>0</v>
      </c>
      <c r="CJ100" s="293">
        <f t="shared" ref="CJ100" si="571">CJ101</f>
        <v>0</v>
      </c>
      <c r="CK100" s="293">
        <f t="shared" ref="CK100" si="572">CK101</f>
        <v>0</v>
      </c>
      <c r="CL100" s="293">
        <f t="shared" ref="CL100" si="573">CL101</f>
        <v>0</v>
      </c>
      <c r="CM100" s="219"/>
      <c r="CN100" s="210">
        <v>0.05</v>
      </c>
      <c r="CO100" s="210"/>
      <c r="CP100" s="292">
        <f>CN100*($CN$4*'BOQ COST'!$G$4)</f>
        <v>8.1791081978928412E-2</v>
      </c>
      <c r="CQ100" s="292">
        <f>CR100</f>
        <v>0</v>
      </c>
      <c r="CR100" s="293">
        <f>CR101</f>
        <v>0</v>
      </c>
      <c r="CS100" s="293">
        <f t="shared" ref="CS100" si="574">CS101</f>
        <v>8.1791081978928412E-2</v>
      </c>
      <c r="CT100" s="293">
        <f t="shared" ref="CT100" si="575">CT101</f>
        <v>0</v>
      </c>
      <c r="CU100" s="293">
        <f t="shared" ref="CU100" si="576">CU101</f>
        <v>0</v>
      </c>
      <c r="CV100" s="293">
        <f t="shared" ref="CV100" si="577">CV101</f>
        <v>0</v>
      </c>
      <c r="CW100" s="293">
        <f t="shared" ref="CW100" si="578">CW101</f>
        <v>8.1791081978928412E-2</v>
      </c>
      <c r="CX100" s="213"/>
      <c r="CY100" s="293">
        <f t="shared" ref="CY100" si="579">CY101</f>
        <v>0</v>
      </c>
      <c r="CZ100" s="293">
        <f t="shared" ref="CZ100" si="580">CZ101</f>
        <v>0</v>
      </c>
      <c r="DA100" s="293">
        <f t="shared" ref="DA100" si="581">DA101</f>
        <v>0</v>
      </c>
      <c r="DB100" s="293">
        <f t="shared" ref="DB100" si="582">DB101</f>
        <v>0</v>
      </c>
      <c r="DC100" s="293">
        <f t="shared" ref="DC100" si="583">DC101</f>
        <v>0</v>
      </c>
      <c r="DD100" s="169"/>
      <c r="DE100" s="293">
        <f t="shared" ref="DE100" si="584">DE101</f>
        <v>0</v>
      </c>
      <c r="DF100" s="293">
        <f t="shared" ref="DF100" si="585">DF101</f>
        <v>0</v>
      </c>
      <c r="DG100" s="293">
        <f t="shared" ref="DG100" si="586">DG101</f>
        <v>0</v>
      </c>
      <c r="DH100" s="267"/>
      <c r="DI100" s="293">
        <f t="shared" ref="DI100" si="587">DI101</f>
        <v>0</v>
      </c>
      <c r="DJ100" s="293">
        <f t="shared" ref="DJ100" si="588">DJ101</f>
        <v>0</v>
      </c>
      <c r="DK100" s="293">
        <f t="shared" ref="DK100" si="589">DK101</f>
        <v>0</v>
      </c>
      <c r="DL100" s="293">
        <f t="shared" ref="DL100" si="590">DL101</f>
        <v>0</v>
      </c>
      <c r="DM100" s="293">
        <f t="shared" ref="DM100" si="591">DM101</f>
        <v>0</v>
      </c>
      <c r="DN100" s="293">
        <f t="shared" ref="DN100" si="592">DN101</f>
        <v>0</v>
      </c>
      <c r="DO100" s="293">
        <f t="shared" ref="DO100" si="593">DO101</f>
        <v>0</v>
      </c>
      <c r="DP100" s="198"/>
      <c r="DQ100" s="293">
        <f t="shared" ref="DQ100" si="594">DQ101</f>
        <v>0</v>
      </c>
      <c r="DR100" s="293">
        <f t="shared" ref="DR100" si="595">DR101</f>
        <v>0</v>
      </c>
      <c r="DS100" s="293">
        <f t="shared" ref="DS100" si="596">DS101</f>
        <v>0</v>
      </c>
      <c r="DT100" s="293">
        <f t="shared" ref="DT100" si="597">DT101</f>
        <v>0</v>
      </c>
      <c r="DU100" s="293">
        <f t="shared" ref="DU100" si="598">DU101</f>
        <v>0</v>
      </c>
      <c r="DV100" s="218"/>
      <c r="DW100" s="219"/>
      <c r="DX100" s="210">
        <v>0.05</v>
      </c>
      <c r="DY100" s="210"/>
      <c r="DZ100" s="292">
        <f>DX100*($DX$4*'BOQ COST'!$H$4)</f>
        <v>1.4327495000000003E-2</v>
      </c>
      <c r="EA100" s="292">
        <f>EB100</f>
        <v>0</v>
      </c>
      <c r="EB100" s="293">
        <f>EB101</f>
        <v>0</v>
      </c>
      <c r="EC100" s="293">
        <f t="shared" ref="EC100" si="599">EC101</f>
        <v>1.4327495000000003E-2</v>
      </c>
      <c r="ED100" s="293">
        <f t="shared" ref="ED100" si="600">ED101</f>
        <v>0</v>
      </c>
      <c r="EE100" s="293">
        <f t="shared" ref="EE100" si="601">EE101</f>
        <v>0</v>
      </c>
      <c r="EF100" s="293">
        <f t="shared" ref="EF100" si="602">EF101</f>
        <v>0</v>
      </c>
      <c r="EG100" s="293">
        <f t="shared" ref="EG100" si="603">EG101</f>
        <v>1.4327495000000003E-2</v>
      </c>
      <c r="EH100" s="213"/>
      <c r="EI100" s="293">
        <f t="shared" ref="EI100" si="604">EI101</f>
        <v>0</v>
      </c>
      <c r="EJ100" s="293">
        <f t="shared" ref="EJ100" si="605">EJ101</f>
        <v>0</v>
      </c>
      <c r="EK100" s="293">
        <f t="shared" ref="EK100" si="606">EK101</f>
        <v>0</v>
      </c>
      <c r="EL100" s="293">
        <f t="shared" ref="EL100" si="607">EL101</f>
        <v>0</v>
      </c>
      <c r="EM100" s="293">
        <f t="shared" ref="EM100" si="608">EM101</f>
        <v>0</v>
      </c>
      <c r="EN100" s="169"/>
      <c r="EO100" s="293">
        <f t="shared" ref="EO100" si="609">EO101</f>
        <v>0</v>
      </c>
      <c r="EP100" s="293">
        <f t="shared" ref="EP100" si="610">EP101</f>
        <v>0</v>
      </c>
      <c r="EQ100" s="293">
        <f t="shared" ref="EQ100" si="611">EQ101</f>
        <v>0</v>
      </c>
      <c r="ER100" s="267"/>
      <c r="ES100" s="293">
        <f t="shared" ref="ES100" si="612">ES101</f>
        <v>0</v>
      </c>
      <c r="ET100" s="293">
        <f t="shared" ref="ET100" si="613">ET101</f>
        <v>0</v>
      </c>
      <c r="EU100" s="293">
        <f t="shared" ref="EU100" si="614">EU101</f>
        <v>0</v>
      </c>
      <c r="EV100" s="293">
        <f t="shared" ref="EV100" si="615">EV101</f>
        <v>0</v>
      </c>
      <c r="EW100" s="293">
        <f t="shared" ref="EW100" si="616">EW101</f>
        <v>0</v>
      </c>
      <c r="EX100" s="293">
        <f t="shared" ref="EX100" si="617">EX101</f>
        <v>0</v>
      </c>
      <c r="EY100" s="293">
        <f t="shared" ref="EY100" si="618">EY101</f>
        <v>0</v>
      </c>
      <c r="EZ100" s="198"/>
      <c r="FA100" s="293">
        <f t="shared" ref="FA100" si="619">FA101</f>
        <v>0</v>
      </c>
      <c r="FB100" s="293">
        <f t="shared" ref="FB100" si="620">FB101</f>
        <v>0</v>
      </c>
      <c r="FC100" s="293">
        <f t="shared" ref="FC100" si="621">FC101</f>
        <v>0</v>
      </c>
      <c r="FD100" s="293">
        <f t="shared" ref="FD100" si="622">FD101</f>
        <v>0</v>
      </c>
      <c r="FE100" s="293">
        <f t="shared" ref="FE100" si="623">FE101</f>
        <v>0</v>
      </c>
      <c r="FF100" s="218"/>
    </row>
    <row r="101" spans="2:162" ht="15" outlineLevel="2">
      <c r="B101" s="459">
        <v>1</v>
      </c>
      <c r="C101" s="155" t="s">
        <v>121</v>
      </c>
      <c r="E101" s="457">
        <f>X101+BG101+CP101+DZ101</f>
        <v>1.5500955769789286</v>
      </c>
      <c r="F101" s="457">
        <f>Y101+BH101+CQ101+EA101</f>
        <v>0</v>
      </c>
      <c r="G101" s="457">
        <f t="shared" si="542"/>
        <v>1.5500955769789286</v>
      </c>
      <c r="H101" s="458">
        <f t="shared" si="543"/>
        <v>0</v>
      </c>
      <c r="I101" s="458">
        <f t="shared" si="543"/>
        <v>1.5500955769789286</v>
      </c>
      <c r="J101" s="458">
        <f t="shared" si="543"/>
        <v>0</v>
      </c>
      <c r="K101" s="458">
        <f t="shared" si="543"/>
        <v>0</v>
      </c>
      <c r="L101" s="458">
        <f t="shared" si="543"/>
        <v>0</v>
      </c>
      <c r="M101" s="458">
        <f t="shared" si="543"/>
        <v>1.5500955769789286</v>
      </c>
      <c r="N101" s="256"/>
      <c r="O101" s="458">
        <f t="shared" si="544"/>
        <v>0</v>
      </c>
      <c r="P101" s="458">
        <f t="shared" si="544"/>
        <v>0</v>
      </c>
      <c r="Q101" s="458">
        <f t="shared" si="544"/>
        <v>0</v>
      </c>
      <c r="R101" s="458">
        <f t="shared" si="544"/>
        <v>0</v>
      </c>
      <c r="S101" s="458">
        <f t="shared" si="544"/>
        <v>0</v>
      </c>
      <c r="T101" s="368"/>
      <c r="U101" s="183"/>
      <c r="V101" s="232">
        <v>0.05</v>
      </c>
      <c r="W101" s="222"/>
      <c r="X101" s="458">
        <f>X100</f>
        <v>1.1445000000000001</v>
      </c>
      <c r="Y101" s="223"/>
      <c r="Z101" s="224"/>
      <c r="AA101" s="226">
        <f>AE101</f>
        <v>1.1445000000000001</v>
      </c>
      <c r="AB101" s="226"/>
      <c r="AC101" s="226"/>
      <c r="AD101" s="226"/>
      <c r="AE101" s="226">
        <f>X101</f>
        <v>1.1445000000000001</v>
      </c>
      <c r="AF101" s="242"/>
      <c r="AG101" s="226"/>
      <c r="AH101" s="226"/>
      <c r="AI101" s="226"/>
      <c r="AJ101" s="226"/>
      <c r="AK101" s="226"/>
      <c r="AL101" s="169"/>
      <c r="AT101" s="198"/>
      <c r="AU101" s="198"/>
      <c r="AV101" s="198"/>
      <c r="AW101" s="198"/>
      <c r="AX101" s="198"/>
      <c r="AY101" s="258"/>
      <c r="AZ101" s="258"/>
      <c r="BA101" s="258"/>
      <c r="BB101" s="258"/>
      <c r="BC101" s="258"/>
      <c r="BE101" s="239">
        <v>0.05</v>
      </c>
      <c r="BF101" s="222"/>
      <c r="BG101" s="458">
        <f>BG100</f>
        <v>0.309477</v>
      </c>
      <c r="BH101" s="223"/>
      <c r="BI101" s="224"/>
      <c r="BJ101" s="226">
        <f>BG101</f>
        <v>0.309477</v>
      </c>
      <c r="BK101" s="226"/>
      <c r="BL101" s="226"/>
      <c r="BM101" s="226"/>
      <c r="BN101" s="226">
        <f>BJ101</f>
        <v>0.309477</v>
      </c>
      <c r="BO101" s="242"/>
      <c r="BP101" s="226"/>
      <c r="BQ101" s="226"/>
      <c r="BR101" s="226"/>
      <c r="BS101" s="226"/>
      <c r="BT101" s="226"/>
      <c r="BU101" s="169"/>
      <c r="CC101" s="198"/>
      <c r="CD101" s="198"/>
      <c r="CE101" s="198"/>
      <c r="CF101" s="198"/>
      <c r="CG101" s="198"/>
      <c r="CH101" s="258"/>
      <c r="CI101" s="258"/>
      <c r="CJ101" s="258"/>
      <c r="CK101" s="258"/>
      <c r="CL101" s="258"/>
      <c r="CN101" s="239">
        <v>0.05</v>
      </c>
      <c r="CO101" s="222"/>
      <c r="CP101" s="458">
        <f>$CP$100/$CN$100*CN101</f>
        <v>8.1791081978928412E-2</v>
      </c>
      <c r="CQ101" s="223"/>
      <c r="CR101" s="224"/>
      <c r="CS101" s="226">
        <f>CP101</f>
        <v>8.1791081978928412E-2</v>
      </c>
      <c r="CT101" s="226"/>
      <c r="CU101" s="226"/>
      <c r="CV101" s="226"/>
      <c r="CW101" s="226">
        <f>CP101</f>
        <v>8.1791081978928412E-2</v>
      </c>
      <c r="CX101" s="242"/>
      <c r="CY101" s="226"/>
      <c r="CZ101" s="226"/>
      <c r="DA101" s="226"/>
      <c r="DB101" s="226"/>
      <c r="DC101" s="226"/>
      <c r="DD101" s="183"/>
      <c r="DE101" s="227"/>
      <c r="DF101" s="227"/>
      <c r="DG101" s="227"/>
      <c r="DL101" s="198"/>
      <c r="DM101" s="198"/>
      <c r="DN101" s="198"/>
      <c r="DO101" s="198"/>
      <c r="DP101" s="198"/>
      <c r="DQ101" s="258"/>
      <c r="DR101" s="258"/>
      <c r="DS101" s="258"/>
      <c r="DT101" s="258"/>
      <c r="DU101" s="258"/>
      <c r="DV101" s="258"/>
      <c r="DX101" s="239">
        <v>0.05</v>
      </c>
      <c r="DY101" s="222"/>
      <c r="DZ101" s="458">
        <f>DZ100</f>
        <v>1.4327495000000003E-2</v>
      </c>
      <c r="EA101" s="223"/>
      <c r="EB101" s="224"/>
      <c r="EC101" s="226">
        <f>DZ101</f>
        <v>1.4327495000000003E-2</v>
      </c>
      <c r="ED101" s="226"/>
      <c r="EE101" s="226"/>
      <c r="EF101" s="226"/>
      <c r="EG101" s="226">
        <f>DZ101</f>
        <v>1.4327495000000003E-2</v>
      </c>
      <c r="EH101" s="242"/>
      <c r="EI101" s="226"/>
      <c r="EJ101" s="226"/>
      <c r="EK101" s="226"/>
      <c r="EL101" s="226"/>
      <c r="EM101" s="226"/>
      <c r="EN101" s="183"/>
      <c r="EO101" s="227"/>
      <c r="EP101" s="227"/>
      <c r="EQ101" s="227"/>
      <c r="EV101" s="198"/>
      <c r="EW101" s="198"/>
      <c r="EX101" s="198"/>
      <c r="EY101" s="198"/>
      <c r="EZ101" s="198"/>
      <c r="FA101" s="258"/>
      <c r="FB101" s="258"/>
      <c r="FC101" s="258"/>
      <c r="FD101" s="258"/>
      <c r="FE101" s="258"/>
      <c r="FF101" s="258"/>
    </row>
    <row r="102" spans="2:162" ht="3" customHeight="1">
      <c r="H102" s="155"/>
      <c r="I102" s="155"/>
      <c r="J102" s="155"/>
      <c r="K102" s="155"/>
      <c r="L102" s="155"/>
      <c r="M102" s="155"/>
      <c r="N102" s="155"/>
      <c r="O102" s="155"/>
      <c r="P102" s="155"/>
      <c r="Q102" s="155"/>
      <c r="R102" s="155"/>
      <c r="S102" s="155"/>
      <c r="T102" s="155"/>
      <c r="U102" s="155"/>
      <c r="V102" s="155"/>
      <c r="W102" s="155"/>
      <c r="X102" s="155"/>
      <c r="Y102" s="155"/>
      <c r="Z102" s="155"/>
      <c r="AA102" s="155"/>
      <c r="AB102" s="155"/>
      <c r="AC102" s="155"/>
      <c r="AD102" s="155"/>
      <c r="AE102" s="155"/>
      <c r="AF102" s="155"/>
      <c r="AG102" s="155"/>
      <c r="AH102" s="155"/>
      <c r="AI102" s="155"/>
      <c r="AJ102" s="155"/>
      <c r="AK102" s="155"/>
      <c r="AL102" s="155"/>
      <c r="AM102" s="155"/>
      <c r="AN102" s="155"/>
      <c r="AO102" s="155"/>
      <c r="AP102" s="155"/>
      <c r="AQ102" s="155"/>
      <c r="AR102" s="155"/>
      <c r="AS102" s="155"/>
      <c r="AT102" s="155"/>
      <c r="AU102" s="155"/>
      <c r="AV102" s="155"/>
      <c r="AW102" s="155"/>
      <c r="AX102" s="155"/>
      <c r="AY102" s="155"/>
      <c r="AZ102" s="155"/>
      <c r="BA102" s="155"/>
      <c r="BB102" s="155"/>
      <c r="BC102" s="155"/>
      <c r="BD102" s="155"/>
      <c r="BE102" s="155"/>
      <c r="BF102" s="155"/>
      <c r="BG102" s="155"/>
      <c r="BH102" s="155"/>
      <c r="BI102" s="155"/>
      <c r="BJ102" s="155"/>
      <c r="BK102" s="155"/>
      <c r="BL102" s="155"/>
      <c r="BM102" s="155"/>
      <c r="BN102" s="155"/>
      <c r="BO102" s="155"/>
      <c r="BP102" s="155"/>
      <c r="BQ102" s="155"/>
      <c r="BR102" s="155"/>
      <c r="BS102" s="155"/>
      <c r="BT102" s="155"/>
      <c r="BU102" s="155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5"/>
      <c r="CJ102" s="155"/>
      <c r="CK102" s="155"/>
      <c r="CL102" s="155"/>
      <c r="CM102" s="155"/>
      <c r="CN102" s="155"/>
      <c r="CO102" s="155"/>
      <c r="CP102" s="155"/>
      <c r="CQ102" s="155"/>
      <c r="CR102" s="155"/>
      <c r="CS102" s="155"/>
      <c r="CT102" s="155"/>
      <c r="CU102" s="155"/>
      <c r="CV102" s="155"/>
      <c r="CW102" s="155"/>
      <c r="CX102" s="155"/>
      <c r="CY102" s="155"/>
      <c r="CZ102" s="155"/>
      <c r="DA102" s="155"/>
      <c r="DB102" s="155"/>
      <c r="DC102" s="155"/>
      <c r="DD102" s="155"/>
      <c r="DE102" s="155"/>
      <c r="DF102" s="155"/>
      <c r="DG102" s="155"/>
      <c r="DH102" s="155"/>
      <c r="DI102" s="155"/>
      <c r="DJ102" s="155"/>
      <c r="DK102" s="155"/>
      <c r="DL102" s="155"/>
      <c r="DM102" s="155"/>
      <c r="DN102" s="155"/>
      <c r="DO102" s="155"/>
      <c r="DP102" s="155"/>
      <c r="DQ102" s="155"/>
      <c r="DR102" s="155"/>
      <c r="DS102" s="155"/>
      <c r="DT102" s="155"/>
      <c r="DU102" s="155"/>
      <c r="DV102" s="155"/>
      <c r="DW102" s="155"/>
      <c r="DX102" s="155"/>
      <c r="DY102" s="155"/>
      <c r="DZ102" s="155"/>
      <c r="EA102" s="155"/>
      <c r="EB102" s="155"/>
      <c r="EC102" s="155"/>
      <c r="ED102" s="155"/>
      <c r="EE102" s="155"/>
      <c r="EF102" s="155"/>
      <c r="EG102" s="155"/>
      <c r="EH102" s="155"/>
      <c r="EI102" s="155"/>
      <c r="EJ102" s="155"/>
      <c r="EK102" s="155"/>
      <c r="EL102" s="155"/>
      <c r="EM102" s="155"/>
      <c r="EN102" s="155"/>
      <c r="EO102" s="155"/>
      <c r="EP102" s="155"/>
      <c r="EQ102" s="155"/>
      <c r="ER102" s="155"/>
      <c r="ES102" s="155"/>
      <c r="ET102" s="155"/>
      <c r="EU102" s="155"/>
      <c r="EV102" s="155"/>
      <c r="EW102" s="155"/>
      <c r="EX102" s="155"/>
      <c r="EY102" s="155"/>
      <c r="EZ102" s="155"/>
      <c r="FA102" s="155"/>
      <c r="FB102" s="155"/>
      <c r="FC102" s="155"/>
      <c r="FD102" s="155"/>
      <c r="FE102" s="155"/>
      <c r="FF102" s="155"/>
    </row>
    <row r="103" spans="2:162" s="279" customFormat="1" ht="3" customHeight="1">
      <c r="B103" s="192"/>
      <c r="C103" s="174"/>
      <c r="D103" s="174"/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  <c r="P103" s="174"/>
      <c r="Q103" s="174"/>
      <c r="R103" s="174"/>
      <c r="S103" s="174"/>
      <c r="T103" s="174"/>
      <c r="U103" s="174"/>
      <c r="V103" s="174"/>
      <c r="W103" s="174"/>
      <c r="X103" s="174"/>
      <c r="Y103" s="174"/>
      <c r="Z103" s="174"/>
      <c r="AA103" s="174"/>
      <c r="AB103" s="174"/>
      <c r="AC103" s="174"/>
      <c r="AD103" s="174"/>
      <c r="AE103" s="174"/>
      <c r="AF103" s="174"/>
      <c r="AG103" s="174"/>
      <c r="AH103" s="174"/>
      <c r="AI103" s="174"/>
      <c r="AJ103" s="174"/>
      <c r="AK103" s="174"/>
      <c r="AL103" s="174"/>
      <c r="AM103" s="174"/>
      <c r="AN103" s="174"/>
      <c r="AO103" s="174"/>
      <c r="AP103" s="174"/>
      <c r="AQ103" s="174"/>
      <c r="AR103" s="174"/>
      <c r="AS103" s="174"/>
      <c r="AT103" s="174"/>
      <c r="AU103" s="174"/>
      <c r="AV103" s="174"/>
      <c r="AW103" s="174"/>
      <c r="AX103" s="174"/>
      <c r="AY103" s="174"/>
      <c r="AZ103" s="174"/>
      <c r="BA103" s="174"/>
      <c r="BB103" s="174"/>
      <c r="BC103" s="174"/>
      <c r="BD103" s="174"/>
      <c r="BE103" s="174"/>
      <c r="BF103" s="174"/>
      <c r="BG103" s="174"/>
      <c r="BH103" s="174"/>
      <c r="BI103" s="174"/>
      <c r="BJ103" s="174"/>
      <c r="BK103" s="174"/>
      <c r="BL103" s="174"/>
      <c r="BM103" s="174"/>
      <c r="BN103" s="174"/>
      <c r="BO103" s="174"/>
      <c r="BP103" s="174"/>
      <c r="BQ103" s="174"/>
      <c r="BR103" s="174"/>
      <c r="BS103" s="174"/>
      <c r="BT103" s="174"/>
      <c r="BU103" s="174"/>
      <c r="BV103" s="174"/>
      <c r="BW103" s="174"/>
      <c r="BX103" s="174"/>
      <c r="BY103" s="174"/>
      <c r="BZ103" s="174"/>
      <c r="CA103" s="174"/>
      <c r="CB103" s="174"/>
      <c r="CC103" s="174"/>
      <c r="CD103" s="174"/>
      <c r="CE103" s="174"/>
      <c r="CF103" s="174"/>
      <c r="CG103" s="174"/>
      <c r="CH103" s="174"/>
      <c r="CI103" s="174"/>
      <c r="CJ103" s="174"/>
      <c r="CK103" s="174"/>
      <c r="CL103" s="174"/>
      <c r="CM103" s="174"/>
      <c r="CN103" s="174"/>
      <c r="CO103" s="174"/>
      <c r="CP103" s="174"/>
      <c r="CQ103" s="174"/>
      <c r="CR103" s="174"/>
      <c r="CS103" s="174"/>
      <c r="CT103" s="174"/>
      <c r="CU103" s="174"/>
      <c r="CV103" s="174"/>
      <c r="CW103" s="174"/>
      <c r="CX103" s="174"/>
      <c r="CY103" s="174"/>
      <c r="CZ103" s="174"/>
      <c r="DA103" s="174"/>
      <c r="DB103" s="174"/>
      <c r="DC103" s="174"/>
      <c r="DD103" s="174"/>
      <c r="DE103" s="174"/>
      <c r="DF103" s="174"/>
      <c r="DG103" s="174"/>
      <c r="DH103" s="174"/>
      <c r="DI103" s="174"/>
      <c r="DJ103" s="174"/>
      <c r="DK103" s="174"/>
      <c r="DL103" s="174"/>
      <c r="DM103" s="174"/>
      <c r="DN103" s="174"/>
      <c r="DO103" s="174"/>
      <c r="DP103" s="174"/>
      <c r="DQ103" s="174"/>
      <c r="DR103" s="174"/>
      <c r="DS103" s="174"/>
      <c r="DT103" s="174"/>
      <c r="DU103" s="174"/>
      <c r="DV103" s="174"/>
      <c r="DW103" s="174"/>
      <c r="DX103" s="174"/>
      <c r="DY103" s="174"/>
      <c r="DZ103" s="174"/>
      <c r="EA103" s="174"/>
      <c r="EB103" s="174"/>
      <c r="EC103" s="174"/>
      <c r="ED103" s="174"/>
      <c r="EE103" s="174"/>
      <c r="EF103" s="174"/>
      <c r="EG103" s="174"/>
      <c r="EH103" s="174"/>
      <c r="EI103" s="174"/>
      <c r="EJ103" s="174"/>
      <c r="EK103" s="174"/>
      <c r="EL103" s="174"/>
      <c r="EM103" s="174"/>
      <c r="EN103" s="174"/>
      <c r="EO103" s="174"/>
      <c r="EP103" s="174"/>
      <c r="EQ103" s="174"/>
      <c r="ER103" s="174"/>
      <c r="ES103" s="174"/>
      <c r="ET103" s="174"/>
      <c r="EU103" s="174"/>
      <c r="EV103" s="174"/>
      <c r="EW103" s="174"/>
      <c r="EX103" s="174"/>
      <c r="EY103" s="174"/>
      <c r="EZ103" s="174"/>
      <c r="FA103" s="174"/>
      <c r="FB103" s="174"/>
      <c r="FC103" s="174"/>
      <c r="FD103" s="174"/>
      <c r="FE103" s="174"/>
      <c r="FF103" s="174"/>
    </row>
  </sheetData>
  <sheetProtection selectLockedCells="1" selectUnlockedCells="1"/>
  <mergeCells count="21">
    <mergeCell ref="EO4:EQ4"/>
    <mergeCell ref="ES4:FE4"/>
    <mergeCell ref="BV1:BX1"/>
    <mergeCell ref="BZ1:CA1"/>
    <mergeCell ref="EO1:EQ1"/>
    <mergeCell ref="ES1:ET1"/>
    <mergeCell ref="DE1:DG1"/>
    <mergeCell ref="DI1:DJ1"/>
    <mergeCell ref="DI4:DU4"/>
    <mergeCell ref="BZ4:CL4"/>
    <mergeCell ref="AM1:AO1"/>
    <mergeCell ref="AQ1:AR1"/>
    <mergeCell ref="B98:C98"/>
    <mergeCell ref="B9:C9"/>
    <mergeCell ref="DE4:DG4"/>
    <mergeCell ref="B3:C3"/>
    <mergeCell ref="B4:C4"/>
    <mergeCell ref="B5:C5"/>
    <mergeCell ref="B54:C54"/>
    <mergeCell ref="BV4:BX4"/>
    <mergeCell ref="AQ4:BC4"/>
  </mergeCells>
  <phoneticPr fontId="44" type="noConversion"/>
  <conditionalFormatting sqref="G3:G4">
    <cfRule type="expression" dxfId="114" priority="126">
      <formula>OR(CELL("col")=COLUMN(),CELL("rom")=ROW())</formula>
    </cfRule>
  </conditionalFormatting>
  <conditionalFormatting sqref="I3:I4">
    <cfRule type="expression" dxfId="113" priority="112">
      <formula>OR(CELL("col")=COLUMN(),CELL("rom")=ROW())</formula>
    </cfRule>
  </conditionalFormatting>
  <conditionalFormatting sqref="I57:I66">
    <cfRule type="expression" dxfId="112" priority="113">
      <formula>OR(CELL("col")=COLUMN(),CELL("rom")=ROW())</formula>
    </cfRule>
  </conditionalFormatting>
  <conditionalFormatting sqref="I92:I96">
    <cfRule type="expression" dxfId="111" priority="86">
      <formula>OR(CELL("col")=COLUMN(),CELL("rom")=ROW())</formula>
    </cfRule>
  </conditionalFormatting>
  <conditionalFormatting sqref="I101:N101">
    <cfRule type="expression" dxfId="110" priority="84">
      <formula>OR(CELL("col")=COLUMN(),CELL("rom")=ROW())</formula>
    </cfRule>
  </conditionalFormatting>
  <conditionalFormatting sqref="I76:S83">
    <cfRule type="expression" dxfId="109" priority="59">
      <formula>OR(CELL("col")=COLUMN(),CELL("rom")=ROW())</formula>
    </cfRule>
  </conditionalFormatting>
  <conditionalFormatting sqref="I86:S89">
    <cfRule type="expression" dxfId="108" priority="58">
      <formula>OR(CELL("col")=COLUMN(),CELL("rom")=ROW())</formula>
    </cfRule>
  </conditionalFormatting>
  <conditionalFormatting sqref="M92:S96">
    <cfRule type="expression" dxfId="107" priority="57">
      <formula>OR(CELL("col")=COLUMN(),CELL("rom")=ROW())</formula>
    </cfRule>
  </conditionalFormatting>
  <conditionalFormatting sqref="O3:O4">
    <cfRule type="expression" dxfId="106" priority="110">
      <formula>OR(CELL("col")=COLUMN(),CELL("rom")=ROW())</formula>
    </cfRule>
  </conditionalFormatting>
  <conditionalFormatting sqref="O2:S2 AG2:AK2 AY2:BC2 BP2:BT2 CH2:CL2 CY2:DC2 DQ2:DV2 EI2:EM2 FA2:FF2 AY4:BC4 CH4:CL4 DQ4:DV4 FA4:FF4 O4:S5 BP10:BT16 CH10:CL53 AY10:BC56 BR17:BT17 BP18:BT38 BR39:BT39 BP40:BT74 AG45:AK74 CY54:DC74 EI54:EM74 AY57:AY66 AY67:BC68 CH67:CL68 AQ68:AY68 BZ68:CH68 AY69:AY73 AY74:BC74 CH74:CL74 AB76:AK79 BK76:BT79 AY76:AY83 CY76:DC97 EI76:EM97 AB80:AF83 BK80:BO83 AG80:AK94 BP80:BT94 AY84:BC85 CH84:CL85 AA86:AF89 AY86:AY89 BJ86:BO89 CS86:CX89 DV86:DV89 EC86:EH89 FA86:FA89 FF86:FF89 AY90:BC91 CH90:CL91 AB92:AF94 BK92:BO94 AY92:AY96 AB95:AK95 BK95:BT95 AB96:AF96 BK96:BO96 AG96:AK97 BP96:BT97 AY101:BC101 CH101:CL101 DQ101:DV101 FA101:FF101 O105:S107 AG105:AK107 BP105:BT107 CY105:DC107 EI105:EM107 AY105:BC108 CH105:CL108 DQ105:DV108 FA105:FF108 AG111:AK144 AY112:BC218 AG146:AK218">
    <cfRule type="expression" dxfId="105" priority="454">
      <formula>OR(CELL("col")=COLUMN(),CELL("rom")=ROW())</formula>
    </cfRule>
  </conditionalFormatting>
  <conditionalFormatting sqref="O57:S66">
    <cfRule type="expression" dxfId="104" priority="60">
      <formula>OR(CELL("col")=COLUMN(),CELL("rom")=ROW())</formula>
    </cfRule>
  </conditionalFormatting>
  <conditionalFormatting sqref="O45:S53 J57:N60 L61:N65 J66:N66 N69:N73 O111:S144 O146:S218">
    <cfRule type="expression" dxfId="103" priority="115">
      <formula>OR(CELL("col")=COLUMN(),CELL("rom")=ROW())</formula>
    </cfRule>
  </conditionalFormatting>
  <conditionalFormatting sqref="AA3:AA4">
    <cfRule type="expression" dxfId="102" priority="437">
      <formula>OR(CELL("col")=COLUMN(),CELL("rom")=ROW())</formula>
    </cfRule>
  </conditionalFormatting>
  <conditionalFormatting sqref="AA76:AA83">
    <cfRule type="expression" dxfId="101" priority="393">
      <formula>OR(CELL("col")=COLUMN(),CELL("rom")=ROW())</formula>
    </cfRule>
  </conditionalFormatting>
  <conditionalFormatting sqref="AA92:AA96">
    <cfRule type="expression" dxfId="100" priority="391">
      <formula>OR(CELL("col")=COLUMN(),CELL("rom")=ROW())</formula>
    </cfRule>
  </conditionalFormatting>
  <conditionalFormatting sqref="AA57:AF66">
    <cfRule type="expression" dxfId="99" priority="442">
      <formula>OR(CELL("col")=COLUMN(),CELL("rom")=ROW())</formula>
    </cfRule>
  </conditionalFormatting>
  <conditionalFormatting sqref="AA69:AF73">
    <cfRule type="expression" dxfId="98" priority="394">
      <formula>OR(CELL("col")=COLUMN(),CELL("rom")=ROW())</formula>
    </cfRule>
  </conditionalFormatting>
  <conditionalFormatting sqref="AB101:AK101">
    <cfRule type="expression" dxfId="97" priority="443">
      <formula>OR(CELL("col")=COLUMN(),CELL("rom")=ROW())</formula>
    </cfRule>
  </conditionalFormatting>
  <conditionalFormatting sqref="AG3">
    <cfRule type="expression" dxfId="96" priority="405">
      <formula>OR(CELL("col")=COLUMN(),CELL("rom")=ROW())</formula>
    </cfRule>
  </conditionalFormatting>
  <conditionalFormatting sqref="BJ3:BJ4">
    <cfRule type="expression" dxfId="95" priority="3">
      <formula>OR(CELL("col")=COLUMN(),CELL("rom")=ROW())</formula>
    </cfRule>
  </conditionalFormatting>
  <conditionalFormatting sqref="BJ76:BJ83">
    <cfRule type="expression" dxfId="94" priority="158">
      <formula>OR(CELL("col")=COLUMN(),CELL("rom")=ROW())</formula>
    </cfRule>
  </conditionalFormatting>
  <conditionalFormatting sqref="BJ92:BJ96">
    <cfRule type="expression" dxfId="93" priority="157">
      <formula>OR(CELL("col")=COLUMN(),CELL("rom")=ROW())</formula>
    </cfRule>
  </conditionalFormatting>
  <conditionalFormatting sqref="BJ57:BO66">
    <cfRule type="expression" dxfId="92" priority="163">
      <formula>OR(CELL("col")=COLUMN(),CELL("rom")=ROW())</formula>
    </cfRule>
  </conditionalFormatting>
  <conditionalFormatting sqref="BJ69:BO73">
    <cfRule type="expression" dxfId="91" priority="159">
      <formula>OR(CELL("col")=COLUMN(),CELL("rom")=ROW())</formula>
    </cfRule>
  </conditionalFormatting>
  <conditionalFormatting sqref="BK101:BT101">
    <cfRule type="expression" dxfId="90" priority="164">
      <formula>OR(CELL("col")=COLUMN(),CELL("rom")=ROW())</formula>
    </cfRule>
  </conditionalFormatting>
  <conditionalFormatting sqref="BP3">
    <cfRule type="expression" dxfId="89" priority="80">
      <formula>OR(CELL("col")=COLUMN(),CELL("rom")=ROW())</formula>
    </cfRule>
  </conditionalFormatting>
  <conditionalFormatting sqref="BP111:BT144 CH112:CL218 BP146:BT218">
    <cfRule type="expression" dxfId="88" priority="351">
      <formula>OR(CELL("col")=COLUMN(),CELL("rom")=ROW())</formula>
    </cfRule>
  </conditionalFormatting>
  <conditionalFormatting sqref="CH69:CH73">
    <cfRule type="expression" dxfId="87" priority="33">
      <formula>OR(CELL("col")=COLUMN(),CELL("rom")=ROW())</formula>
    </cfRule>
  </conditionalFormatting>
  <conditionalFormatting sqref="CH76:CH83">
    <cfRule type="expression" dxfId="86" priority="32">
      <formula>OR(CELL("col")=COLUMN(),CELL("rom")=ROW())</formula>
    </cfRule>
  </conditionalFormatting>
  <conditionalFormatting sqref="CH86:CH89">
    <cfRule type="expression" dxfId="85" priority="31">
      <formula>OR(CELL("col")=COLUMN(),CELL("rom")=ROW())</formula>
    </cfRule>
  </conditionalFormatting>
  <conditionalFormatting sqref="CH92:CH96">
    <cfRule type="expression" dxfId="84" priority="30">
      <formula>OR(CELL("col")=COLUMN(),CELL("rom")=ROW())</formula>
    </cfRule>
  </conditionalFormatting>
  <conditionalFormatting sqref="CH54:CL56 CH57:CH66">
    <cfRule type="expression" dxfId="83" priority="35">
      <formula>OR(CELL("col")=COLUMN(),CELL("rom")=ROW())</formula>
    </cfRule>
  </conditionalFormatting>
  <conditionalFormatting sqref="CS3:CS4">
    <cfRule type="expression" dxfId="82" priority="2">
      <formula>OR(CELL("col")=COLUMN(),CELL("rom")=ROW())</formula>
    </cfRule>
  </conditionalFormatting>
  <conditionalFormatting sqref="CS57:CX66">
    <cfRule type="expression" dxfId="81" priority="308">
      <formula>OR(CELL("col")=COLUMN(),CELL("rom")=ROW())</formula>
    </cfRule>
  </conditionalFormatting>
  <conditionalFormatting sqref="CS69:CX73">
    <cfRule type="expression" dxfId="80" priority="303">
      <formula>OR(CELL("col")=COLUMN(),CELL("rom")=ROW())</formula>
    </cfRule>
  </conditionalFormatting>
  <conditionalFormatting sqref="CS76:CX83">
    <cfRule type="expression" dxfId="79" priority="302">
      <formula>OR(CELL("col")=COLUMN(),CELL("rom")=ROW())</formula>
    </cfRule>
  </conditionalFormatting>
  <conditionalFormatting sqref="CS92:CX96">
    <cfRule type="expression" dxfId="78" priority="300">
      <formula>OR(CELL("col")=COLUMN(),CELL("rom")=ROW())</formula>
    </cfRule>
  </conditionalFormatting>
  <conditionalFormatting sqref="CT101:DC101">
    <cfRule type="expression" dxfId="77" priority="309">
      <formula>OR(CELL("col")=COLUMN(),CELL("rom")=ROW())</formula>
    </cfRule>
  </conditionalFormatting>
  <conditionalFormatting sqref="CY3">
    <cfRule type="expression" dxfId="76" priority="73">
      <formula>OR(CELL("col")=COLUMN(),CELL("rom")=ROW())</formula>
    </cfRule>
  </conditionalFormatting>
  <conditionalFormatting sqref="DQ57:DQ67">
    <cfRule type="expression" dxfId="75" priority="19">
      <formula>OR(CELL("col")=COLUMN(),CELL("rom")=ROW())</formula>
    </cfRule>
  </conditionalFormatting>
  <conditionalFormatting sqref="DQ69:DQ73">
    <cfRule type="expression" dxfId="74" priority="18">
      <formula>OR(CELL("col")=COLUMN(),CELL("rom")=ROW())</formula>
    </cfRule>
  </conditionalFormatting>
  <conditionalFormatting sqref="DQ76:DQ83 DQ78:DU78">
    <cfRule type="expression" dxfId="73" priority="17">
      <formula>OR(CELL("col")=COLUMN(),CELL("rom")=ROW())</formula>
    </cfRule>
  </conditionalFormatting>
  <conditionalFormatting sqref="DQ86:DQ89">
    <cfRule type="expression" dxfId="72" priority="16">
      <formula>OR(CELL("col")=COLUMN(),CELL("rom")=ROW())</formula>
    </cfRule>
  </conditionalFormatting>
  <conditionalFormatting sqref="DQ92:DQ96">
    <cfRule type="expression" dxfId="71" priority="15">
      <formula>OR(CELL("col")=COLUMN(),CELL("rom")=ROW())</formula>
    </cfRule>
  </conditionalFormatting>
  <conditionalFormatting sqref="DQ10:DV56 DV57:DV66 DR67:DV68 DI68:DQ68 DV69:DV73 DQ74:DV74 DQ84:DV85 DQ90:DV91 DV92:DV96 CY111:DC144 DQ112:DV218 CY146:DC218">
    <cfRule type="expression" dxfId="70" priority="312">
      <formula>OR(CELL("col")=COLUMN(),CELL("rom")=ROW())</formula>
    </cfRule>
  </conditionalFormatting>
  <conditionalFormatting sqref="DV5">
    <cfRule type="expression" dxfId="69" priority="74">
      <formula>OR(CELL("col")=COLUMN(),CELL("rom")=ROW())</formula>
    </cfRule>
  </conditionalFormatting>
  <conditionalFormatting sqref="DV9">
    <cfRule type="expression" dxfId="68" priority="117">
      <formula>OR(CELL("col")=COLUMN(),CELL("rom")=ROW())</formula>
    </cfRule>
  </conditionalFormatting>
  <conditionalFormatting sqref="DV75:DV83">
    <cfRule type="expression" dxfId="67" priority="128">
      <formula>OR(CELL("col")=COLUMN(),CELL("rom")=ROW())</formula>
    </cfRule>
  </conditionalFormatting>
  <conditionalFormatting sqref="DV100">
    <cfRule type="expression" dxfId="66" priority="133">
      <formula>OR(CELL("col")=COLUMN(),CELL("rom")=ROW())</formula>
    </cfRule>
  </conditionalFormatting>
  <conditionalFormatting sqref="EC3:EC4">
    <cfRule type="expression" dxfId="65" priority="1">
      <formula>OR(CELL("col")=COLUMN(),CELL("rom")=ROW())</formula>
    </cfRule>
  </conditionalFormatting>
  <conditionalFormatting sqref="EC57:EH66">
    <cfRule type="expression" dxfId="64" priority="269">
      <formula>OR(CELL("col")=COLUMN(),CELL("rom")=ROW())</formula>
    </cfRule>
  </conditionalFormatting>
  <conditionalFormatting sqref="EC69:EH73">
    <cfRule type="expression" dxfId="63" priority="264">
      <formula>OR(CELL("col")=COLUMN(),CELL("rom")=ROW())</formula>
    </cfRule>
  </conditionalFormatting>
  <conditionalFormatting sqref="EC76:EH83">
    <cfRule type="expression" dxfId="62" priority="263">
      <formula>OR(CELL("col")=COLUMN(),CELL("rom")=ROW())</formula>
    </cfRule>
  </conditionalFormatting>
  <conditionalFormatting sqref="EC92:EH96">
    <cfRule type="expression" dxfId="61" priority="261">
      <formula>OR(CELL("col")=COLUMN(),CELL("rom")=ROW())</formula>
    </cfRule>
  </conditionalFormatting>
  <conditionalFormatting sqref="ED101:EM101">
    <cfRule type="expression" dxfId="60" priority="270">
      <formula>OR(CELL("col")=COLUMN(),CELL("rom")=ROW())</formula>
    </cfRule>
  </conditionalFormatting>
  <conditionalFormatting sqref="EI3">
    <cfRule type="expression" dxfId="59" priority="66">
      <formula>OR(CELL("col")=COLUMN(),CELL("rom")=ROW())</formula>
    </cfRule>
  </conditionalFormatting>
  <conditionalFormatting sqref="FA10:FF56 FF57:FF66 FA57:FA67 FB67:FF68 ES68:FA68 FA69:FA73 FF69:FF73 FA74:FF74 FA76:FA83 FA84:FF85 FA90:FF91 FA92:FA96 FF92:FF96 EI111:EM144 FA112:FF218 EI146:EM218">
    <cfRule type="expression" dxfId="58" priority="273">
      <formula>OR(CELL("col")=COLUMN(),CELL("rom")=ROW())</formula>
    </cfRule>
  </conditionalFormatting>
  <conditionalFormatting sqref="FF5">
    <cfRule type="expression" dxfId="57" priority="67">
      <formula>OR(CELL("col")=COLUMN(),CELL("rom")=ROW())</formula>
    </cfRule>
  </conditionalFormatting>
  <conditionalFormatting sqref="FF9">
    <cfRule type="expression" dxfId="56" priority="116">
      <formula>OR(CELL("col")=COLUMN(),CELL("rom")=ROW())</formula>
    </cfRule>
  </conditionalFormatting>
  <conditionalFormatting sqref="FF75:FF83">
    <cfRule type="expression" dxfId="55" priority="127">
      <formula>OR(CELL("col")=COLUMN(),CELL("rom")=ROW())</formula>
    </cfRule>
  </conditionalFormatting>
  <conditionalFormatting sqref="FF100">
    <cfRule type="expression" dxfId="54" priority="132">
      <formula>OR(CELL("col")=COLUMN(),CELL("rom")=ROW())</formula>
    </cfRule>
  </conditionalFormatting>
  <printOptions horizontalCentered="1"/>
  <pageMargins left="0.25" right="0.25" top="0.34" bottom="0.16" header="0.41" footer="0.16"/>
  <pageSetup paperSize="9" scale="8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18B4-B74A-403F-AF4E-EF46AB312A92}">
  <sheetPr codeName="Sheet3">
    <outlinePr summaryBelow="0" summaryRight="0"/>
    <pageSetUpPr fitToPage="1"/>
  </sheetPr>
  <dimension ref="A1:AT780"/>
  <sheetViews>
    <sheetView zoomScale="131" zoomScaleNormal="115" zoomScaleSheetLayoutView="100" workbookViewId="0">
      <pane xSplit="6" ySplit="6" topLeftCell="G477" activePane="bottomRight" state="frozen"/>
      <selection pane="topRight" activeCell="G1" sqref="G1"/>
      <selection pane="bottomLeft" activeCell="A7" sqref="A7"/>
      <selection pane="bottomRight" activeCell="A782" sqref="A782:XFD782"/>
    </sheetView>
  </sheetViews>
  <sheetFormatPr defaultColWidth="11.5546875" defaultRowHeight="13.2" outlineLevelRow="2" outlineLevelCol="1"/>
  <cols>
    <col min="1" max="1" width="7" style="422" customWidth="1"/>
    <col min="2" max="2" width="4.44140625" style="424" customWidth="1"/>
    <col min="3" max="3" width="6.5546875" style="400" customWidth="1"/>
    <col min="4" max="4" width="10.5546875" style="423" customWidth="1"/>
    <col min="5" max="5" width="70.5546875" style="424" customWidth="1"/>
    <col min="6" max="6" width="0.5546875" style="424" customWidth="1"/>
    <col min="7" max="7" width="8.5546875" style="425" bestFit="1" customWidth="1"/>
    <col min="8" max="8" width="12.44140625" style="425" bestFit="1" customWidth="1"/>
    <col min="9" max="9" width="5.5546875" style="408" bestFit="1" customWidth="1"/>
    <col min="10" max="10" width="0.5546875" style="424" customWidth="1"/>
    <col min="11" max="12" width="9.5546875" style="409" customWidth="1"/>
    <col min="13" max="13" width="9.44140625" style="409" bestFit="1" customWidth="1"/>
    <col min="14" max="14" width="9.44140625" style="420" customWidth="1" outlineLevel="1"/>
    <col min="15" max="17" width="9.44140625" style="409" customWidth="1" outlineLevel="1"/>
    <col min="18" max="18" width="9.44140625" style="409" customWidth="1"/>
    <col min="19" max="22" width="9.44140625" style="409" customWidth="1" outlineLevel="1"/>
    <col min="23" max="24" width="9.5546875" style="409" customWidth="1"/>
    <col min="25" max="25" width="10.44140625" style="405" bestFit="1" customWidth="1"/>
    <col min="26" max="26" width="11.5546875" style="421" customWidth="1" outlineLevel="1"/>
    <col min="27" max="29" width="10.44140625" style="405" customWidth="1" outlineLevel="1"/>
    <col min="30" max="30" width="10.44140625" style="401" customWidth="1"/>
    <col min="31" max="34" width="10.44140625" style="405" customWidth="1" outlineLevel="1"/>
    <col min="35" max="36" width="9.5546875" style="409" customWidth="1"/>
    <col min="37" max="37" width="10.44140625" style="405" bestFit="1" customWidth="1"/>
    <col min="38" max="38" width="11.5546875" style="407" customWidth="1" outlineLevel="1"/>
    <col min="39" max="41" width="10.44140625" style="405" customWidth="1" outlineLevel="1"/>
    <col min="42" max="42" width="10.44140625" style="401" customWidth="1"/>
    <col min="43" max="46" width="10.44140625" style="405" customWidth="1" outlineLevel="1"/>
    <col min="47" max="16384" width="11.5546875" style="419"/>
  </cols>
  <sheetData>
    <row r="1" spans="1:46" s="268" customFormat="1" ht="14.25" customHeight="1">
      <c r="A1" s="435"/>
      <c r="B1" s="373"/>
      <c r="C1" s="371"/>
      <c r="D1" s="410"/>
      <c r="E1" s="370"/>
      <c r="F1" s="370"/>
      <c r="G1" s="374"/>
      <c r="H1" s="374"/>
      <c r="I1" s="375"/>
      <c r="J1" s="370"/>
      <c r="K1" s="483" t="s">
        <v>145</v>
      </c>
      <c r="L1" s="483"/>
      <c r="M1" s="484" t="s">
        <v>146</v>
      </c>
      <c r="N1" s="484">
        <v>1</v>
      </c>
      <c r="O1" s="484">
        <v>2</v>
      </c>
      <c r="P1" s="484">
        <v>3</v>
      </c>
      <c r="Q1" s="484">
        <v>4</v>
      </c>
      <c r="R1" s="484" t="s">
        <v>147</v>
      </c>
      <c r="S1" s="484">
        <v>5</v>
      </c>
      <c r="T1" s="484">
        <v>6</v>
      </c>
      <c r="U1" s="484">
        <v>7</v>
      </c>
      <c r="V1" s="484">
        <v>8</v>
      </c>
      <c r="W1" s="484" t="s">
        <v>172</v>
      </c>
      <c r="X1" s="484"/>
      <c r="Y1" s="484" t="s">
        <v>173</v>
      </c>
      <c r="Z1" s="484">
        <v>9</v>
      </c>
      <c r="AA1" s="484">
        <v>10</v>
      </c>
      <c r="AB1" s="484">
        <v>11</v>
      </c>
      <c r="AC1" s="484">
        <v>12</v>
      </c>
      <c r="AD1" s="484" t="s">
        <v>174</v>
      </c>
      <c r="AE1" s="484">
        <v>13</v>
      </c>
      <c r="AF1" s="484">
        <v>14</v>
      </c>
      <c r="AG1" s="484">
        <v>15</v>
      </c>
      <c r="AH1" s="484">
        <v>16</v>
      </c>
      <c r="AI1" s="484" t="s">
        <v>175</v>
      </c>
      <c r="AJ1" s="484"/>
      <c r="AK1" s="484" t="s">
        <v>176</v>
      </c>
      <c r="AL1" s="484">
        <v>17</v>
      </c>
      <c r="AM1" s="484">
        <v>18</v>
      </c>
      <c r="AN1" s="484">
        <v>19</v>
      </c>
      <c r="AO1" s="484">
        <v>20</v>
      </c>
      <c r="AP1" s="484" t="s">
        <v>177</v>
      </c>
      <c r="AQ1" s="484">
        <v>21</v>
      </c>
      <c r="AR1" s="484">
        <v>22</v>
      </c>
      <c r="AS1" s="484">
        <v>23</v>
      </c>
      <c r="AT1" s="484">
        <v>24</v>
      </c>
    </row>
    <row r="2" spans="1:46" s="268" customFormat="1" ht="3" customHeight="1">
      <c r="A2" s="435"/>
      <c r="B2" s="373"/>
      <c r="C2" s="371"/>
      <c r="D2" s="410"/>
      <c r="E2" s="370"/>
      <c r="F2" s="370"/>
      <c r="G2" s="374"/>
      <c r="H2" s="374"/>
      <c r="I2" s="375"/>
      <c r="J2" s="370"/>
      <c r="K2" s="376"/>
      <c r="L2" s="376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377"/>
      <c r="Y2" s="377"/>
      <c r="Z2" s="377"/>
      <c r="AA2" s="377"/>
      <c r="AB2" s="377"/>
      <c r="AC2" s="377"/>
      <c r="AD2" s="377"/>
      <c r="AE2" s="377"/>
      <c r="AF2" s="377"/>
      <c r="AG2" s="377"/>
      <c r="AH2" s="377"/>
      <c r="AI2" s="377"/>
      <c r="AJ2" s="377"/>
      <c r="AK2" s="377"/>
      <c r="AL2" s="377"/>
      <c r="AM2" s="377"/>
      <c r="AN2" s="377"/>
      <c r="AO2" s="377"/>
      <c r="AP2" s="377"/>
      <c r="AQ2" s="377"/>
      <c r="AR2" s="377"/>
      <c r="AS2" s="377"/>
      <c r="AT2" s="377"/>
    </row>
    <row r="3" spans="1:46" s="268" customFormat="1" ht="24.75" customHeight="1">
      <c r="A3" s="593" t="s">
        <v>178</v>
      </c>
      <c r="B3" s="594"/>
      <c r="C3" s="594"/>
      <c r="D3" s="594"/>
      <c r="E3" s="595"/>
      <c r="F3" s="370"/>
      <c r="G3" s="597" t="s">
        <v>179</v>
      </c>
      <c r="H3" s="597" t="s">
        <v>180</v>
      </c>
      <c r="I3" s="598" t="s">
        <v>181</v>
      </c>
      <c r="J3" s="370"/>
      <c r="K3" s="592" t="s">
        <v>182</v>
      </c>
      <c r="L3" s="592" t="s">
        <v>183</v>
      </c>
      <c r="M3" s="596" t="s">
        <v>184</v>
      </c>
      <c r="N3" s="417">
        <f>SUM(N77:N776)</f>
        <v>182</v>
      </c>
      <c r="O3" s="417">
        <f>SUM(O77:O776)</f>
        <v>31</v>
      </c>
      <c r="P3" s="417">
        <f>SUM(P77:P776)</f>
        <v>18</v>
      </c>
      <c r="Q3" s="417">
        <f>SUM(Q77:Q776)</f>
        <v>0</v>
      </c>
      <c r="R3" s="596" t="s">
        <v>185</v>
      </c>
      <c r="S3" s="417">
        <f>SUM(S77:S776)</f>
        <v>10</v>
      </c>
      <c r="T3" s="417">
        <f>SUM(T77:T776)</f>
        <v>15</v>
      </c>
      <c r="U3" s="417">
        <f>SUM(U77:U776)</f>
        <v>0</v>
      </c>
      <c r="V3" s="417">
        <f>SUM(V77:V776)</f>
        <v>0</v>
      </c>
      <c r="W3" s="592" t="s">
        <v>182</v>
      </c>
      <c r="X3" s="592" t="s">
        <v>183</v>
      </c>
      <c r="Y3" s="596" t="s">
        <v>186</v>
      </c>
      <c r="Z3" s="417">
        <f>SUM(Z77:Z776)</f>
        <v>0</v>
      </c>
      <c r="AA3" s="417">
        <f>SUM(AA77:AA776)</f>
        <v>0</v>
      </c>
      <c r="AB3" s="417">
        <f>SUM(AB77:AB776)</f>
        <v>0</v>
      </c>
      <c r="AC3" s="417">
        <f>SUM(AC77:AC776)</f>
        <v>0</v>
      </c>
      <c r="AD3" s="596" t="s">
        <v>187</v>
      </c>
      <c r="AE3" s="417">
        <f>SUM(AE77:AE776)</f>
        <v>0</v>
      </c>
      <c r="AF3" s="417">
        <f>SUM(AF77:AF776)</f>
        <v>0</v>
      </c>
      <c r="AG3" s="417">
        <f>SUM(AG77:AG776)</f>
        <v>0</v>
      </c>
      <c r="AH3" s="417">
        <f>SUM(AH77:AH776)</f>
        <v>0</v>
      </c>
      <c r="AI3" s="592" t="s">
        <v>182</v>
      </c>
      <c r="AJ3" s="592" t="s">
        <v>183</v>
      </c>
      <c r="AK3" s="596" t="s">
        <v>186</v>
      </c>
      <c r="AL3" s="417">
        <f>SUM(AL77:AL776)</f>
        <v>0</v>
      </c>
      <c r="AM3" s="417">
        <f>SUM(AM77:AM776)</f>
        <v>0</v>
      </c>
      <c r="AN3" s="417">
        <f>SUM(AN77:AN776)</f>
        <v>0</v>
      </c>
      <c r="AO3" s="417">
        <f>SUM(AO77:AO776)</f>
        <v>0</v>
      </c>
      <c r="AP3" s="596" t="s">
        <v>187</v>
      </c>
      <c r="AQ3" s="417">
        <f>SUM(AQ77:AQ776)</f>
        <v>0</v>
      </c>
      <c r="AR3" s="417">
        <f>SUM(AR77:AR776)</f>
        <v>0</v>
      </c>
      <c r="AS3" s="417">
        <f>SUM(AS77:AS776)</f>
        <v>0</v>
      </c>
      <c r="AT3" s="417">
        <f>SUM(AT77:AT776)</f>
        <v>0</v>
      </c>
    </row>
    <row r="4" spans="1:46" s="268" customFormat="1" ht="3" customHeight="1">
      <c r="A4" s="435"/>
      <c r="B4" s="373"/>
      <c r="C4" s="371"/>
      <c r="D4" s="410"/>
      <c r="E4" s="370"/>
      <c r="F4" s="370"/>
      <c r="G4" s="597"/>
      <c r="H4" s="597"/>
      <c r="I4" s="598"/>
      <c r="J4" s="370"/>
      <c r="K4" s="592"/>
      <c r="L4" s="592"/>
      <c r="M4" s="596"/>
      <c r="N4" s="381"/>
      <c r="O4" s="380"/>
      <c r="P4" s="380"/>
      <c r="Q4" s="380"/>
      <c r="R4" s="596"/>
      <c r="S4" s="380"/>
      <c r="T4" s="380"/>
      <c r="U4" s="380"/>
      <c r="V4" s="380"/>
      <c r="W4" s="592"/>
      <c r="X4" s="592"/>
      <c r="Y4" s="596"/>
      <c r="Z4" s="382"/>
      <c r="AA4" s="380"/>
      <c r="AB4" s="380"/>
      <c r="AC4" s="380"/>
      <c r="AD4" s="596"/>
      <c r="AE4" s="380"/>
      <c r="AF4" s="380"/>
      <c r="AG4" s="380"/>
      <c r="AH4" s="380"/>
      <c r="AI4" s="592"/>
      <c r="AJ4" s="592"/>
      <c r="AK4" s="596"/>
      <c r="AL4" s="383"/>
      <c r="AM4" s="380"/>
      <c r="AN4" s="380"/>
      <c r="AO4" s="380"/>
      <c r="AP4" s="596"/>
      <c r="AQ4" s="380"/>
      <c r="AR4" s="380"/>
      <c r="AS4" s="380"/>
      <c r="AT4" s="380"/>
    </row>
    <row r="5" spans="1:46" s="268" customFormat="1" ht="17.399999999999999">
      <c r="A5" s="593" t="s">
        <v>188</v>
      </c>
      <c r="B5" s="594"/>
      <c r="C5" s="594"/>
      <c r="D5" s="594"/>
      <c r="E5" s="595"/>
      <c r="F5" s="370"/>
      <c r="G5" s="597"/>
      <c r="H5" s="597"/>
      <c r="I5" s="598"/>
      <c r="J5" s="370"/>
      <c r="K5" s="592"/>
      <c r="L5" s="592"/>
      <c r="M5" s="596"/>
      <c r="N5" s="381" t="s">
        <v>8</v>
      </c>
      <c r="O5" s="380" t="s">
        <v>9</v>
      </c>
      <c r="P5" s="380" t="s">
        <v>10</v>
      </c>
      <c r="Q5" s="380" t="s">
        <v>11</v>
      </c>
      <c r="R5" s="596"/>
      <c r="S5" s="380" t="s">
        <v>8</v>
      </c>
      <c r="T5" s="380" t="s">
        <v>9</v>
      </c>
      <c r="U5" s="380" t="s">
        <v>10</v>
      </c>
      <c r="V5" s="380" t="s">
        <v>11</v>
      </c>
      <c r="W5" s="592"/>
      <c r="X5" s="592"/>
      <c r="Y5" s="596"/>
      <c r="Z5" s="381" t="s">
        <v>8</v>
      </c>
      <c r="AA5" s="380" t="s">
        <v>9</v>
      </c>
      <c r="AB5" s="380" t="s">
        <v>10</v>
      </c>
      <c r="AC5" s="380" t="s">
        <v>11</v>
      </c>
      <c r="AD5" s="596"/>
      <c r="AE5" s="380" t="s">
        <v>8</v>
      </c>
      <c r="AF5" s="380" t="s">
        <v>9</v>
      </c>
      <c r="AG5" s="380" t="s">
        <v>10</v>
      </c>
      <c r="AH5" s="380" t="s">
        <v>11</v>
      </c>
      <c r="AI5" s="592"/>
      <c r="AJ5" s="592"/>
      <c r="AK5" s="596"/>
      <c r="AL5" s="380" t="s">
        <v>8</v>
      </c>
      <c r="AM5" s="380" t="s">
        <v>9</v>
      </c>
      <c r="AN5" s="380" t="s">
        <v>10</v>
      </c>
      <c r="AO5" s="380" t="s">
        <v>11</v>
      </c>
      <c r="AP5" s="596"/>
      <c r="AQ5" s="380" t="s">
        <v>8</v>
      </c>
      <c r="AR5" s="380" t="s">
        <v>9</v>
      </c>
      <c r="AS5" s="380" t="s">
        <v>10</v>
      </c>
      <c r="AT5" s="380" t="s">
        <v>11</v>
      </c>
    </row>
    <row r="6" spans="1:46" s="268" customFormat="1" ht="3" customHeight="1">
      <c r="A6" s="435"/>
      <c r="B6" s="373"/>
      <c r="C6" s="371"/>
      <c r="D6" s="410"/>
      <c r="E6" s="370"/>
      <c r="F6" s="370"/>
      <c r="G6" s="374"/>
      <c r="H6" s="374"/>
      <c r="I6" s="375"/>
      <c r="J6" s="370"/>
      <c r="K6" s="376"/>
      <c r="L6" s="376"/>
      <c r="M6" s="376"/>
      <c r="N6" s="382"/>
      <c r="O6" s="376"/>
      <c r="P6" s="376"/>
      <c r="Q6" s="376"/>
      <c r="R6" s="376"/>
      <c r="S6" s="376"/>
      <c r="T6" s="376"/>
      <c r="U6" s="376"/>
      <c r="V6" s="376"/>
      <c r="W6" s="376"/>
      <c r="X6" s="376"/>
      <c r="Y6" s="380"/>
      <c r="Z6" s="381"/>
      <c r="AA6" s="380"/>
      <c r="AB6" s="380"/>
      <c r="AC6" s="380"/>
      <c r="AD6" s="380"/>
      <c r="AE6" s="380"/>
      <c r="AF6" s="380"/>
      <c r="AG6" s="380"/>
      <c r="AH6" s="380"/>
      <c r="AI6" s="376"/>
      <c r="AJ6" s="376"/>
      <c r="AK6" s="380"/>
      <c r="AL6" s="380"/>
      <c r="AM6" s="380"/>
      <c r="AN6" s="380"/>
      <c r="AO6" s="380"/>
      <c r="AP6" s="380"/>
      <c r="AQ6" s="380"/>
      <c r="AR6" s="380"/>
      <c r="AS6" s="380"/>
      <c r="AT6" s="380"/>
    </row>
    <row r="7" spans="1:46" s="407" customFormat="1" ht="12" customHeight="1">
      <c r="A7" s="466" t="s">
        <v>71</v>
      </c>
      <c r="B7" s="550"/>
      <c r="C7" s="467"/>
      <c r="D7" s="468"/>
      <c r="E7" s="469"/>
      <c r="F7" s="472"/>
      <c r="G7" s="469"/>
      <c r="H7" s="469"/>
      <c r="I7" s="469"/>
      <c r="J7" s="472"/>
      <c r="K7" s="469"/>
      <c r="L7" s="469"/>
      <c r="M7" s="469"/>
      <c r="N7" s="469"/>
      <c r="O7" s="469"/>
      <c r="P7" s="469"/>
      <c r="Q7" s="469"/>
      <c r="R7" s="469"/>
      <c r="S7" s="469"/>
      <c r="T7" s="469"/>
      <c r="U7" s="469"/>
      <c r="V7" s="469"/>
      <c r="W7" s="469"/>
      <c r="X7" s="469"/>
      <c r="Y7" s="469"/>
      <c r="Z7" s="469"/>
      <c r="AA7" s="469"/>
      <c r="AB7" s="469"/>
      <c r="AC7" s="469"/>
      <c r="AD7" s="469"/>
      <c r="AE7" s="469"/>
      <c r="AF7" s="469"/>
      <c r="AG7" s="469"/>
      <c r="AH7" s="469"/>
      <c r="AI7" s="469"/>
      <c r="AJ7" s="469"/>
      <c r="AK7" s="469"/>
      <c r="AL7" s="469"/>
      <c r="AM7" s="469"/>
      <c r="AN7" s="469"/>
      <c r="AO7" s="469"/>
      <c r="AP7" s="469"/>
      <c r="AQ7" s="469"/>
      <c r="AR7" s="469"/>
      <c r="AS7" s="469"/>
      <c r="AT7" s="469"/>
    </row>
    <row r="8" spans="1:46" ht="3" customHeight="1" outlineLevel="1">
      <c r="A8" s="548"/>
      <c r="B8" s="552"/>
      <c r="K8" s="408"/>
      <c r="L8" s="408"/>
    </row>
    <row r="9" spans="1:46" outlineLevel="1">
      <c r="A9" s="460" t="s">
        <v>72</v>
      </c>
      <c r="B9" s="460" t="s">
        <v>73</v>
      </c>
      <c r="C9" s="460"/>
      <c r="D9" s="574" t="s">
        <v>189</v>
      </c>
      <c r="E9" s="460"/>
      <c r="G9" s="460"/>
      <c r="H9" s="460"/>
      <c r="I9" s="460"/>
      <c r="K9" s="408"/>
      <c r="L9" s="408"/>
    </row>
    <row r="10" spans="1:46" ht="3" customHeight="1" outlineLevel="1">
      <c r="A10" s="548"/>
      <c r="B10" s="552"/>
      <c r="K10" s="408"/>
      <c r="L10" s="408"/>
    </row>
    <row r="11" spans="1:46" outlineLevel="1">
      <c r="A11" s="460" t="s">
        <v>74</v>
      </c>
      <c r="B11" s="460" t="s">
        <v>75</v>
      </c>
      <c r="C11" s="460"/>
      <c r="D11" s="460"/>
      <c r="E11" s="460"/>
      <c r="G11" s="460"/>
      <c r="H11" s="460"/>
      <c r="I11" s="460"/>
      <c r="K11" s="408"/>
      <c r="L11" s="408"/>
    </row>
    <row r="12" spans="1:46" s="407" customFormat="1" ht="12" customHeight="1" outlineLevel="2">
      <c r="A12" s="415"/>
      <c r="B12" s="549"/>
      <c r="C12" s="387"/>
      <c r="D12" s="462"/>
      <c r="E12" s="388" t="s">
        <v>190</v>
      </c>
      <c r="F12" s="473"/>
      <c r="G12" s="386" t="s">
        <v>70</v>
      </c>
      <c r="H12" s="400" t="str">
        <f t="shared" ref="H12:H31" si="0">CONCATENATE(G12,"-",I12)</f>
        <v>BB02-2</v>
      </c>
      <c r="I12" s="390">
        <v>2</v>
      </c>
      <c r="J12" s="473"/>
      <c r="K12" s="413"/>
      <c r="L12" s="392"/>
      <c r="M12" s="395">
        <v>1</v>
      </c>
      <c r="N12" s="395">
        <v>1</v>
      </c>
      <c r="O12" s="395"/>
    </row>
    <row r="13" spans="1:46" s="407" customFormat="1" ht="12" customHeight="1" outlineLevel="2">
      <c r="A13" s="415"/>
      <c r="B13" s="549"/>
      <c r="C13" s="387"/>
      <c r="D13" s="462" t="s">
        <v>191</v>
      </c>
      <c r="E13" s="388" t="s">
        <v>192</v>
      </c>
      <c r="F13" s="473"/>
      <c r="G13" s="386" t="s">
        <v>70</v>
      </c>
      <c r="H13" s="400" t="str">
        <f t="shared" si="0"/>
        <v>BB02-2</v>
      </c>
      <c r="I13" s="390">
        <v>2</v>
      </c>
      <c r="J13" s="473"/>
      <c r="K13" s="395">
        <v>1</v>
      </c>
      <c r="L13" s="572" t="s">
        <v>193</v>
      </c>
      <c r="M13" s="395"/>
      <c r="N13" s="395"/>
      <c r="O13" s="395"/>
      <c r="R13" s="395"/>
      <c r="V13" s="395"/>
    </row>
    <row r="14" spans="1:46" s="407" customFormat="1" ht="12" customHeight="1" outlineLevel="2">
      <c r="A14" s="415"/>
      <c r="B14" s="549"/>
      <c r="C14" s="387"/>
      <c r="D14" s="462" t="s">
        <v>194</v>
      </c>
      <c r="E14" s="388" t="s">
        <v>195</v>
      </c>
      <c r="F14" s="473"/>
      <c r="G14" s="386" t="s">
        <v>196</v>
      </c>
      <c r="H14" s="400" t="str">
        <f t="shared" ref="H14:H22" si="1">CONCATENATE(G14,"-",I14)</f>
        <v>BB03-2</v>
      </c>
      <c r="I14" s="390">
        <v>2</v>
      </c>
      <c r="J14" s="473"/>
      <c r="K14" s="395">
        <v>1</v>
      </c>
      <c r="L14" s="572" t="s">
        <v>193</v>
      </c>
      <c r="M14" s="395"/>
      <c r="N14" s="395"/>
      <c r="O14" s="395"/>
      <c r="R14" s="395"/>
      <c r="V14" s="395"/>
    </row>
    <row r="15" spans="1:46" s="407" customFormat="1" ht="12" customHeight="1" outlineLevel="2">
      <c r="A15" s="415"/>
      <c r="B15" s="549"/>
      <c r="C15" s="387"/>
      <c r="D15" s="462" t="s">
        <v>197</v>
      </c>
      <c r="E15" s="388" t="s">
        <v>198</v>
      </c>
      <c r="F15" s="473"/>
      <c r="G15" s="386" t="s">
        <v>199</v>
      </c>
      <c r="H15" s="400" t="str">
        <f t="shared" si="1"/>
        <v>BB04-2</v>
      </c>
      <c r="I15" s="390">
        <v>2</v>
      </c>
      <c r="J15" s="473"/>
      <c r="K15" s="395">
        <v>1</v>
      </c>
      <c r="L15" s="572" t="s">
        <v>193</v>
      </c>
      <c r="M15" s="395"/>
      <c r="N15" s="395"/>
      <c r="O15" s="395"/>
      <c r="R15" s="395"/>
      <c r="V15" s="395"/>
    </row>
    <row r="16" spans="1:46" s="407" customFormat="1" ht="12" customHeight="1" outlineLevel="2">
      <c r="A16" s="415"/>
      <c r="B16" s="549"/>
      <c r="C16" s="387"/>
      <c r="D16" s="462" t="s">
        <v>200</v>
      </c>
      <c r="E16" s="388" t="s">
        <v>201</v>
      </c>
      <c r="F16" s="473"/>
      <c r="G16" s="386" t="s">
        <v>202</v>
      </c>
      <c r="H16" s="400" t="str">
        <f t="shared" si="1"/>
        <v>BB05-2</v>
      </c>
      <c r="I16" s="390">
        <v>2</v>
      </c>
      <c r="J16" s="473"/>
      <c r="K16" s="395">
        <v>1</v>
      </c>
      <c r="L16" s="572" t="s">
        <v>193</v>
      </c>
      <c r="M16" s="395"/>
      <c r="N16" s="395"/>
      <c r="O16" s="395"/>
      <c r="R16" s="395"/>
      <c r="V16" s="395"/>
    </row>
    <row r="17" spans="1:22" s="407" customFormat="1" ht="12" customHeight="1" outlineLevel="2">
      <c r="A17" s="415"/>
      <c r="B17" s="549"/>
      <c r="C17" s="387"/>
      <c r="D17" s="462" t="s">
        <v>203</v>
      </c>
      <c r="E17" s="388" t="s">
        <v>204</v>
      </c>
      <c r="F17" s="473"/>
      <c r="G17" s="386" t="s">
        <v>70</v>
      </c>
      <c r="H17" s="400" t="str">
        <f t="shared" si="1"/>
        <v>BB02-2</v>
      </c>
      <c r="I17" s="390">
        <v>2</v>
      </c>
      <c r="J17" s="473"/>
      <c r="K17" s="395"/>
      <c r="L17" s="572" t="s">
        <v>193</v>
      </c>
      <c r="M17" s="395">
        <v>1</v>
      </c>
      <c r="N17" s="395">
        <v>1</v>
      </c>
      <c r="O17" s="395"/>
      <c r="R17" s="395">
        <v>1</v>
      </c>
      <c r="T17" s="395">
        <v>1</v>
      </c>
      <c r="V17" s="395"/>
    </row>
    <row r="18" spans="1:22" s="407" customFormat="1" ht="12" customHeight="1" outlineLevel="2">
      <c r="A18" s="415"/>
      <c r="B18" s="549"/>
      <c r="C18" s="387"/>
      <c r="D18" s="462" t="s">
        <v>205</v>
      </c>
      <c r="E18" s="388" t="s">
        <v>206</v>
      </c>
      <c r="F18" s="473"/>
      <c r="G18" s="386" t="s">
        <v>70</v>
      </c>
      <c r="H18" s="400" t="str">
        <f t="shared" ref="H18:H21" si="2">CONCATENATE(G18,"-",I18)</f>
        <v>BB02-2</v>
      </c>
      <c r="I18" s="390">
        <v>2</v>
      </c>
      <c r="J18" s="473"/>
      <c r="K18" s="395"/>
      <c r="L18" s="572" t="s">
        <v>193</v>
      </c>
      <c r="M18" s="395">
        <v>1</v>
      </c>
      <c r="N18" s="395">
        <v>1</v>
      </c>
      <c r="O18" s="395"/>
      <c r="R18" s="395">
        <v>1</v>
      </c>
      <c r="T18" s="395">
        <v>1</v>
      </c>
      <c r="V18" s="395"/>
    </row>
    <row r="19" spans="1:22" s="407" customFormat="1" ht="12" customHeight="1" outlineLevel="2">
      <c r="A19" s="415"/>
      <c r="B19" s="549"/>
      <c r="C19" s="387"/>
      <c r="D19" s="462" t="s">
        <v>207</v>
      </c>
      <c r="E19" s="388" t="s">
        <v>208</v>
      </c>
      <c r="F19" s="473"/>
      <c r="G19" s="386" t="s">
        <v>196</v>
      </c>
      <c r="H19" s="400" t="str">
        <f t="shared" si="2"/>
        <v>BB03-2</v>
      </c>
      <c r="I19" s="390">
        <v>2</v>
      </c>
      <c r="J19" s="473"/>
      <c r="K19" s="395"/>
      <c r="L19" s="572" t="s">
        <v>193</v>
      </c>
      <c r="M19" s="395">
        <v>1</v>
      </c>
      <c r="N19" s="395">
        <v>1</v>
      </c>
      <c r="O19" s="395"/>
      <c r="R19" s="395">
        <v>1</v>
      </c>
      <c r="T19" s="395">
        <v>1</v>
      </c>
      <c r="V19" s="395"/>
    </row>
    <row r="20" spans="1:22" s="407" customFormat="1" ht="12" customHeight="1" outlineLevel="2">
      <c r="A20" s="415"/>
      <c r="B20" s="549"/>
      <c r="C20" s="387"/>
      <c r="D20" s="462" t="s">
        <v>209</v>
      </c>
      <c r="E20" s="388" t="s">
        <v>210</v>
      </c>
      <c r="F20" s="473"/>
      <c r="G20" s="386" t="s">
        <v>199</v>
      </c>
      <c r="H20" s="400" t="str">
        <f t="shared" si="2"/>
        <v>BB04-2</v>
      </c>
      <c r="I20" s="390">
        <v>2</v>
      </c>
      <c r="J20" s="473"/>
      <c r="K20" s="395"/>
      <c r="L20" s="572" t="s">
        <v>193</v>
      </c>
      <c r="M20" s="395">
        <v>1</v>
      </c>
      <c r="N20" s="395">
        <v>1</v>
      </c>
      <c r="O20" s="395"/>
      <c r="R20" s="395">
        <v>1</v>
      </c>
      <c r="T20" s="395">
        <v>1</v>
      </c>
      <c r="V20" s="395"/>
    </row>
    <row r="21" spans="1:22" s="407" customFormat="1" ht="12" customHeight="1" outlineLevel="2">
      <c r="A21" s="415"/>
      <c r="B21" s="549"/>
      <c r="C21" s="387"/>
      <c r="D21" s="462" t="s">
        <v>211</v>
      </c>
      <c r="E21" s="388" t="s">
        <v>212</v>
      </c>
      <c r="F21" s="473"/>
      <c r="G21" s="386" t="s">
        <v>202</v>
      </c>
      <c r="H21" s="400" t="str">
        <f t="shared" si="2"/>
        <v>BB05-2</v>
      </c>
      <c r="I21" s="390">
        <v>2</v>
      </c>
      <c r="J21" s="473"/>
      <c r="K21" s="395"/>
      <c r="L21" s="572" t="s">
        <v>193</v>
      </c>
      <c r="M21" s="395">
        <v>1</v>
      </c>
      <c r="N21" s="395">
        <v>1</v>
      </c>
      <c r="O21" s="395"/>
      <c r="R21" s="395">
        <v>1</v>
      </c>
      <c r="T21" s="395">
        <v>1</v>
      </c>
      <c r="V21" s="395"/>
    </row>
    <row r="22" spans="1:22" s="407" customFormat="1" ht="12" customHeight="1" outlineLevel="2">
      <c r="A22" s="415"/>
      <c r="B22" s="549"/>
      <c r="C22" s="387"/>
      <c r="D22" s="462" t="s">
        <v>213</v>
      </c>
      <c r="E22" s="388" t="s">
        <v>214</v>
      </c>
      <c r="F22" s="473"/>
      <c r="G22" s="386" t="s">
        <v>70</v>
      </c>
      <c r="H22" s="400" t="str">
        <f t="shared" si="1"/>
        <v>BB02-2</v>
      </c>
      <c r="I22" s="390">
        <v>2</v>
      </c>
      <c r="J22" s="473"/>
      <c r="K22" s="395"/>
      <c r="L22" s="572" t="s">
        <v>193</v>
      </c>
      <c r="M22" s="395">
        <v>1</v>
      </c>
      <c r="N22" s="395">
        <v>1</v>
      </c>
      <c r="O22" s="395"/>
      <c r="R22" s="395">
        <v>1</v>
      </c>
      <c r="T22" s="395">
        <v>1</v>
      </c>
      <c r="V22" s="395"/>
    </row>
    <row r="23" spans="1:22" s="407" customFormat="1" ht="12" customHeight="1" outlineLevel="2">
      <c r="A23" s="415"/>
      <c r="B23" s="549"/>
      <c r="C23" s="387"/>
      <c r="D23" s="462" t="s">
        <v>215</v>
      </c>
      <c r="E23" s="388" t="s">
        <v>216</v>
      </c>
      <c r="F23" s="473"/>
      <c r="G23" s="386" t="s">
        <v>196</v>
      </c>
      <c r="H23" s="400" t="str">
        <f t="shared" ref="H23:H25" si="3">CONCATENATE(G23,"-",I23)</f>
        <v>BB03-2</v>
      </c>
      <c r="I23" s="390">
        <v>2</v>
      </c>
      <c r="J23" s="473"/>
      <c r="K23" s="395"/>
      <c r="L23" s="572" t="s">
        <v>193</v>
      </c>
      <c r="M23" s="395">
        <v>1</v>
      </c>
      <c r="N23" s="395">
        <v>1</v>
      </c>
      <c r="O23" s="395"/>
      <c r="R23" s="395">
        <v>1</v>
      </c>
      <c r="T23" s="395">
        <v>1</v>
      </c>
      <c r="V23" s="395"/>
    </row>
    <row r="24" spans="1:22" s="407" customFormat="1" ht="12" customHeight="1" outlineLevel="2">
      <c r="A24" s="415"/>
      <c r="B24" s="549"/>
      <c r="C24" s="387"/>
      <c r="D24" s="462" t="s">
        <v>217</v>
      </c>
      <c r="E24" s="388" t="s">
        <v>218</v>
      </c>
      <c r="F24" s="473"/>
      <c r="G24" s="386" t="s">
        <v>199</v>
      </c>
      <c r="H24" s="400" t="str">
        <f t="shared" si="3"/>
        <v>BB04-2</v>
      </c>
      <c r="I24" s="390">
        <v>2</v>
      </c>
      <c r="J24" s="473"/>
      <c r="K24" s="395"/>
      <c r="L24" s="572" t="s">
        <v>193</v>
      </c>
      <c r="M24" s="395">
        <v>1</v>
      </c>
      <c r="N24" s="395">
        <v>1</v>
      </c>
      <c r="O24" s="395"/>
      <c r="R24" s="395">
        <v>1</v>
      </c>
      <c r="T24" s="395">
        <v>1</v>
      </c>
      <c r="V24" s="395"/>
    </row>
    <row r="25" spans="1:22" s="407" customFormat="1" ht="12" customHeight="1" outlineLevel="2">
      <c r="A25" s="415"/>
      <c r="B25" s="549"/>
      <c r="C25" s="387"/>
      <c r="D25" s="462" t="s">
        <v>219</v>
      </c>
      <c r="E25" s="388" t="s">
        <v>220</v>
      </c>
      <c r="F25" s="473"/>
      <c r="G25" s="386" t="s">
        <v>202</v>
      </c>
      <c r="H25" s="400" t="str">
        <f t="shared" si="3"/>
        <v>BB05-2</v>
      </c>
      <c r="I25" s="390">
        <v>2</v>
      </c>
      <c r="J25" s="473"/>
      <c r="K25" s="395"/>
      <c r="L25" s="572" t="s">
        <v>193</v>
      </c>
      <c r="M25" s="395">
        <v>1</v>
      </c>
      <c r="N25" s="395">
        <v>1</v>
      </c>
      <c r="O25" s="395"/>
      <c r="R25" s="395">
        <v>1</v>
      </c>
      <c r="T25" s="395">
        <v>1</v>
      </c>
      <c r="V25" s="395"/>
    </row>
    <row r="26" spans="1:22" s="407" customFormat="1" ht="12" customHeight="1" outlineLevel="2">
      <c r="A26" s="415"/>
      <c r="B26" s="549"/>
      <c r="C26" s="387"/>
      <c r="D26" s="462"/>
      <c r="E26" s="388" t="s">
        <v>221</v>
      </c>
      <c r="F26" s="473"/>
      <c r="G26" s="386" t="s">
        <v>70</v>
      </c>
      <c r="H26" s="400" t="str">
        <f t="shared" si="0"/>
        <v>BB02-2</v>
      </c>
      <c r="I26" s="390">
        <v>2</v>
      </c>
      <c r="J26" s="473"/>
      <c r="K26" s="413"/>
      <c r="L26" s="392"/>
      <c r="M26" s="395">
        <v>1</v>
      </c>
      <c r="N26" s="395">
        <v>1</v>
      </c>
      <c r="O26" s="395"/>
    </row>
    <row r="27" spans="1:22" s="407" customFormat="1" ht="12" customHeight="1" outlineLevel="2">
      <c r="A27" s="415"/>
      <c r="B27" s="549"/>
      <c r="C27" s="387"/>
      <c r="D27" s="462"/>
      <c r="E27" s="388" t="s">
        <v>222</v>
      </c>
      <c r="F27" s="473"/>
      <c r="G27" s="386" t="s">
        <v>70</v>
      </c>
      <c r="H27" s="400" t="str">
        <f t="shared" si="0"/>
        <v>BB02-2</v>
      </c>
      <c r="I27" s="390">
        <v>2</v>
      </c>
      <c r="J27" s="473"/>
      <c r="K27" s="413"/>
      <c r="L27" s="392"/>
      <c r="M27" s="395">
        <v>1</v>
      </c>
      <c r="N27" s="395">
        <v>1</v>
      </c>
      <c r="O27" s="395"/>
    </row>
    <row r="28" spans="1:22" s="407" customFormat="1" ht="12" customHeight="1" outlineLevel="2">
      <c r="A28" s="415"/>
      <c r="B28" s="549"/>
      <c r="C28" s="387"/>
      <c r="D28" s="462"/>
      <c r="E28" s="388" t="s">
        <v>223</v>
      </c>
      <c r="F28" s="473"/>
      <c r="G28" s="386" t="s">
        <v>70</v>
      </c>
      <c r="H28" s="400" t="str">
        <f t="shared" si="0"/>
        <v>BB02-2</v>
      </c>
      <c r="I28" s="390">
        <v>2</v>
      </c>
      <c r="J28" s="473"/>
      <c r="K28" s="413"/>
      <c r="L28" s="392"/>
      <c r="M28" s="395">
        <v>1</v>
      </c>
      <c r="N28" s="395">
        <v>1</v>
      </c>
      <c r="O28" s="395"/>
    </row>
    <row r="29" spans="1:22" s="407" customFormat="1" ht="12" customHeight="1" outlineLevel="2">
      <c r="A29" s="415"/>
      <c r="B29" s="549"/>
      <c r="C29" s="387"/>
      <c r="D29" s="462"/>
      <c r="E29" s="388" t="s">
        <v>224</v>
      </c>
      <c r="F29" s="473"/>
      <c r="G29" s="386" t="s">
        <v>70</v>
      </c>
      <c r="H29" s="400" t="str">
        <f t="shared" si="0"/>
        <v>BB02-2</v>
      </c>
      <c r="I29" s="390">
        <v>2</v>
      </c>
      <c r="J29" s="473"/>
      <c r="K29" s="413"/>
      <c r="L29" s="392"/>
      <c r="M29" s="395">
        <v>1</v>
      </c>
      <c r="N29" s="395">
        <v>1</v>
      </c>
      <c r="O29" s="395"/>
    </row>
    <row r="30" spans="1:22" s="407" customFormat="1" ht="12" customHeight="1" outlineLevel="2">
      <c r="A30" s="415"/>
      <c r="B30" s="549"/>
      <c r="C30" s="387"/>
      <c r="D30" s="462"/>
      <c r="E30" s="388" t="s">
        <v>225</v>
      </c>
      <c r="F30" s="473"/>
      <c r="G30" s="386" t="s">
        <v>70</v>
      </c>
      <c r="H30" s="400" t="str">
        <f t="shared" si="0"/>
        <v>BB02-2</v>
      </c>
      <c r="I30" s="390">
        <v>2</v>
      </c>
      <c r="J30" s="473"/>
      <c r="K30" s="413"/>
      <c r="L30" s="392"/>
      <c r="M30" s="395">
        <v>1</v>
      </c>
      <c r="N30" s="395">
        <v>1</v>
      </c>
      <c r="O30" s="395"/>
    </row>
    <row r="31" spans="1:22" s="407" customFormat="1" ht="12" customHeight="1" outlineLevel="2">
      <c r="A31" s="415"/>
      <c r="B31" s="549"/>
      <c r="C31" s="387"/>
      <c r="D31" s="462"/>
      <c r="E31" s="388" t="s">
        <v>226</v>
      </c>
      <c r="F31" s="473"/>
      <c r="G31" s="386" t="s">
        <v>70</v>
      </c>
      <c r="H31" s="400" t="str">
        <f t="shared" si="0"/>
        <v>BB02-2</v>
      </c>
      <c r="I31" s="390">
        <v>2</v>
      </c>
      <c r="J31" s="473"/>
      <c r="K31" s="413"/>
      <c r="L31" s="392"/>
      <c r="M31" s="395">
        <v>1</v>
      </c>
      <c r="N31" s="395">
        <v>1</v>
      </c>
      <c r="O31" s="395"/>
    </row>
    <row r="32" spans="1:22" ht="3" customHeight="1" outlineLevel="1">
      <c r="A32" s="548"/>
      <c r="B32" s="552"/>
      <c r="F32" s="473"/>
      <c r="K32" s="408"/>
      <c r="L32" s="408"/>
    </row>
    <row r="33" spans="1:19" outlineLevel="1">
      <c r="A33" s="460" t="s">
        <v>76</v>
      </c>
      <c r="B33" s="460" t="s">
        <v>161</v>
      </c>
      <c r="C33" s="460"/>
      <c r="D33" s="460"/>
      <c r="E33" s="460"/>
      <c r="G33" s="460"/>
      <c r="H33" s="460"/>
      <c r="I33" s="460"/>
      <c r="K33" s="408"/>
      <c r="L33" s="408"/>
    </row>
    <row r="34" spans="1:19" s="407" customFormat="1" ht="12" customHeight="1" outlineLevel="2">
      <c r="A34" s="415"/>
      <c r="B34" s="549"/>
      <c r="C34" s="387"/>
      <c r="D34" s="462"/>
      <c r="E34" s="388" t="s">
        <v>227</v>
      </c>
      <c r="F34" s="473"/>
      <c r="G34" s="386" t="s">
        <v>70</v>
      </c>
      <c r="H34" s="400" t="str">
        <f t="shared" ref="H34" si="4">CONCATENATE(G34,"-",I34)</f>
        <v>BB02-3</v>
      </c>
      <c r="I34" s="390">
        <v>3</v>
      </c>
      <c r="J34" s="473"/>
      <c r="K34" s="413"/>
      <c r="L34" s="392"/>
      <c r="M34" s="395">
        <v>1</v>
      </c>
      <c r="N34" s="395">
        <v>1</v>
      </c>
      <c r="O34" s="395"/>
    </row>
    <row r="35" spans="1:19" ht="3" customHeight="1" outlineLevel="1">
      <c r="A35" s="548"/>
      <c r="B35" s="552"/>
      <c r="F35" s="473"/>
      <c r="K35" s="408"/>
      <c r="L35" s="408"/>
    </row>
    <row r="36" spans="1:19" outlineLevel="1">
      <c r="A36" s="460" t="s">
        <v>78</v>
      </c>
      <c r="B36" s="460" t="s">
        <v>77</v>
      </c>
      <c r="C36" s="460"/>
      <c r="D36" s="460"/>
      <c r="E36" s="460"/>
      <c r="G36" s="460"/>
      <c r="H36" s="460"/>
      <c r="I36" s="460"/>
      <c r="K36" s="408"/>
      <c r="L36" s="408"/>
    </row>
    <row r="37" spans="1:19" s="407" customFormat="1" ht="12" customHeight="1" outlineLevel="2">
      <c r="A37" s="415"/>
      <c r="B37" s="549"/>
      <c r="C37" s="387"/>
      <c r="D37" s="462"/>
      <c r="E37" s="388" t="s">
        <v>227</v>
      </c>
      <c r="F37" s="473"/>
      <c r="G37" s="386" t="s">
        <v>70</v>
      </c>
      <c r="H37" s="400" t="str">
        <f t="shared" ref="H37" si="5">CONCATENATE(G37,"-",I37)</f>
        <v>BB02-4</v>
      </c>
      <c r="I37" s="390">
        <v>4</v>
      </c>
      <c r="J37" s="473"/>
      <c r="K37" s="413"/>
      <c r="L37" s="392"/>
      <c r="M37" s="395">
        <v>1</v>
      </c>
      <c r="N37" s="395">
        <v>1</v>
      </c>
      <c r="O37" s="395"/>
    </row>
    <row r="38" spans="1:19" ht="3" customHeight="1" outlineLevel="1">
      <c r="A38" s="548"/>
      <c r="B38" s="552"/>
      <c r="F38" s="473"/>
      <c r="K38" s="408"/>
      <c r="L38" s="408"/>
    </row>
    <row r="39" spans="1:19" outlineLevel="1">
      <c r="A39" s="460" t="s">
        <v>162</v>
      </c>
      <c r="B39" s="460" t="s">
        <v>79</v>
      </c>
      <c r="C39" s="460"/>
      <c r="D39" s="460"/>
      <c r="E39" s="460"/>
      <c r="G39" s="460"/>
      <c r="H39" s="460"/>
      <c r="I39" s="460"/>
      <c r="K39" s="408"/>
      <c r="L39" s="408"/>
    </row>
    <row r="40" spans="1:19" s="407" customFormat="1" ht="12" customHeight="1" outlineLevel="2">
      <c r="A40" s="415"/>
      <c r="B40" s="549"/>
      <c r="C40" s="387"/>
      <c r="D40" s="462"/>
      <c r="E40" s="388" t="s">
        <v>228</v>
      </c>
      <c r="F40" s="473"/>
      <c r="G40" s="386" t="s">
        <v>70</v>
      </c>
      <c r="H40" s="400" t="str">
        <f t="shared" ref="H40:H73" si="6">CONCATENATE(G40,"-",I40)</f>
        <v>BB02-5</v>
      </c>
      <c r="I40" s="390">
        <v>5</v>
      </c>
      <c r="J40" s="473"/>
      <c r="K40" s="413"/>
      <c r="L40" s="392"/>
      <c r="M40" s="395">
        <v>1</v>
      </c>
      <c r="N40" s="395">
        <v>1</v>
      </c>
      <c r="O40" s="395"/>
    </row>
    <row r="41" spans="1:19" s="407" customFormat="1" ht="12" customHeight="1" outlineLevel="2">
      <c r="A41" s="415"/>
      <c r="B41" s="549"/>
      <c r="C41" s="387"/>
      <c r="D41" s="462"/>
      <c r="E41" s="388" t="s">
        <v>229</v>
      </c>
      <c r="F41" s="473"/>
      <c r="G41" s="386" t="s">
        <v>70</v>
      </c>
      <c r="H41" s="400" t="str">
        <f t="shared" si="6"/>
        <v>BB02-5</v>
      </c>
      <c r="I41" s="390">
        <v>5</v>
      </c>
      <c r="J41" s="473"/>
      <c r="K41" s="413"/>
      <c r="L41" s="392"/>
      <c r="M41" s="395">
        <v>1</v>
      </c>
      <c r="N41" s="395">
        <v>1</v>
      </c>
      <c r="O41" s="395"/>
    </row>
    <row r="42" spans="1:19" s="407" customFormat="1" ht="12" customHeight="1" outlineLevel="2">
      <c r="A42" s="415"/>
      <c r="B42" s="549"/>
      <c r="C42" s="387"/>
      <c r="D42" s="462"/>
      <c r="E42" s="388" t="s">
        <v>230</v>
      </c>
      <c r="F42" s="473"/>
      <c r="G42" s="386" t="s">
        <v>70</v>
      </c>
      <c r="H42" s="400" t="str">
        <f t="shared" si="6"/>
        <v>BB02-5</v>
      </c>
      <c r="I42" s="390">
        <v>5</v>
      </c>
      <c r="J42" s="473"/>
      <c r="K42" s="413"/>
      <c r="L42" s="392"/>
      <c r="M42" s="395">
        <v>1</v>
      </c>
      <c r="N42" s="395">
        <v>1</v>
      </c>
      <c r="O42" s="395"/>
    </row>
    <row r="43" spans="1:19" s="407" customFormat="1" ht="12" customHeight="1" outlineLevel="2">
      <c r="A43" s="415"/>
      <c r="B43" s="549"/>
      <c r="C43" s="387"/>
      <c r="D43" s="462" t="s">
        <v>231</v>
      </c>
      <c r="E43" s="388" t="s">
        <v>232</v>
      </c>
      <c r="F43" s="473"/>
      <c r="G43" s="386" t="s">
        <v>70</v>
      </c>
      <c r="H43" s="400" t="s">
        <v>162</v>
      </c>
      <c r="I43" s="390">
        <v>5</v>
      </c>
      <c r="J43" s="473"/>
      <c r="K43" s="413"/>
      <c r="L43" s="392"/>
      <c r="M43" s="395">
        <v>1</v>
      </c>
      <c r="N43" s="395">
        <v>1</v>
      </c>
      <c r="O43" s="395"/>
      <c r="R43" s="407">
        <v>1</v>
      </c>
      <c r="S43" s="407">
        <v>1</v>
      </c>
    </row>
    <row r="44" spans="1:19" s="407" customFormat="1" ht="12" customHeight="1" outlineLevel="2">
      <c r="A44" s="415"/>
      <c r="B44" s="549"/>
      <c r="C44" s="387"/>
      <c r="D44" s="462" t="s">
        <v>233</v>
      </c>
      <c r="E44" s="388" t="s">
        <v>234</v>
      </c>
      <c r="F44" s="473"/>
      <c r="G44" s="386" t="s">
        <v>70</v>
      </c>
      <c r="H44" s="400" t="s">
        <v>162</v>
      </c>
      <c r="I44" s="390">
        <v>5</v>
      </c>
      <c r="J44" s="473"/>
      <c r="K44" s="413"/>
      <c r="L44" s="392"/>
      <c r="M44" s="395">
        <v>1</v>
      </c>
      <c r="N44" s="395">
        <v>1</v>
      </c>
      <c r="O44" s="395"/>
      <c r="R44" s="407">
        <v>1</v>
      </c>
      <c r="S44" s="407">
        <v>1</v>
      </c>
    </row>
    <row r="45" spans="1:19" s="407" customFormat="1" ht="12" customHeight="1" outlineLevel="2">
      <c r="A45" s="415"/>
      <c r="B45" s="549"/>
      <c r="C45" s="387"/>
      <c r="D45" s="462" t="s">
        <v>235</v>
      </c>
      <c r="E45" s="388" t="s">
        <v>236</v>
      </c>
      <c r="F45" s="473"/>
      <c r="G45" s="386" t="s">
        <v>70</v>
      </c>
      <c r="H45" s="400" t="s">
        <v>162</v>
      </c>
      <c r="I45" s="390">
        <v>5</v>
      </c>
      <c r="J45" s="473"/>
      <c r="K45" s="413"/>
      <c r="L45" s="392"/>
      <c r="M45" s="395">
        <v>1</v>
      </c>
      <c r="N45" s="395">
        <v>1</v>
      </c>
      <c r="O45" s="395"/>
      <c r="R45" s="407">
        <v>1</v>
      </c>
      <c r="S45" s="407">
        <v>1</v>
      </c>
    </row>
    <row r="46" spans="1:19" s="407" customFormat="1" ht="12" customHeight="1" outlineLevel="2">
      <c r="A46" s="415"/>
      <c r="B46" s="549"/>
      <c r="C46" s="387"/>
      <c r="D46" s="462" t="s">
        <v>237</v>
      </c>
      <c r="E46" s="388" t="s">
        <v>238</v>
      </c>
      <c r="F46" s="473"/>
      <c r="G46" s="386" t="s">
        <v>70</v>
      </c>
      <c r="H46" s="400" t="s">
        <v>162</v>
      </c>
      <c r="I46" s="390">
        <v>5</v>
      </c>
      <c r="J46" s="473"/>
      <c r="K46" s="413"/>
      <c r="L46" s="392"/>
      <c r="M46" s="395">
        <v>1</v>
      </c>
      <c r="N46" s="395">
        <v>1</v>
      </c>
      <c r="O46" s="395"/>
      <c r="R46" s="407">
        <v>1</v>
      </c>
      <c r="S46" s="407">
        <v>1</v>
      </c>
    </row>
    <row r="47" spans="1:19" s="407" customFormat="1" ht="12" customHeight="1" outlineLevel="2">
      <c r="A47" s="415"/>
      <c r="B47" s="549"/>
      <c r="C47" s="387"/>
      <c r="D47" s="462" t="s">
        <v>239</v>
      </c>
      <c r="E47" s="388" t="s">
        <v>240</v>
      </c>
      <c r="F47" s="473"/>
      <c r="G47" s="386" t="s">
        <v>70</v>
      </c>
      <c r="H47" s="400" t="s">
        <v>162</v>
      </c>
      <c r="I47" s="390">
        <v>5</v>
      </c>
      <c r="J47" s="473"/>
      <c r="K47" s="413"/>
      <c r="L47" s="392"/>
      <c r="M47" s="395">
        <v>1</v>
      </c>
      <c r="N47" s="395">
        <v>1</v>
      </c>
      <c r="O47" s="395"/>
      <c r="R47" s="407">
        <v>1</v>
      </c>
      <c r="S47" s="407">
        <v>1</v>
      </c>
    </row>
    <row r="48" spans="1:19" s="407" customFormat="1" ht="12" customHeight="1" outlineLevel="2">
      <c r="A48" s="415"/>
      <c r="B48" s="549"/>
      <c r="C48" s="387"/>
      <c r="D48" s="462" t="s">
        <v>241</v>
      </c>
      <c r="E48" s="388" t="s">
        <v>242</v>
      </c>
      <c r="F48" s="473"/>
      <c r="G48" s="386" t="s">
        <v>70</v>
      </c>
      <c r="H48" s="400" t="s">
        <v>162</v>
      </c>
      <c r="I48" s="390">
        <v>5</v>
      </c>
      <c r="J48" s="473"/>
      <c r="K48" s="413"/>
      <c r="L48" s="392"/>
      <c r="M48" s="395">
        <v>1</v>
      </c>
      <c r="N48" s="395">
        <v>1</v>
      </c>
      <c r="O48" s="395"/>
      <c r="R48" s="407">
        <v>1</v>
      </c>
      <c r="S48" s="407">
        <v>1</v>
      </c>
    </row>
    <row r="49" spans="1:19" s="407" customFormat="1" ht="12" customHeight="1" outlineLevel="2">
      <c r="A49" s="415"/>
      <c r="B49" s="549"/>
      <c r="C49" s="387"/>
      <c r="D49" s="462" t="s">
        <v>243</v>
      </c>
      <c r="E49" s="388" t="s">
        <v>244</v>
      </c>
      <c r="F49" s="473"/>
      <c r="G49" s="386" t="s">
        <v>70</v>
      </c>
      <c r="H49" s="400" t="s">
        <v>162</v>
      </c>
      <c r="I49" s="390">
        <v>5</v>
      </c>
      <c r="J49" s="473"/>
      <c r="K49" s="413"/>
      <c r="L49" s="392"/>
      <c r="M49" s="407">
        <v>1</v>
      </c>
      <c r="N49" s="395">
        <v>1</v>
      </c>
      <c r="O49" s="395"/>
      <c r="R49" s="407">
        <v>1</v>
      </c>
      <c r="S49" s="407">
        <v>1</v>
      </c>
    </row>
    <row r="50" spans="1:19" s="407" customFormat="1" ht="12" customHeight="1" outlineLevel="2">
      <c r="A50" s="415"/>
      <c r="B50" s="549"/>
      <c r="C50" s="387"/>
      <c r="D50" s="462" t="s">
        <v>245</v>
      </c>
      <c r="E50" s="388" t="s">
        <v>246</v>
      </c>
      <c r="F50" s="473"/>
      <c r="G50" s="386" t="s">
        <v>70</v>
      </c>
      <c r="H50" s="400" t="s">
        <v>162</v>
      </c>
      <c r="I50" s="390">
        <v>5</v>
      </c>
      <c r="J50" s="473"/>
      <c r="K50" s="413"/>
      <c r="L50" s="392"/>
      <c r="M50" s="395">
        <v>1</v>
      </c>
      <c r="N50" s="395">
        <v>1</v>
      </c>
      <c r="O50" s="395"/>
      <c r="R50" s="407">
        <v>1</v>
      </c>
      <c r="S50" s="407">
        <v>1</v>
      </c>
    </row>
    <row r="51" spans="1:19" s="407" customFormat="1" ht="12" customHeight="1" outlineLevel="2">
      <c r="A51" s="415"/>
      <c r="B51" s="549"/>
      <c r="C51" s="387"/>
      <c r="D51" s="462" t="s">
        <v>247</v>
      </c>
      <c r="E51" s="388" t="s">
        <v>248</v>
      </c>
      <c r="F51" s="473"/>
      <c r="G51" s="386" t="s">
        <v>70</v>
      </c>
      <c r="H51" s="400" t="str">
        <f t="shared" ref="H51:H61" si="7">CONCATENATE(G51,"-",I51)</f>
        <v>BB02-5</v>
      </c>
      <c r="I51" s="390">
        <v>5</v>
      </c>
      <c r="J51" s="473"/>
      <c r="K51" s="413"/>
      <c r="L51" s="392"/>
      <c r="M51" s="395">
        <v>1</v>
      </c>
      <c r="N51" s="395">
        <v>1</v>
      </c>
      <c r="O51" s="395"/>
      <c r="R51" s="395">
        <v>1</v>
      </c>
      <c r="S51" s="395">
        <v>1</v>
      </c>
    </row>
    <row r="52" spans="1:19" s="407" customFormat="1" ht="12" customHeight="1" outlineLevel="2">
      <c r="A52" s="415"/>
      <c r="B52" s="549"/>
      <c r="C52" s="387"/>
      <c r="D52" s="462" t="s">
        <v>249</v>
      </c>
      <c r="E52" s="388" t="s">
        <v>250</v>
      </c>
      <c r="F52" s="473"/>
      <c r="G52" s="386" t="s">
        <v>70</v>
      </c>
      <c r="H52" s="400" t="str">
        <f t="shared" si="7"/>
        <v>BB02-5</v>
      </c>
      <c r="I52" s="390">
        <v>5</v>
      </c>
      <c r="J52" s="473"/>
      <c r="K52" s="413"/>
      <c r="L52" s="392"/>
      <c r="M52" s="395">
        <v>1</v>
      </c>
      <c r="N52" s="395">
        <v>1</v>
      </c>
      <c r="O52" s="395"/>
      <c r="R52" s="395">
        <v>1</v>
      </c>
      <c r="S52" s="395">
        <v>1</v>
      </c>
    </row>
    <row r="53" spans="1:19" s="407" customFormat="1" ht="12" customHeight="1" outlineLevel="2">
      <c r="A53" s="415"/>
      <c r="B53" s="549"/>
      <c r="C53" s="387"/>
      <c r="D53" s="462" t="s">
        <v>251</v>
      </c>
      <c r="E53" s="388" t="s">
        <v>252</v>
      </c>
      <c r="F53" s="473"/>
      <c r="G53" s="386" t="s">
        <v>70</v>
      </c>
      <c r="H53" s="400" t="str">
        <f t="shared" si="7"/>
        <v>BB02-5</v>
      </c>
      <c r="I53" s="390">
        <v>5</v>
      </c>
      <c r="J53" s="473"/>
      <c r="K53" s="413"/>
      <c r="L53" s="392"/>
      <c r="M53" s="395">
        <v>1</v>
      </c>
      <c r="N53" s="395">
        <v>1</v>
      </c>
      <c r="O53" s="395"/>
      <c r="R53" s="395">
        <v>1</v>
      </c>
      <c r="S53" s="395">
        <v>1</v>
      </c>
    </row>
    <row r="54" spans="1:19" s="407" customFormat="1" ht="12" customHeight="1" outlineLevel="2">
      <c r="A54" s="415"/>
      <c r="B54" s="549"/>
      <c r="C54" s="387"/>
      <c r="D54" s="462" t="s">
        <v>253</v>
      </c>
      <c r="E54" s="388" t="s">
        <v>254</v>
      </c>
      <c r="F54" s="473"/>
      <c r="G54" s="386" t="s">
        <v>70</v>
      </c>
      <c r="H54" s="400" t="str">
        <f t="shared" si="7"/>
        <v>BB02-5</v>
      </c>
      <c r="I54" s="390">
        <v>5</v>
      </c>
      <c r="J54" s="473"/>
      <c r="K54" s="413"/>
      <c r="L54" s="392"/>
      <c r="M54" s="395">
        <v>1</v>
      </c>
      <c r="N54" s="395">
        <v>1</v>
      </c>
      <c r="O54" s="395"/>
      <c r="R54" s="395">
        <v>1</v>
      </c>
      <c r="S54" s="395">
        <v>1</v>
      </c>
    </row>
    <row r="55" spans="1:19" s="407" customFormat="1" ht="12" customHeight="1" outlineLevel="2">
      <c r="A55" s="415"/>
      <c r="B55" s="549"/>
      <c r="C55" s="387"/>
      <c r="D55" s="462" t="s">
        <v>255</v>
      </c>
      <c r="E55" s="388" t="s">
        <v>256</v>
      </c>
      <c r="F55" s="473"/>
      <c r="G55" s="386" t="s">
        <v>70</v>
      </c>
      <c r="H55" s="400" t="str">
        <f t="shared" si="7"/>
        <v>BB02-5</v>
      </c>
      <c r="I55" s="390">
        <v>5</v>
      </c>
      <c r="J55" s="473"/>
      <c r="K55" s="413"/>
      <c r="L55" s="392"/>
      <c r="M55" s="395">
        <v>1</v>
      </c>
      <c r="N55" s="395">
        <v>1</v>
      </c>
      <c r="O55" s="395"/>
      <c r="R55" s="395">
        <v>1</v>
      </c>
      <c r="S55" s="395">
        <v>1</v>
      </c>
    </row>
    <row r="56" spans="1:19" s="407" customFormat="1" ht="12" customHeight="1" outlineLevel="2">
      <c r="A56" s="415"/>
      <c r="B56" s="549"/>
      <c r="C56" s="387"/>
      <c r="D56" s="462" t="s">
        <v>257</v>
      </c>
      <c r="E56" s="388" t="s">
        <v>258</v>
      </c>
      <c r="F56" s="473"/>
      <c r="G56" s="386" t="s">
        <v>70</v>
      </c>
      <c r="H56" s="400" t="str">
        <f t="shared" si="7"/>
        <v>BB02-5</v>
      </c>
      <c r="I56" s="390">
        <v>5</v>
      </c>
      <c r="J56" s="473"/>
      <c r="K56" s="413"/>
      <c r="L56" s="392"/>
      <c r="M56" s="395">
        <v>1</v>
      </c>
      <c r="N56" s="395">
        <v>1</v>
      </c>
      <c r="O56" s="395"/>
      <c r="R56" s="395">
        <v>1</v>
      </c>
      <c r="S56" s="395">
        <v>1</v>
      </c>
    </row>
    <row r="57" spans="1:19" s="407" customFormat="1" ht="12" customHeight="1" outlineLevel="2">
      <c r="A57" s="415"/>
      <c r="B57" s="549"/>
      <c r="C57" s="387"/>
      <c r="D57" s="462" t="s">
        <v>259</v>
      </c>
      <c r="E57" s="388" t="s">
        <v>260</v>
      </c>
      <c r="F57" s="473"/>
      <c r="G57" s="386" t="s">
        <v>70</v>
      </c>
      <c r="H57" s="400" t="str">
        <f t="shared" si="7"/>
        <v>BB02-5</v>
      </c>
      <c r="I57" s="390">
        <v>5</v>
      </c>
      <c r="J57" s="473"/>
      <c r="K57" s="413"/>
      <c r="L57" s="392"/>
      <c r="M57" s="395">
        <v>1</v>
      </c>
      <c r="N57" s="395">
        <v>1</v>
      </c>
      <c r="O57" s="395"/>
      <c r="R57" s="395">
        <v>1</v>
      </c>
      <c r="S57" s="395">
        <v>1</v>
      </c>
    </row>
    <row r="58" spans="1:19" s="407" customFormat="1" ht="12" customHeight="1" outlineLevel="2">
      <c r="A58" s="415"/>
      <c r="B58" s="549"/>
      <c r="C58" s="387"/>
      <c r="D58" s="462" t="s">
        <v>261</v>
      </c>
      <c r="E58" s="388" t="s">
        <v>262</v>
      </c>
      <c r="F58" s="473"/>
      <c r="G58" s="386" t="s">
        <v>70</v>
      </c>
      <c r="H58" s="400" t="str">
        <f t="shared" si="7"/>
        <v>BB02-5</v>
      </c>
      <c r="I58" s="390">
        <v>5</v>
      </c>
      <c r="J58" s="473"/>
      <c r="K58" s="413"/>
      <c r="L58" s="392"/>
      <c r="M58" s="395">
        <v>1</v>
      </c>
      <c r="N58" s="395">
        <v>1</v>
      </c>
      <c r="O58" s="395"/>
      <c r="R58" s="395">
        <v>1</v>
      </c>
      <c r="S58" s="395">
        <v>1</v>
      </c>
    </row>
    <row r="59" spans="1:19" s="407" customFormat="1" ht="12" customHeight="1" outlineLevel="2">
      <c r="A59" s="415"/>
      <c r="B59" s="549"/>
      <c r="C59" s="387"/>
      <c r="D59" s="462" t="s">
        <v>263</v>
      </c>
      <c r="E59" s="388" t="s">
        <v>264</v>
      </c>
      <c r="F59" s="473"/>
      <c r="G59" s="386" t="s">
        <v>70</v>
      </c>
      <c r="H59" s="400" t="str">
        <f t="shared" si="7"/>
        <v>BB02-5</v>
      </c>
      <c r="I59" s="390">
        <v>5</v>
      </c>
      <c r="J59" s="473"/>
      <c r="K59" s="413"/>
      <c r="L59" s="392"/>
      <c r="M59" s="395">
        <v>1</v>
      </c>
      <c r="N59" s="395">
        <v>1</v>
      </c>
      <c r="O59" s="395"/>
      <c r="R59" s="395">
        <v>1</v>
      </c>
      <c r="S59" s="395">
        <v>1</v>
      </c>
    </row>
    <row r="60" spans="1:19" s="407" customFormat="1" ht="12" customHeight="1" outlineLevel="2">
      <c r="A60" s="415"/>
      <c r="B60" s="549"/>
      <c r="C60" s="387"/>
      <c r="D60" s="462" t="s">
        <v>265</v>
      </c>
      <c r="E60" s="388" t="s">
        <v>266</v>
      </c>
      <c r="F60" s="473"/>
      <c r="G60" s="386" t="s">
        <v>70</v>
      </c>
      <c r="H60" s="400" t="str">
        <f t="shared" si="7"/>
        <v>BB02-5</v>
      </c>
      <c r="I60" s="390">
        <v>5</v>
      </c>
      <c r="J60" s="473"/>
      <c r="K60" s="413"/>
      <c r="L60" s="392"/>
      <c r="M60" s="395">
        <v>1</v>
      </c>
      <c r="N60" s="395">
        <v>1</v>
      </c>
      <c r="O60" s="395"/>
      <c r="R60" s="395">
        <v>1</v>
      </c>
      <c r="S60" s="395">
        <v>1</v>
      </c>
    </row>
    <row r="61" spans="1:19" s="407" customFormat="1" ht="12" customHeight="1" outlineLevel="2">
      <c r="A61" s="415"/>
      <c r="B61" s="549"/>
      <c r="C61" s="387"/>
      <c r="D61" s="462" t="s">
        <v>267</v>
      </c>
      <c r="E61" s="388" t="s">
        <v>268</v>
      </c>
      <c r="F61" s="473"/>
      <c r="G61" s="386" t="s">
        <v>70</v>
      </c>
      <c r="H61" s="400" t="str">
        <f t="shared" si="7"/>
        <v>BB02-5</v>
      </c>
      <c r="I61" s="390">
        <v>5</v>
      </c>
      <c r="J61" s="473"/>
      <c r="K61" s="413"/>
      <c r="L61" s="392"/>
      <c r="M61" s="395">
        <v>1</v>
      </c>
      <c r="N61" s="395">
        <v>1</v>
      </c>
      <c r="O61" s="395"/>
      <c r="R61" s="395">
        <v>1</v>
      </c>
      <c r="S61" s="395">
        <v>1</v>
      </c>
    </row>
    <row r="62" spans="1:19" s="407" customFormat="1" ht="12" customHeight="1" outlineLevel="2">
      <c r="A62" s="415"/>
      <c r="B62" s="549"/>
      <c r="C62" s="387"/>
      <c r="D62" s="462"/>
      <c r="E62" s="388" t="s">
        <v>269</v>
      </c>
      <c r="F62" s="473"/>
      <c r="G62" s="386" t="s">
        <v>70</v>
      </c>
      <c r="H62" s="400" t="str">
        <f t="shared" si="6"/>
        <v>BB02-5</v>
      </c>
      <c r="I62" s="390">
        <v>5</v>
      </c>
      <c r="J62" s="473"/>
      <c r="K62" s="413"/>
      <c r="L62" s="392"/>
      <c r="M62" s="395">
        <v>1</v>
      </c>
      <c r="N62" s="395">
        <v>1</v>
      </c>
      <c r="O62" s="395"/>
    </row>
    <row r="63" spans="1:19" s="407" customFormat="1" ht="12" customHeight="1" outlineLevel="2">
      <c r="A63" s="415"/>
      <c r="B63" s="549"/>
      <c r="C63" s="387"/>
      <c r="D63" s="462"/>
      <c r="E63" s="388" t="s">
        <v>270</v>
      </c>
      <c r="F63" s="473"/>
      <c r="G63" s="386" t="s">
        <v>70</v>
      </c>
      <c r="H63" s="400" t="str">
        <f t="shared" si="6"/>
        <v>BB02-5</v>
      </c>
      <c r="I63" s="390">
        <v>5</v>
      </c>
      <c r="J63" s="473"/>
      <c r="K63" s="413"/>
      <c r="L63" s="392"/>
      <c r="M63" s="395">
        <v>1</v>
      </c>
      <c r="N63" s="395">
        <v>1</v>
      </c>
      <c r="O63" s="395"/>
    </row>
    <row r="64" spans="1:19" s="407" customFormat="1" ht="12" customHeight="1" outlineLevel="2">
      <c r="A64" s="415"/>
      <c r="B64" s="549"/>
      <c r="C64" s="387"/>
      <c r="D64" s="462"/>
      <c r="E64" s="388" t="s">
        <v>271</v>
      </c>
      <c r="F64" s="473"/>
      <c r="G64" s="386" t="s">
        <v>70</v>
      </c>
      <c r="H64" s="400" t="str">
        <f t="shared" si="6"/>
        <v>BB02-5</v>
      </c>
      <c r="I64" s="390">
        <v>5</v>
      </c>
      <c r="J64" s="473"/>
      <c r="K64" s="413"/>
      <c r="L64" s="392"/>
      <c r="M64" s="395">
        <v>1</v>
      </c>
      <c r="N64" s="395">
        <v>1</v>
      </c>
      <c r="O64" s="395"/>
    </row>
    <row r="65" spans="1:46" s="407" customFormat="1" ht="12" customHeight="1" outlineLevel="2">
      <c r="A65" s="415"/>
      <c r="B65" s="549"/>
      <c r="C65" s="387"/>
      <c r="D65" s="462"/>
      <c r="E65" s="388" t="s">
        <v>272</v>
      </c>
      <c r="F65" s="473"/>
      <c r="G65" s="386" t="s">
        <v>70</v>
      </c>
      <c r="H65" s="400" t="str">
        <f t="shared" si="6"/>
        <v>BB02-5</v>
      </c>
      <c r="I65" s="390">
        <v>5</v>
      </c>
      <c r="J65" s="473"/>
      <c r="K65" s="413"/>
      <c r="L65" s="392"/>
      <c r="M65" s="395">
        <v>1</v>
      </c>
      <c r="N65" s="395">
        <v>1</v>
      </c>
      <c r="O65" s="395"/>
    </row>
    <row r="66" spans="1:46" s="407" customFormat="1" ht="12" customHeight="1" outlineLevel="2">
      <c r="A66" s="415"/>
      <c r="B66" s="549"/>
      <c r="C66" s="387"/>
      <c r="D66" s="462"/>
      <c r="E66" s="388" t="s">
        <v>273</v>
      </c>
      <c r="F66" s="473"/>
      <c r="G66" s="386" t="s">
        <v>70</v>
      </c>
      <c r="H66" s="400" t="str">
        <f t="shared" si="6"/>
        <v>BB02-5</v>
      </c>
      <c r="I66" s="390">
        <v>5</v>
      </c>
      <c r="J66" s="473"/>
      <c r="K66" s="413"/>
      <c r="L66" s="392"/>
      <c r="M66" s="395">
        <v>1</v>
      </c>
      <c r="N66" s="395">
        <v>1</v>
      </c>
      <c r="O66" s="395"/>
    </row>
    <row r="67" spans="1:46" s="407" customFormat="1" ht="12" customHeight="1" outlineLevel="2">
      <c r="A67" s="415"/>
      <c r="B67" s="549"/>
      <c r="C67" s="387"/>
      <c r="D67" s="462"/>
      <c r="E67" s="388" t="s">
        <v>274</v>
      </c>
      <c r="F67" s="473"/>
      <c r="G67" s="386" t="s">
        <v>70</v>
      </c>
      <c r="H67" s="400" t="str">
        <f t="shared" si="6"/>
        <v>BB02-5</v>
      </c>
      <c r="I67" s="390">
        <v>5</v>
      </c>
      <c r="J67" s="473"/>
      <c r="K67" s="413"/>
      <c r="L67" s="392"/>
      <c r="M67" s="395">
        <v>1</v>
      </c>
      <c r="N67" s="395">
        <v>1</v>
      </c>
      <c r="O67" s="395"/>
    </row>
    <row r="68" spans="1:46" s="407" customFormat="1" ht="12" customHeight="1" outlineLevel="2">
      <c r="A68" s="415"/>
      <c r="B68" s="549"/>
      <c r="C68" s="387"/>
      <c r="D68" s="462"/>
      <c r="E68" s="388" t="s">
        <v>275</v>
      </c>
      <c r="F68" s="473"/>
      <c r="G68" s="386" t="s">
        <v>70</v>
      </c>
      <c r="H68" s="400" t="str">
        <f t="shared" si="6"/>
        <v>BB02-5</v>
      </c>
      <c r="I68" s="390">
        <v>5</v>
      </c>
      <c r="J68" s="473"/>
      <c r="K68" s="413"/>
      <c r="L68" s="392"/>
      <c r="M68" s="395">
        <v>1</v>
      </c>
      <c r="N68" s="395">
        <v>1</v>
      </c>
      <c r="O68" s="395"/>
    </row>
    <row r="69" spans="1:46" s="407" customFormat="1" ht="12" customHeight="1" outlineLevel="2">
      <c r="A69" s="415"/>
      <c r="B69" s="549"/>
      <c r="C69" s="387"/>
      <c r="D69" s="462"/>
      <c r="E69" s="388" t="s">
        <v>276</v>
      </c>
      <c r="F69" s="473"/>
      <c r="G69" s="386" t="s">
        <v>70</v>
      </c>
      <c r="H69" s="400" t="str">
        <f t="shared" si="6"/>
        <v>BB02-5</v>
      </c>
      <c r="I69" s="390">
        <v>5</v>
      </c>
      <c r="J69" s="473"/>
      <c r="K69" s="413"/>
      <c r="L69" s="392"/>
      <c r="M69" s="395">
        <v>1</v>
      </c>
      <c r="N69" s="395">
        <v>1</v>
      </c>
      <c r="O69" s="395"/>
    </row>
    <row r="70" spans="1:46" s="407" customFormat="1" ht="12" customHeight="1" outlineLevel="2">
      <c r="A70" s="415"/>
      <c r="B70" s="549"/>
      <c r="C70" s="387"/>
      <c r="D70" s="462"/>
      <c r="E70" s="388" t="s">
        <v>277</v>
      </c>
      <c r="F70" s="473"/>
      <c r="G70" s="386" t="s">
        <v>70</v>
      </c>
      <c r="H70" s="400" t="str">
        <f t="shared" si="6"/>
        <v>BB02-5</v>
      </c>
      <c r="I70" s="390">
        <v>5</v>
      </c>
      <c r="J70" s="473"/>
      <c r="K70" s="413"/>
      <c r="L70" s="392"/>
      <c r="M70" s="395">
        <v>1</v>
      </c>
      <c r="N70" s="395">
        <v>1</v>
      </c>
      <c r="O70" s="395"/>
    </row>
    <row r="71" spans="1:46" s="407" customFormat="1" ht="12" customHeight="1" outlineLevel="2">
      <c r="A71" s="415"/>
      <c r="B71" s="549"/>
      <c r="C71" s="387"/>
      <c r="D71" s="462"/>
      <c r="E71" s="388" t="s">
        <v>278</v>
      </c>
      <c r="F71" s="473"/>
      <c r="G71" s="386" t="s">
        <v>70</v>
      </c>
      <c r="H71" s="400" t="str">
        <f t="shared" si="6"/>
        <v>BB02-5</v>
      </c>
      <c r="I71" s="390">
        <v>5</v>
      </c>
      <c r="J71" s="473"/>
      <c r="K71" s="413"/>
      <c r="L71" s="392"/>
      <c r="M71" s="395">
        <v>1</v>
      </c>
      <c r="N71" s="395">
        <v>1</v>
      </c>
      <c r="O71" s="395"/>
    </row>
    <row r="72" spans="1:46" s="407" customFormat="1" ht="12" customHeight="1" outlineLevel="2">
      <c r="A72" s="415"/>
      <c r="B72" s="549"/>
      <c r="C72" s="387"/>
      <c r="D72" s="462"/>
      <c r="E72" s="388" t="s">
        <v>279</v>
      </c>
      <c r="F72" s="473"/>
      <c r="G72" s="386" t="s">
        <v>70</v>
      </c>
      <c r="H72" s="400" t="str">
        <f t="shared" si="6"/>
        <v>BB02-5</v>
      </c>
      <c r="I72" s="390">
        <v>5</v>
      </c>
      <c r="J72" s="473"/>
      <c r="K72" s="413"/>
      <c r="L72" s="392"/>
      <c r="M72" s="395">
        <v>1</v>
      </c>
      <c r="N72" s="395">
        <v>1</v>
      </c>
      <c r="O72" s="395"/>
    </row>
    <row r="73" spans="1:46" s="407" customFormat="1" ht="12" customHeight="1" outlineLevel="2">
      <c r="A73" s="415"/>
      <c r="B73" s="549"/>
      <c r="C73" s="387"/>
      <c r="D73" s="462"/>
      <c r="E73" s="388" t="s">
        <v>280</v>
      </c>
      <c r="F73" s="473"/>
      <c r="G73" s="386" t="s">
        <v>70</v>
      </c>
      <c r="H73" s="400" t="str">
        <f t="shared" si="6"/>
        <v>BB02-5</v>
      </c>
      <c r="I73" s="390">
        <v>5</v>
      </c>
      <c r="J73" s="473"/>
      <c r="K73" s="413"/>
      <c r="L73" s="392"/>
      <c r="M73" s="395">
        <v>1</v>
      </c>
      <c r="N73" s="395">
        <v>1</v>
      </c>
      <c r="O73" s="395"/>
    </row>
    <row r="74" spans="1:46" ht="3" customHeight="1">
      <c r="A74" s="548"/>
      <c r="B74" s="552"/>
      <c r="K74" s="408"/>
      <c r="L74" s="408"/>
    </row>
    <row r="75" spans="1:46" s="407" customFormat="1" ht="12" customHeight="1">
      <c r="A75" s="466" t="s">
        <v>281</v>
      </c>
      <c r="B75" s="550"/>
      <c r="C75" s="467"/>
      <c r="D75" s="468"/>
      <c r="E75" s="469"/>
      <c r="F75" s="472"/>
      <c r="G75" s="469"/>
      <c r="H75" s="469"/>
      <c r="I75" s="469"/>
      <c r="J75" s="472"/>
      <c r="K75" s="469"/>
      <c r="L75" s="469"/>
      <c r="M75" s="469"/>
      <c r="N75" s="469"/>
      <c r="O75" s="469"/>
      <c r="P75" s="469"/>
      <c r="Q75" s="469"/>
      <c r="R75" s="469"/>
      <c r="S75" s="469"/>
      <c r="T75" s="469"/>
      <c r="U75" s="469"/>
      <c r="V75" s="469"/>
      <c r="W75" s="469"/>
      <c r="X75" s="469"/>
      <c r="Y75" s="469"/>
      <c r="Z75" s="469"/>
      <c r="AA75" s="469"/>
      <c r="AB75" s="469"/>
      <c r="AC75" s="469"/>
      <c r="AD75" s="469"/>
      <c r="AE75" s="469"/>
      <c r="AF75" s="469"/>
      <c r="AG75" s="469"/>
      <c r="AH75" s="469"/>
      <c r="AI75" s="469"/>
      <c r="AJ75" s="469"/>
      <c r="AK75" s="469"/>
      <c r="AL75" s="469"/>
      <c r="AM75" s="469"/>
      <c r="AN75" s="469"/>
      <c r="AO75" s="469"/>
      <c r="AP75" s="469"/>
      <c r="AQ75" s="469"/>
      <c r="AR75" s="469"/>
      <c r="AS75" s="469"/>
      <c r="AT75" s="469"/>
    </row>
    <row r="76" spans="1:46" s="407" customFormat="1" ht="3" customHeight="1" outlineLevel="1">
      <c r="A76" s="415"/>
      <c r="B76" s="551"/>
      <c r="C76" s="396"/>
      <c r="D76" s="434"/>
      <c r="E76" s="414"/>
      <c r="F76" s="472"/>
      <c r="G76" s="396"/>
      <c r="H76" s="389"/>
      <c r="I76" s="416"/>
      <c r="J76" s="472"/>
      <c r="K76" s="413"/>
      <c r="L76" s="392"/>
      <c r="M76" s="405"/>
      <c r="N76" s="395"/>
      <c r="O76" s="395"/>
      <c r="P76" s="395"/>
      <c r="Q76" s="395"/>
      <c r="R76" s="401"/>
      <c r="S76" s="405"/>
      <c r="T76" s="405"/>
      <c r="U76" s="405"/>
      <c r="V76" s="405"/>
      <c r="W76" s="413"/>
      <c r="X76" s="392"/>
      <c r="Y76" s="405"/>
      <c r="Z76" s="395"/>
      <c r="AA76" s="395"/>
      <c r="AB76" s="395"/>
      <c r="AC76" s="395"/>
      <c r="AD76" s="401"/>
      <c r="AE76" s="405"/>
      <c r="AF76" s="405"/>
      <c r="AG76" s="405"/>
      <c r="AH76" s="405"/>
      <c r="AI76" s="413"/>
      <c r="AJ76" s="392"/>
      <c r="AK76" s="405"/>
      <c r="AL76" s="395"/>
      <c r="AM76" s="395"/>
      <c r="AN76" s="395"/>
      <c r="AO76" s="395"/>
      <c r="AP76" s="401"/>
      <c r="AQ76" s="405"/>
      <c r="AR76" s="405"/>
      <c r="AS76" s="405"/>
      <c r="AT76" s="405"/>
    </row>
    <row r="77" spans="1:46" outlineLevel="1">
      <c r="A77" s="460" t="s">
        <v>150</v>
      </c>
      <c r="B77" s="460" t="s">
        <v>51</v>
      </c>
      <c r="C77" s="460"/>
      <c r="D77" s="460"/>
      <c r="E77" s="460"/>
      <c r="G77" s="460"/>
      <c r="H77" s="460"/>
      <c r="I77" s="460"/>
      <c r="K77" s="408"/>
      <c r="L77" s="408"/>
    </row>
    <row r="78" spans="1:46" s="407" customFormat="1" ht="12" customHeight="1" outlineLevel="2">
      <c r="A78" s="415"/>
      <c r="B78" s="549"/>
      <c r="C78" s="387"/>
      <c r="D78" s="462"/>
      <c r="E78" s="388" t="s">
        <v>282</v>
      </c>
      <c r="F78" s="473"/>
      <c r="G78" s="386" t="s">
        <v>48</v>
      </c>
      <c r="H78" s="400" t="str">
        <f t="shared" ref="H78" si="8">CONCATENATE(G78,"-",I78)</f>
        <v>BB01-1</v>
      </c>
      <c r="I78" s="390">
        <v>1</v>
      </c>
      <c r="J78" s="473"/>
      <c r="K78" s="413">
        <v>1</v>
      </c>
      <c r="L78" s="572" t="s">
        <v>193</v>
      </c>
      <c r="M78" s="395"/>
      <c r="N78" s="395"/>
      <c r="O78" s="395"/>
      <c r="P78" s="395"/>
      <c r="Q78" s="395"/>
      <c r="R78" s="395"/>
      <c r="S78" s="395"/>
      <c r="T78" s="395"/>
      <c r="U78" s="395"/>
      <c r="V78" s="395"/>
      <c r="W78" s="413"/>
      <c r="X78" s="395"/>
      <c r="Y78" s="395"/>
      <c r="Z78" s="395"/>
      <c r="AA78" s="395"/>
      <c r="AB78" s="395"/>
      <c r="AC78" s="395"/>
      <c r="AD78" s="395"/>
      <c r="AE78" s="395"/>
      <c r="AF78" s="395"/>
      <c r="AG78" s="395"/>
      <c r="AH78" s="395"/>
      <c r="AI78" s="413"/>
      <c r="AJ78" s="392"/>
      <c r="AK78" s="405"/>
      <c r="AL78" s="395"/>
      <c r="AM78" s="395"/>
      <c r="AN78" s="395"/>
      <c r="AO78" s="395"/>
      <c r="AP78" s="401"/>
      <c r="AQ78" s="405"/>
      <c r="AR78" s="405"/>
      <c r="AS78" s="405"/>
      <c r="AT78" s="405"/>
    </row>
    <row r="79" spans="1:46" s="407" customFormat="1" ht="12" customHeight="1" outlineLevel="2">
      <c r="A79" s="415"/>
      <c r="B79" s="549"/>
      <c r="C79" s="387"/>
      <c r="D79" s="462" t="s">
        <v>283</v>
      </c>
      <c r="E79" s="388" t="s">
        <v>284</v>
      </c>
      <c r="F79" s="473"/>
      <c r="G79" s="386" t="s">
        <v>48</v>
      </c>
      <c r="H79" s="400" t="str">
        <f t="shared" ref="H79" si="9">CONCATENATE(G79,"-",I79)</f>
        <v>BB01-1</v>
      </c>
      <c r="I79" s="390">
        <v>1</v>
      </c>
      <c r="J79" s="473"/>
      <c r="K79" s="413">
        <v>1</v>
      </c>
      <c r="L79" s="572" t="s">
        <v>193</v>
      </c>
      <c r="M79" s="395"/>
      <c r="N79" s="395"/>
      <c r="O79" s="395"/>
      <c r="P79" s="395"/>
      <c r="Q79" s="395"/>
      <c r="R79" s="395"/>
      <c r="S79" s="395"/>
      <c r="T79" s="395"/>
      <c r="U79" s="395"/>
      <c r="V79" s="395"/>
      <c r="W79" s="413"/>
      <c r="X79" s="395"/>
      <c r="Y79" s="395"/>
      <c r="Z79" s="395"/>
      <c r="AA79" s="395"/>
      <c r="AB79" s="395"/>
      <c r="AC79" s="395"/>
      <c r="AD79" s="395"/>
      <c r="AE79" s="395"/>
      <c r="AF79" s="395"/>
      <c r="AG79" s="395"/>
      <c r="AH79" s="395"/>
      <c r="AI79" s="413"/>
      <c r="AJ79" s="392"/>
      <c r="AK79" s="405"/>
      <c r="AL79" s="395"/>
      <c r="AM79" s="395"/>
      <c r="AN79" s="395"/>
      <c r="AO79" s="395"/>
      <c r="AP79" s="401"/>
      <c r="AQ79" s="405"/>
      <c r="AR79" s="405"/>
      <c r="AS79" s="405"/>
      <c r="AT79" s="405"/>
    </row>
    <row r="80" spans="1:46" s="407" customFormat="1" ht="12" customHeight="1" outlineLevel="2">
      <c r="A80" s="415"/>
      <c r="B80" s="549"/>
      <c r="C80" s="387"/>
      <c r="D80" s="462" t="s">
        <v>285</v>
      </c>
      <c r="E80" s="388" t="s">
        <v>286</v>
      </c>
      <c r="F80" s="473"/>
      <c r="G80" s="386" t="s">
        <v>48</v>
      </c>
      <c r="H80" s="400" t="str">
        <f t="shared" ref="H80:H143" si="10">CONCATENATE(G80,"-",I80)</f>
        <v>BB01-1</v>
      </c>
      <c r="I80" s="390">
        <v>1</v>
      </c>
      <c r="J80" s="473"/>
      <c r="K80" s="413">
        <v>1</v>
      </c>
      <c r="L80" s="572" t="s">
        <v>193</v>
      </c>
      <c r="M80" s="395"/>
      <c r="N80" s="395"/>
      <c r="O80" s="395"/>
      <c r="P80" s="395"/>
      <c r="Q80" s="395"/>
      <c r="R80" s="395"/>
      <c r="S80" s="395"/>
      <c r="T80" s="395"/>
      <c r="U80" s="395"/>
      <c r="V80" s="395"/>
      <c r="W80" s="413"/>
      <c r="X80" s="395"/>
      <c r="Y80" s="395"/>
      <c r="Z80" s="395"/>
      <c r="AA80" s="395"/>
      <c r="AB80" s="395"/>
      <c r="AC80" s="395"/>
      <c r="AD80" s="395"/>
      <c r="AE80" s="395"/>
      <c r="AF80" s="395"/>
      <c r="AG80" s="395"/>
      <c r="AH80" s="395"/>
      <c r="AI80" s="413"/>
      <c r="AJ80" s="392"/>
      <c r="AK80" s="405"/>
      <c r="AL80" s="395"/>
      <c r="AM80" s="395"/>
      <c r="AN80" s="395"/>
      <c r="AO80" s="395"/>
      <c r="AP80" s="401"/>
      <c r="AQ80" s="405"/>
      <c r="AR80" s="405"/>
      <c r="AS80" s="405"/>
      <c r="AT80" s="405"/>
    </row>
    <row r="81" spans="1:46" s="407" customFormat="1" ht="12" customHeight="1" outlineLevel="2">
      <c r="A81" s="415"/>
      <c r="B81" s="549"/>
      <c r="C81" s="387"/>
      <c r="D81" s="462" t="s">
        <v>285</v>
      </c>
      <c r="E81" s="388" t="s">
        <v>287</v>
      </c>
      <c r="F81" s="473"/>
      <c r="G81" s="386" t="s">
        <v>48</v>
      </c>
      <c r="H81" s="400" t="str">
        <f t="shared" si="10"/>
        <v>BB01-1</v>
      </c>
      <c r="I81" s="390">
        <v>1</v>
      </c>
      <c r="J81" s="473"/>
      <c r="K81" s="413">
        <v>1</v>
      </c>
      <c r="L81" s="572" t="s">
        <v>193</v>
      </c>
      <c r="M81" s="395"/>
      <c r="N81" s="395"/>
      <c r="O81" s="395"/>
      <c r="P81" s="395"/>
      <c r="Q81" s="395"/>
      <c r="R81" s="395"/>
      <c r="S81" s="395"/>
      <c r="T81" s="395"/>
      <c r="U81" s="395"/>
      <c r="V81" s="395"/>
      <c r="W81" s="413"/>
      <c r="X81" s="395"/>
      <c r="Y81" s="395"/>
      <c r="Z81" s="395"/>
      <c r="AA81" s="395"/>
      <c r="AB81" s="395"/>
      <c r="AC81" s="395"/>
      <c r="AD81" s="395"/>
      <c r="AE81" s="395"/>
      <c r="AF81" s="395"/>
      <c r="AG81" s="395"/>
      <c r="AH81" s="395"/>
      <c r="AI81" s="413"/>
      <c r="AJ81" s="392"/>
      <c r="AK81" s="405"/>
      <c r="AL81" s="395"/>
      <c r="AM81" s="395"/>
      <c r="AN81" s="395"/>
      <c r="AO81" s="395"/>
      <c r="AP81" s="401"/>
      <c r="AQ81" s="405"/>
      <c r="AR81" s="405"/>
      <c r="AS81" s="405"/>
      <c r="AT81" s="405"/>
    </row>
    <row r="82" spans="1:46" s="407" customFormat="1" ht="12" customHeight="1" outlineLevel="2">
      <c r="A82" s="415"/>
      <c r="B82" s="549"/>
      <c r="C82" s="387"/>
      <c r="D82" s="462" t="s">
        <v>288</v>
      </c>
      <c r="E82" s="388" t="s">
        <v>289</v>
      </c>
      <c r="F82" s="473"/>
      <c r="G82" s="386" t="s">
        <v>48</v>
      </c>
      <c r="H82" s="400" t="str">
        <f t="shared" si="10"/>
        <v>BB01-1</v>
      </c>
      <c r="I82" s="390">
        <v>1</v>
      </c>
      <c r="J82" s="473"/>
      <c r="K82" s="413">
        <v>1</v>
      </c>
      <c r="L82" s="572" t="s">
        <v>290</v>
      </c>
      <c r="M82" s="395"/>
      <c r="N82" s="395"/>
      <c r="O82" s="395"/>
      <c r="P82" s="395"/>
      <c r="Q82" s="395"/>
      <c r="R82" s="395"/>
      <c r="S82" s="395"/>
      <c r="T82" s="395"/>
      <c r="U82" s="395"/>
      <c r="V82" s="395"/>
      <c r="W82" s="413"/>
      <c r="X82" s="395"/>
      <c r="Y82" s="395"/>
      <c r="Z82" s="395"/>
      <c r="AA82" s="395"/>
      <c r="AB82" s="395"/>
      <c r="AC82" s="395"/>
      <c r="AD82" s="395"/>
      <c r="AE82" s="395"/>
      <c r="AF82" s="395"/>
      <c r="AG82" s="395"/>
      <c r="AH82" s="395"/>
      <c r="AI82" s="413"/>
      <c r="AJ82" s="392"/>
      <c r="AK82" s="405"/>
      <c r="AL82" s="395"/>
      <c r="AM82" s="395"/>
      <c r="AN82" s="395"/>
      <c r="AO82" s="395"/>
      <c r="AP82" s="401"/>
      <c r="AQ82" s="405"/>
      <c r="AR82" s="405"/>
      <c r="AS82" s="405"/>
      <c r="AT82" s="405"/>
    </row>
    <row r="83" spans="1:46" s="407" customFormat="1" ht="12" customHeight="1" outlineLevel="2">
      <c r="A83" s="415"/>
      <c r="B83" s="549"/>
      <c r="C83" s="387"/>
      <c r="D83" s="462" t="s">
        <v>291</v>
      </c>
      <c r="E83" s="388" t="s">
        <v>292</v>
      </c>
      <c r="F83" s="473"/>
      <c r="G83" s="386" t="s">
        <v>48</v>
      </c>
      <c r="H83" s="400" t="str">
        <f t="shared" si="10"/>
        <v>BB01-1</v>
      </c>
      <c r="I83" s="390">
        <v>1</v>
      </c>
      <c r="J83" s="473"/>
      <c r="K83" s="413">
        <v>1</v>
      </c>
      <c r="L83" s="572" t="s">
        <v>193</v>
      </c>
      <c r="M83" s="395"/>
      <c r="N83" s="395"/>
      <c r="O83" s="395"/>
      <c r="P83" s="395"/>
      <c r="Q83" s="395"/>
      <c r="R83" s="395"/>
      <c r="S83" s="395"/>
      <c r="T83" s="395"/>
      <c r="U83" s="395"/>
      <c r="V83" s="395"/>
      <c r="W83" s="413"/>
      <c r="X83" s="395"/>
      <c r="Y83" s="395"/>
      <c r="Z83" s="395"/>
      <c r="AA83" s="395"/>
      <c r="AB83" s="395"/>
      <c r="AC83" s="395"/>
      <c r="AD83" s="395"/>
      <c r="AE83" s="395"/>
      <c r="AF83" s="395"/>
      <c r="AG83" s="395"/>
      <c r="AH83" s="395"/>
      <c r="AI83" s="413"/>
      <c r="AJ83" s="392"/>
      <c r="AK83" s="405"/>
      <c r="AL83" s="395"/>
      <c r="AM83" s="395"/>
      <c r="AN83" s="395"/>
      <c r="AO83" s="395"/>
      <c r="AP83" s="401"/>
      <c r="AQ83" s="405"/>
      <c r="AR83" s="405"/>
      <c r="AS83" s="405"/>
      <c r="AT83" s="405"/>
    </row>
    <row r="84" spans="1:46" s="407" customFormat="1" ht="12" customHeight="1" outlineLevel="2">
      <c r="A84" s="415"/>
      <c r="B84" s="549"/>
      <c r="C84" s="387"/>
      <c r="D84" s="462" t="s">
        <v>293</v>
      </c>
      <c r="E84" s="388" t="s">
        <v>294</v>
      </c>
      <c r="F84" s="473"/>
      <c r="G84" s="386" t="s">
        <v>48</v>
      </c>
      <c r="H84" s="400" t="str">
        <f t="shared" si="10"/>
        <v>BB01-1</v>
      </c>
      <c r="I84" s="390">
        <v>1</v>
      </c>
      <c r="J84" s="473"/>
      <c r="K84" s="413">
        <v>1</v>
      </c>
      <c r="L84" s="572" t="s">
        <v>193</v>
      </c>
      <c r="M84" s="395"/>
      <c r="N84" s="395"/>
      <c r="O84" s="395"/>
      <c r="P84" s="395"/>
      <c r="Q84" s="395"/>
      <c r="R84" s="395"/>
      <c r="S84" s="395"/>
      <c r="T84" s="395"/>
      <c r="U84" s="395"/>
      <c r="V84" s="395"/>
      <c r="W84" s="413"/>
      <c r="X84" s="395"/>
      <c r="Y84" s="395"/>
      <c r="Z84" s="395"/>
      <c r="AA84" s="395"/>
      <c r="AB84" s="395"/>
      <c r="AC84" s="395"/>
      <c r="AD84" s="395"/>
      <c r="AE84" s="395"/>
      <c r="AF84" s="395"/>
      <c r="AG84" s="395"/>
      <c r="AH84" s="395"/>
      <c r="AI84" s="413"/>
      <c r="AJ84" s="392"/>
      <c r="AK84" s="405"/>
      <c r="AL84" s="395"/>
      <c r="AM84" s="395"/>
      <c r="AN84" s="395"/>
      <c r="AO84" s="395"/>
      <c r="AP84" s="401"/>
      <c r="AQ84" s="405"/>
      <c r="AR84" s="405"/>
      <c r="AS84" s="405"/>
      <c r="AT84" s="405"/>
    </row>
    <row r="85" spans="1:46" s="407" customFormat="1" ht="12" customHeight="1" outlineLevel="2">
      <c r="A85" s="415"/>
      <c r="B85" s="549"/>
      <c r="C85" s="387"/>
      <c r="D85" s="462" t="s">
        <v>295</v>
      </c>
      <c r="E85" s="388" t="s">
        <v>296</v>
      </c>
      <c r="F85" s="473"/>
      <c r="G85" s="386" t="s">
        <v>48</v>
      </c>
      <c r="H85" s="400" t="str">
        <f t="shared" si="10"/>
        <v>BB01-1</v>
      </c>
      <c r="I85" s="390">
        <v>1</v>
      </c>
      <c r="J85" s="473"/>
      <c r="K85" s="413">
        <v>1</v>
      </c>
      <c r="L85" s="572" t="s">
        <v>193</v>
      </c>
      <c r="M85" s="395"/>
      <c r="N85" s="395"/>
      <c r="O85" s="395"/>
      <c r="P85" s="395"/>
      <c r="Q85" s="395"/>
      <c r="R85" s="395"/>
      <c r="S85" s="395"/>
      <c r="T85" s="395"/>
      <c r="U85" s="395"/>
      <c r="V85" s="395"/>
      <c r="W85" s="413"/>
      <c r="X85" s="395"/>
      <c r="Y85" s="395"/>
      <c r="Z85" s="395"/>
      <c r="AA85" s="395"/>
      <c r="AB85" s="395"/>
      <c r="AC85" s="395"/>
      <c r="AD85" s="395"/>
      <c r="AE85" s="395"/>
      <c r="AF85" s="395"/>
      <c r="AG85" s="395"/>
      <c r="AH85" s="395"/>
      <c r="AI85" s="413"/>
      <c r="AJ85" s="392"/>
      <c r="AK85" s="405"/>
      <c r="AL85" s="395"/>
      <c r="AM85" s="395"/>
      <c r="AN85" s="395"/>
      <c r="AO85" s="395"/>
      <c r="AP85" s="401"/>
      <c r="AQ85" s="405"/>
      <c r="AR85" s="405"/>
      <c r="AS85" s="405"/>
      <c r="AT85" s="405"/>
    </row>
    <row r="86" spans="1:46" s="407" customFormat="1" ht="12" customHeight="1" outlineLevel="2">
      <c r="A86" s="415"/>
      <c r="B86" s="549"/>
      <c r="C86" s="387"/>
      <c r="D86" s="462" t="s">
        <v>297</v>
      </c>
      <c r="E86" s="388" t="s">
        <v>298</v>
      </c>
      <c r="F86" s="473"/>
      <c r="G86" s="386" t="s">
        <v>48</v>
      </c>
      <c r="H86" s="400" t="str">
        <f t="shared" si="10"/>
        <v>BB01-1</v>
      </c>
      <c r="I86" s="390">
        <v>1</v>
      </c>
      <c r="J86" s="473"/>
      <c r="K86" s="413">
        <v>1</v>
      </c>
      <c r="L86" s="572" t="s">
        <v>193</v>
      </c>
      <c r="M86" s="395"/>
      <c r="N86" s="395"/>
      <c r="O86" s="395"/>
      <c r="P86" s="395"/>
      <c r="Q86" s="395"/>
      <c r="R86" s="395"/>
      <c r="S86" s="395"/>
      <c r="T86" s="395"/>
      <c r="U86" s="395"/>
      <c r="V86" s="395"/>
      <c r="W86" s="413"/>
      <c r="X86" s="395"/>
      <c r="Y86" s="395"/>
      <c r="Z86" s="395"/>
      <c r="AA86" s="395"/>
      <c r="AB86" s="395"/>
      <c r="AC86" s="395"/>
      <c r="AD86" s="395"/>
      <c r="AE86" s="395"/>
      <c r="AF86" s="395"/>
      <c r="AG86" s="395"/>
      <c r="AH86" s="395"/>
      <c r="AI86" s="413"/>
      <c r="AJ86" s="392"/>
      <c r="AK86" s="405"/>
      <c r="AL86" s="395"/>
      <c r="AM86" s="395"/>
      <c r="AN86" s="395"/>
      <c r="AO86" s="395"/>
      <c r="AP86" s="401"/>
      <c r="AQ86" s="405"/>
      <c r="AR86" s="405"/>
      <c r="AS86" s="405"/>
      <c r="AT86" s="405"/>
    </row>
    <row r="87" spans="1:46" s="407" customFormat="1" ht="12" customHeight="1" outlineLevel="2">
      <c r="A87" s="415"/>
      <c r="B87" s="549"/>
      <c r="C87" s="387"/>
      <c r="D87" s="462" t="s">
        <v>297</v>
      </c>
      <c r="E87" s="388" t="s">
        <v>299</v>
      </c>
      <c r="F87" s="473"/>
      <c r="G87" s="386" t="s">
        <v>48</v>
      </c>
      <c r="H87" s="400" t="str">
        <f t="shared" si="10"/>
        <v>BB01-1</v>
      </c>
      <c r="I87" s="390">
        <v>1</v>
      </c>
      <c r="J87" s="473"/>
      <c r="K87" s="413">
        <v>1</v>
      </c>
      <c r="L87" s="572" t="s">
        <v>193</v>
      </c>
      <c r="M87" s="395"/>
      <c r="N87" s="395"/>
      <c r="O87" s="395"/>
      <c r="P87" s="395"/>
      <c r="Q87" s="395"/>
      <c r="R87" s="395"/>
      <c r="S87" s="395"/>
      <c r="T87" s="395"/>
      <c r="U87" s="395"/>
      <c r="V87" s="395"/>
      <c r="W87" s="413"/>
      <c r="X87" s="395"/>
      <c r="Y87" s="395"/>
      <c r="Z87" s="395"/>
      <c r="AA87" s="395"/>
      <c r="AB87" s="395"/>
      <c r="AC87" s="395"/>
      <c r="AD87" s="395"/>
      <c r="AE87" s="395"/>
      <c r="AF87" s="395"/>
      <c r="AG87" s="395"/>
      <c r="AH87" s="395"/>
      <c r="AI87" s="413"/>
      <c r="AJ87" s="392"/>
      <c r="AK87" s="405"/>
      <c r="AL87" s="395"/>
      <c r="AM87" s="395"/>
      <c r="AN87" s="395"/>
      <c r="AO87" s="395"/>
      <c r="AP87" s="401"/>
      <c r="AQ87" s="405"/>
      <c r="AR87" s="405"/>
      <c r="AS87" s="405"/>
      <c r="AT87" s="405"/>
    </row>
    <row r="88" spans="1:46" s="407" customFormat="1" ht="12" customHeight="1" outlineLevel="2">
      <c r="A88" s="415"/>
      <c r="B88" s="549"/>
      <c r="C88" s="387"/>
      <c r="D88" s="462" t="s">
        <v>300</v>
      </c>
      <c r="E88" s="388" t="s">
        <v>301</v>
      </c>
      <c r="F88" s="473"/>
      <c r="G88" s="386" t="s">
        <v>48</v>
      </c>
      <c r="H88" s="400" t="str">
        <f t="shared" si="10"/>
        <v>BB01-1</v>
      </c>
      <c r="I88" s="390">
        <v>1</v>
      </c>
      <c r="J88" s="473"/>
      <c r="K88" s="413">
        <v>1</v>
      </c>
      <c r="L88" s="572" t="s">
        <v>193</v>
      </c>
      <c r="M88" s="395"/>
      <c r="N88" s="395"/>
      <c r="O88" s="395"/>
      <c r="P88" s="395"/>
      <c r="Q88" s="395"/>
      <c r="R88" s="395"/>
      <c r="S88" s="395"/>
      <c r="T88" s="395"/>
      <c r="U88" s="395"/>
      <c r="V88" s="395"/>
      <c r="W88" s="413"/>
      <c r="X88" s="395"/>
      <c r="Y88" s="395"/>
      <c r="Z88" s="395"/>
      <c r="AA88" s="395"/>
      <c r="AB88" s="395"/>
      <c r="AC88" s="395"/>
      <c r="AD88" s="395"/>
      <c r="AE88" s="395"/>
      <c r="AF88" s="395"/>
      <c r="AG88" s="395"/>
      <c r="AH88" s="395"/>
      <c r="AI88" s="413"/>
      <c r="AJ88" s="392"/>
      <c r="AK88" s="405"/>
      <c r="AL88" s="395"/>
      <c r="AM88" s="395"/>
      <c r="AN88" s="395"/>
      <c r="AO88" s="395"/>
      <c r="AP88" s="401"/>
      <c r="AQ88" s="405"/>
      <c r="AR88" s="405"/>
      <c r="AS88" s="405"/>
      <c r="AT88" s="405"/>
    </row>
    <row r="89" spans="1:46" s="407" customFormat="1" ht="12" customHeight="1" outlineLevel="2">
      <c r="A89" s="415"/>
      <c r="B89" s="549"/>
      <c r="C89" s="387"/>
      <c r="D89" s="462" t="s">
        <v>300</v>
      </c>
      <c r="E89" s="388" t="s">
        <v>302</v>
      </c>
      <c r="F89" s="473"/>
      <c r="G89" s="386" t="s">
        <v>48</v>
      </c>
      <c r="H89" s="400" t="str">
        <f t="shared" si="10"/>
        <v>BB01-1</v>
      </c>
      <c r="I89" s="390">
        <v>1</v>
      </c>
      <c r="J89" s="473"/>
      <c r="K89" s="413">
        <v>1</v>
      </c>
      <c r="L89" s="572" t="s">
        <v>193</v>
      </c>
      <c r="M89" s="395"/>
      <c r="N89" s="395"/>
      <c r="O89" s="395"/>
      <c r="P89" s="395"/>
      <c r="Q89" s="395"/>
      <c r="R89" s="395"/>
      <c r="S89" s="395"/>
      <c r="T89" s="395"/>
      <c r="U89" s="395"/>
      <c r="V89" s="395"/>
      <c r="W89" s="413"/>
      <c r="X89" s="395"/>
      <c r="Y89" s="395"/>
      <c r="Z89" s="395"/>
      <c r="AA89" s="395"/>
      <c r="AB89" s="395"/>
      <c r="AC89" s="395"/>
      <c r="AD89" s="395"/>
      <c r="AE89" s="395"/>
      <c r="AF89" s="395"/>
      <c r="AG89" s="395"/>
      <c r="AH89" s="395"/>
      <c r="AI89" s="413"/>
      <c r="AJ89" s="392"/>
      <c r="AK89" s="405"/>
      <c r="AL89" s="395"/>
      <c r="AM89" s="395"/>
      <c r="AN89" s="395"/>
      <c r="AO89" s="395"/>
      <c r="AP89" s="401"/>
      <c r="AQ89" s="405"/>
      <c r="AR89" s="405"/>
      <c r="AS89" s="405"/>
      <c r="AT89" s="405"/>
    </row>
    <row r="90" spans="1:46" s="407" customFormat="1" ht="12" customHeight="1" outlineLevel="2">
      <c r="A90" s="415"/>
      <c r="B90" s="549"/>
      <c r="C90" s="387"/>
      <c r="D90" s="462" t="s">
        <v>303</v>
      </c>
      <c r="E90" s="388" t="s">
        <v>304</v>
      </c>
      <c r="F90" s="473"/>
      <c r="G90" s="386" t="s">
        <v>48</v>
      </c>
      <c r="H90" s="400" t="str">
        <f t="shared" si="10"/>
        <v>BB01-1</v>
      </c>
      <c r="I90" s="390">
        <v>1</v>
      </c>
      <c r="J90" s="473"/>
      <c r="K90" s="413">
        <v>1</v>
      </c>
      <c r="L90" s="572" t="s">
        <v>193</v>
      </c>
      <c r="M90" s="395"/>
      <c r="N90" s="395"/>
      <c r="O90" s="395"/>
      <c r="P90" s="395"/>
      <c r="Q90" s="395"/>
      <c r="R90" s="395"/>
      <c r="S90" s="395"/>
      <c r="T90" s="395"/>
      <c r="U90" s="395"/>
      <c r="V90" s="395"/>
      <c r="W90" s="413"/>
      <c r="X90" s="395"/>
      <c r="Y90" s="395"/>
      <c r="Z90" s="395"/>
      <c r="AA90" s="395"/>
      <c r="AB90" s="395"/>
      <c r="AC90" s="395"/>
      <c r="AD90" s="395"/>
      <c r="AE90" s="395"/>
      <c r="AF90" s="395"/>
      <c r="AG90" s="395"/>
      <c r="AH90" s="395"/>
      <c r="AI90" s="413"/>
      <c r="AJ90" s="392"/>
      <c r="AK90" s="405"/>
      <c r="AL90" s="395"/>
      <c r="AM90" s="395"/>
      <c r="AN90" s="395"/>
      <c r="AO90" s="395"/>
      <c r="AP90" s="401"/>
      <c r="AQ90" s="405"/>
      <c r="AR90" s="405"/>
      <c r="AS90" s="405"/>
      <c r="AT90" s="405"/>
    </row>
    <row r="91" spans="1:46" s="407" customFormat="1" ht="12" customHeight="1" outlineLevel="2">
      <c r="A91" s="415"/>
      <c r="B91" s="549"/>
      <c r="C91" s="387"/>
      <c r="D91" s="462" t="s">
        <v>303</v>
      </c>
      <c r="E91" s="388" t="s">
        <v>305</v>
      </c>
      <c r="F91" s="473"/>
      <c r="G91" s="386" t="s">
        <v>48</v>
      </c>
      <c r="H91" s="400" t="str">
        <f t="shared" si="10"/>
        <v>BB01-1</v>
      </c>
      <c r="I91" s="390">
        <v>1</v>
      </c>
      <c r="J91" s="473"/>
      <c r="K91" s="413">
        <v>1</v>
      </c>
      <c r="L91" s="572" t="s">
        <v>193</v>
      </c>
      <c r="M91" s="395"/>
      <c r="N91" s="395"/>
      <c r="O91" s="395"/>
      <c r="P91" s="395"/>
      <c r="Q91" s="395"/>
      <c r="R91" s="395"/>
      <c r="S91" s="395"/>
      <c r="T91" s="395"/>
      <c r="U91" s="395"/>
      <c r="V91" s="395"/>
      <c r="W91" s="413"/>
      <c r="X91" s="395"/>
      <c r="Y91" s="395"/>
      <c r="Z91" s="395"/>
      <c r="AA91" s="395"/>
      <c r="AB91" s="395"/>
      <c r="AC91" s="395"/>
      <c r="AD91" s="395"/>
      <c r="AE91" s="395"/>
      <c r="AF91" s="395"/>
      <c r="AG91" s="395"/>
      <c r="AH91" s="395"/>
      <c r="AI91" s="413"/>
      <c r="AJ91" s="392"/>
      <c r="AK91" s="405"/>
      <c r="AL91" s="395"/>
      <c r="AM91" s="395"/>
      <c r="AN91" s="395"/>
      <c r="AO91" s="395"/>
      <c r="AP91" s="401"/>
      <c r="AQ91" s="405"/>
      <c r="AR91" s="405"/>
      <c r="AS91" s="405"/>
      <c r="AT91" s="405"/>
    </row>
    <row r="92" spans="1:46" s="407" customFormat="1" ht="12" customHeight="1" outlineLevel="2">
      <c r="A92" s="415"/>
      <c r="B92" s="549"/>
      <c r="C92" s="387"/>
      <c r="D92" s="462" t="s">
        <v>306</v>
      </c>
      <c r="E92" s="388" t="s">
        <v>307</v>
      </c>
      <c r="F92" s="473"/>
      <c r="G92" s="386" t="s">
        <v>48</v>
      </c>
      <c r="H92" s="400" t="str">
        <f t="shared" si="10"/>
        <v>BB01-1</v>
      </c>
      <c r="I92" s="390">
        <v>1</v>
      </c>
      <c r="J92" s="473"/>
      <c r="K92" s="413">
        <v>1</v>
      </c>
      <c r="L92" s="572" t="s">
        <v>193</v>
      </c>
      <c r="M92" s="395"/>
      <c r="N92" s="395"/>
      <c r="O92" s="395"/>
      <c r="P92" s="395"/>
      <c r="Q92" s="395"/>
      <c r="R92" s="395"/>
      <c r="S92" s="395"/>
      <c r="T92" s="395"/>
      <c r="U92" s="395"/>
      <c r="V92" s="395"/>
      <c r="W92" s="413"/>
      <c r="X92" s="395"/>
      <c r="Y92" s="395"/>
      <c r="Z92" s="395"/>
      <c r="AA92" s="395"/>
      <c r="AB92" s="395"/>
      <c r="AC92" s="395"/>
      <c r="AD92" s="395"/>
      <c r="AE92" s="395"/>
      <c r="AF92" s="395"/>
      <c r="AG92" s="395"/>
      <c r="AH92" s="395"/>
      <c r="AI92" s="413"/>
      <c r="AJ92" s="392"/>
      <c r="AK92" s="405"/>
      <c r="AL92" s="395"/>
      <c r="AM92" s="395"/>
      <c r="AN92" s="395"/>
      <c r="AO92" s="395"/>
      <c r="AP92" s="401"/>
      <c r="AQ92" s="405"/>
      <c r="AR92" s="405"/>
      <c r="AS92" s="405"/>
      <c r="AT92" s="405"/>
    </row>
    <row r="93" spans="1:46" s="407" customFormat="1" ht="12" customHeight="1" outlineLevel="2">
      <c r="A93" s="415"/>
      <c r="B93" s="549"/>
      <c r="C93" s="387"/>
      <c r="D93" s="462" t="s">
        <v>306</v>
      </c>
      <c r="E93" s="388" t="s">
        <v>307</v>
      </c>
      <c r="F93" s="473"/>
      <c r="G93" s="386" t="s">
        <v>48</v>
      </c>
      <c r="H93" s="400" t="str">
        <f t="shared" si="10"/>
        <v>BB01-1</v>
      </c>
      <c r="I93" s="390">
        <v>1</v>
      </c>
      <c r="J93" s="473"/>
      <c r="K93" s="413">
        <v>1</v>
      </c>
      <c r="L93" s="572" t="s">
        <v>193</v>
      </c>
      <c r="M93" s="395"/>
      <c r="N93" s="395"/>
      <c r="O93" s="395"/>
      <c r="P93" s="395"/>
      <c r="Q93" s="395"/>
      <c r="R93" s="395"/>
      <c r="S93" s="395"/>
      <c r="T93" s="395"/>
      <c r="U93" s="395"/>
      <c r="V93" s="395"/>
      <c r="W93" s="413"/>
      <c r="X93" s="395"/>
      <c r="Y93" s="395"/>
      <c r="Z93" s="395"/>
      <c r="AA93" s="395"/>
      <c r="AB93" s="395"/>
      <c r="AC93" s="395"/>
      <c r="AD93" s="395"/>
      <c r="AE93" s="395"/>
      <c r="AF93" s="395"/>
      <c r="AG93" s="395"/>
      <c r="AH93" s="395"/>
      <c r="AI93" s="413"/>
      <c r="AJ93" s="392"/>
      <c r="AK93" s="405"/>
      <c r="AL93" s="395"/>
      <c r="AM93" s="395"/>
      <c r="AN93" s="395"/>
      <c r="AO93" s="395"/>
      <c r="AP93" s="401"/>
      <c r="AQ93" s="405"/>
      <c r="AR93" s="405"/>
      <c r="AS93" s="405"/>
      <c r="AT93" s="405"/>
    </row>
    <row r="94" spans="1:46" s="407" customFormat="1" ht="12" customHeight="1" outlineLevel="2">
      <c r="A94" s="415"/>
      <c r="B94" s="549"/>
      <c r="C94" s="387"/>
      <c r="D94" s="462" t="s">
        <v>308</v>
      </c>
      <c r="E94" s="388" t="s">
        <v>309</v>
      </c>
      <c r="F94" s="473"/>
      <c r="G94" s="386" t="s">
        <v>48</v>
      </c>
      <c r="H94" s="400" t="str">
        <f t="shared" si="10"/>
        <v>BB01-1</v>
      </c>
      <c r="I94" s="390">
        <v>1</v>
      </c>
      <c r="J94" s="473"/>
      <c r="K94" s="413">
        <v>1</v>
      </c>
      <c r="L94" s="572" t="s">
        <v>193</v>
      </c>
      <c r="M94" s="395"/>
      <c r="N94" s="395"/>
      <c r="O94" s="395"/>
      <c r="P94" s="395"/>
      <c r="Q94" s="395"/>
      <c r="R94" s="395"/>
      <c r="S94" s="395"/>
      <c r="T94" s="395"/>
      <c r="U94" s="395"/>
      <c r="V94" s="395"/>
      <c r="W94" s="413"/>
      <c r="X94" s="395"/>
      <c r="Y94" s="395"/>
      <c r="Z94" s="395"/>
      <c r="AA94" s="395"/>
      <c r="AB94" s="395"/>
      <c r="AC94" s="395"/>
      <c r="AD94" s="395"/>
      <c r="AE94" s="395"/>
      <c r="AF94" s="395"/>
      <c r="AG94" s="395"/>
      <c r="AH94" s="395"/>
      <c r="AI94" s="413"/>
      <c r="AJ94" s="392"/>
      <c r="AK94" s="405"/>
      <c r="AL94" s="395"/>
      <c r="AM94" s="395"/>
      <c r="AN94" s="395"/>
      <c r="AO94" s="395"/>
      <c r="AP94" s="401"/>
      <c r="AQ94" s="405"/>
      <c r="AR94" s="405"/>
      <c r="AS94" s="405"/>
      <c r="AT94" s="405"/>
    </row>
    <row r="95" spans="1:46" s="407" customFormat="1" ht="12" customHeight="1" outlineLevel="2">
      <c r="A95" s="415"/>
      <c r="B95" s="549"/>
      <c r="C95" s="387"/>
      <c r="D95" s="462" t="s">
        <v>308</v>
      </c>
      <c r="E95" s="388" t="s">
        <v>309</v>
      </c>
      <c r="F95" s="473"/>
      <c r="G95" s="386" t="s">
        <v>48</v>
      </c>
      <c r="H95" s="400" t="str">
        <f t="shared" si="10"/>
        <v>BB01-1</v>
      </c>
      <c r="I95" s="390">
        <v>1</v>
      </c>
      <c r="J95" s="473"/>
      <c r="K95" s="413">
        <v>1</v>
      </c>
      <c r="L95" s="572" t="s">
        <v>193</v>
      </c>
      <c r="M95" s="395"/>
      <c r="N95" s="395"/>
      <c r="O95" s="395"/>
      <c r="P95" s="395"/>
      <c r="Q95" s="395"/>
      <c r="R95" s="395"/>
      <c r="S95" s="395"/>
      <c r="T95" s="395"/>
      <c r="U95" s="395"/>
      <c r="V95" s="395"/>
      <c r="W95" s="413"/>
      <c r="X95" s="395"/>
      <c r="Y95" s="395"/>
      <c r="Z95" s="395"/>
      <c r="AA95" s="395"/>
      <c r="AB95" s="395"/>
      <c r="AC95" s="395"/>
      <c r="AD95" s="395"/>
      <c r="AE95" s="395"/>
      <c r="AF95" s="395"/>
      <c r="AG95" s="395"/>
      <c r="AH95" s="395"/>
      <c r="AI95" s="413"/>
      <c r="AJ95" s="392"/>
      <c r="AK95" s="405"/>
      <c r="AL95" s="395"/>
      <c r="AM95" s="395"/>
      <c r="AN95" s="395"/>
      <c r="AO95" s="395"/>
      <c r="AP95" s="401"/>
      <c r="AQ95" s="405"/>
      <c r="AR95" s="405"/>
      <c r="AS95" s="405"/>
      <c r="AT95" s="405"/>
    </row>
    <row r="96" spans="1:46" s="407" customFormat="1" ht="12" customHeight="1" outlineLevel="2">
      <c r="A96" s="415"/>
      <c r="B96" s="549"/>
      <c r="C96" s="387"/>
      <c r="D96" s="462" t="s">
        <v>310</v>
      </c>
      <c r="E96" s="388" t="s">
        <v>311</v>
      </c>
      <c r="F96" s="473"/>
      <c r="G96" s="386" t="s">
        <v>48</v>
      </c>
      <c r="H96" s="400" t="str">
        <f t="shared" si="10"/>
        <v>BB01-1</v>
      </c>
      <c r="I96" s="390">
        <v>1</v>
      </c>
      <c r="J96" s="473"/>
      <c r="K96" s="413">
        <v>1</v>
      </c>
      <c r="L96" s="572" t="s">
        <v>193</v>
      </c>
      <c r="M96" s="395"/>
      <c r="N96" s="395"/>
      <c r="O96" s="395"/>
      <c r="P96" s="395"/>
      <c r="Q96" s="395"/>
      <c r="R96" s="395"/>
      <c r="S96" s="395"/>
      <c r="T96" s="395"/>
      <c r="U96" s="395"/>
      <c r="V96" s="395"/>
      <c r="W96" s="413"/>
      <c r="X96" s="395"/>
      <c r="Y96" s="395"/>
      <c r="Z96" s="395"/>
      <c r="AA96" s="395"/>
      <c r="AB96" s="395"/>
      <c r="AC96" s="395"/>
      <c r="AD96" s="395"/>
      <c r="AE96" s="395"/>
      <c r="AF96" s="395"/>
      <c r="AG96" s="395"/>
      <c r="AH96" s="395"/>
      <c r="AI96" s="413"/>
      <c r="AJ96" s="392"/>
      <c r="AK96" s="405"/>
      <c r="AL96" s="395"/>
      <c r="AM96" s="395"/>
      <c r="AN96" s="395"/>
      <c r="AO96" s="395"/>
      <c r="AP96" s="401"/>
      <c r="AQ96" s="405"/>
      <c r="AR96" s="405"/>
      <c r="AS96" s="405"/>
      <c r="AT96" s="405"/>
    </row>
    <row r="97" spans="1:46" s="407" customFormat="1" ht="12" customHeight="1" outlineLevel="2">
      <c r="A97" s="415"/>
      <c r="B97" s="549"/>
      <c r="C97" s="387"/>
      <c r="D97" s="462" t="s">
        <v>310</v>
      </c>
      <c r="E97" s="388" t="s">
        <v>311</v>
      </c>
      <c r="F97" s="473"/>
      <c r="G97" s="386" t="s">
        <v>48</v>
      </c>
      <c r="H97" s="400" t="str">
        <f t="shared" si="10"/>
        <v>BB01-1</v>
      </c>
      <c r="I97" s="390">
        <v>1</v>
      </c>
      <c r="J97" s="473"/>
      <c r="K97" s="413">
        <v>1</v>
      </c>
      <c r="L97" s="572" t="s">
        <v>193</v>
      </c>
      <c r="M97" s="395"/>
      <c r="N97" s="395"/>
      <c r="O97" s="395"/>
      <c r="P97" s="395"/>
      <c r="Q97" s="395"/>
      <c r="R97" s="395"/>
      <c r="S97" s="395"/>
      <c r="T97" s="395"/>
      <c r="U97" s="395"/>
      <c r="V97" s="395"/>
      <c r="W97" s="413"/>
      <c r="X97" s="395"/>
      <c r="Y97" s="395"/>
      <c r="Z97" s="395"/>
      <c r="AA97" s="395"/>
      <c r="AB97" s="395"/>
      <c r="AC97" s="395"/>
      <c r="AD97" s="395"/>
      <c r="AE97" s="395"/>
      <c r="AF97" s="395"/>
      <c r="AG97" s="395"/>
      <c r="AH97" s="395"/>
      <c r="AI97" s="413"/>
      <c r="AJ97" s="392"/>
      <c r="AK97" s="405"/>
      <c r="AL97" s="395"/>
      <c r="AM97" s="395"/>
      <c r="AN97" s="395"/>
      <c r="AO97" s="395"/>
      <c r="AP97" s="401"/>
      <c r="AQ97" s="405"/>
      <c r="AR97" s="405"/>
      <c r="AS97" s="405"/>
      <c r="AT97" s="405"/>
    </row>
    <row r="98" spans="1:46" s="407" customFormat="1" ht="12" customHeight="1" outlineLevel="2">
      <c r="A98" s="415"/>
      <c r="B98" s="549"/>
      <c r="C98" s="387"/>
      <c r="D98" s="462" t="s">
        <v>312</v>
      </c>
      <c r="E98" s="388" t="s">
        <v>313</v>
      </c>
      <c r="F98" s="473"/>
      <c r="G98" s="386" t="s">
        <v>48</v>
      </c>
      <c r="H98" s="400" t="str">
        <f t="shared" si="10"/>
        <v>BB01-1</v>
      </c>
      <c r="I98" s="390">
        <v>1</v>
      </c>
      <c r="J98" s="473"/>
      <c r="K98" s="413">
        <v>1</v>
      </c>
      <c r="L98" s="572" t="s">
        <v>193</v>
      </c>
      <c r="M98" s="395"/>
      <c r="N98" s="395"/>
      <c r="O98" s="395"/>
      <c r="P98" s="395"/>
      <c r="Q98" s="395"/>
      <c r="R98" s="395"/>
      <c r="S98" s="395"/>
      <c r="T98" s="395"/>
      <c r="U98" s="395"/>
      <c r="V98" s="395"/>
      <c r="W98" s="413"/>
      <c r="X98" s="395"/>
      <c r="Y98" s="395"/>
      <c r="Z98" s="395"/>
      <c r="AA98" s="395"/>
      <c r="AB98" s="395"/>
      <c r="AC98" s="395"/>
      <c r="AD98" s="395"/>
      <c r="AE98" s="395"/>
      <c r="AF98" s="395"/>
      <c r="AG98" s="395"/>
      <c r="AH98" s="395"/>
      <c r="AI98" s="413"/>
      <c r="AJ98" s="392"/>
      <c r="AK98" s="405"/>
      <c r="AL98" s="395"/>
      <c r="AM98" s="395"/>
      <c r="AN98" s="395"/>
      <c r="AO98" s="395"/>
      <c r="AP98" s="401"/>
      <c r="AQ98" s="405"/>
      <c r="AR98" s="405"/>
      <c r="AS98" s="405"/>
      <c r="AT98" s="405"/>
    </row>
    <row r="99" spans="1:46" s="407" customFormat="1" ht="12" customHeight="1" outlineLevel="2">
      <c r="A99" s="415"/>
      <c r="B99" s="549"/>
      <c r="C99" s="387"/>
      <c r="D99" s="462" t="s">
        <v>312</v>
      </c>
      <c r="E99" s="388" t="s">
        <v>314</v>
      </c>
      <c r="F99" s="473"/>
      <c r="G99" s="386" t="s">
        <v>48</v>
      </c>
      <c r="H99" s="400" t="str">
        <f t="shared" si="10"/>
        <v>BB01-1</v>
      </c>
      <c r="I99" s="390">
        <v>1</v>
      </c>
      <c r="J99" s="473"/>
      <c r="K99" s="413">
        <v>1</v>
      </c>
      <c r="L99" s="572" t="s">
        <v>193</v>
      </c>
      <c r="M99" s="395"/>
      <c r="N99" s="395"/>
      <c r="O99" s="395"/>
      <c r="P99" s="395"/>
      <c r="Q99" s="395"/>
      <c r="R99" s="395"/>
      <c r="S99" s="395"/>
      <c r="T99" s="395"/>
      <c r="U99" s="395"/>
      <c r="V99" s="395"/>
      <c r="W99" s="413"/>
      <c r="X99" s="395"/>
      <c r="Y99" s="395"/>
      <c r="Z99" s="395"/>
      <c r="AA99" s="395"/>
      <c r="AB99" s="395"/>
      <c r="AC99" s="395"/>
      <c r="AD99" s="395"/>
      <c r="AE99" s="395"/>
      <c r="AF99" s="395"/>
      <c r="AG99" s="395"/>
      <c r="AH99" s="395"/>
      <c r="AI99" s="413"/>
      <c r="AJ99" s="392"/>
      <c r="AK99" s="405"/>
      <c r="AL99" s="395"/>
      <c r="AM99" s="395"/>
      <c r="AN99" s="395"/>
      <c r="AO99" s="395"/>
      <c r="AP99" s="401"/>
      <c r="AQ99" s="405"/>
      <c r="AR99" s="405"/>
      <c r="AS99" s="405"/>
      <c r="AT99" s="405"/>
    </row>
    <row r="100" spans="1:46" s="407" customFormat="1" ht="12" customHeight="1" outlineLevel="2">
      <c r="A100" s="415"/>
      <c r="B100" s="549"/>
      <c r="C100" s="387"/>
      <c r="D100" s="462" t="s">
        <v>315</v>
      </c>
      <c r="E100" s="388" t="s">
        <v>316</v>
      </c>
      <c r="F100" s="473"/>
      <c r="G100" s="386" t="s">
        <v>48</v>
      </c>
      <c r="H100" s="400" t="str">
        <f t="shared" si="10"/>
        <v>BB01-1</v>
      </c>
      <c r="I100" s="390">
        <v>1</v>
      </c>
      <c r="J100" s="473"/>
      <c r="K100" s="413">
        <v>1</v>
      </c>
      <c r="L100" s="572" t="s">
        <v>193</v>
      </c>
      <c r="M100" s="395"/>
      <c r="N100" s="395"/>
      <c r="O100" s="395"/>
      <c r="P100" s="395"/>
      <c r="Q100" s="395"/>
      <c r="R100" s="395"/>
      <c r="S100" s="395"/>
      <c r="T100" s="395"/>
      <c r="U100" s="395"/>
      <c r="V100" s="395"/>
      <c r="W100" s="413"/>
      <c r="X100" s="395"/>
      <c r="Y100" s="395"/>
      <c r="Z100" s="395"/>
      <c r="AA100" s="395"/>
      <c r="AB100" s="395"/>
      <c r="AC100" s="395"/>
      <c r="AD100" s="395"/>
      <c r="AE100" s="395"/>
      <c r="AF100" s="395"/>
      <c r="AG100" s="395"/>
      <c r="AH100" s="395"/>
      <c r="AI100" s="413"/>
      <c r="AJ100" s="392"/>
      <c r="AK100" s="405"/>
      <c r="AL100" s="395"/>
      <c r="AM100" s="395"/>
      <c r="AN100" s="395"/>
      <c r="AO100" s="395"/>
      <c r="AP100" s="401"/>
      <c r="AQ100" s="405"/>
      <c r="AR100" s="405"/>
      <c r="AS100" s="405"/>
      <c r="AT100" s="405"/>
    </row>
    <row r="101" spans="1:46" s="407" customFormat="1" ht="12" customHeight="1" outlineLevel="2">
      <c r="A101" s="415"/>
      <c r="B101" s="549"/>
      <c r="C101" s="387"/>
      <c r="D101" s="462" t="s">
        <v>315</v>
      </c>
      <c r="E101" s="388" t="s">
        <v>317</v>
      </c>
      <c r="F101" s="473"/>
      <c r="G101" s="386" t="s">
        <v>48</v>
      </c>
      <c r="H101" s="400" t="str">
        <f t="shared" si="10"/>
        <v>BB01-1</v>
      </c>
      <c r="I101" s="390">
        <v>1</v>
      </c>
      <c r="J101" s="473"/>
      <c r="K101" s="413">
        <v>1</v>
      </c>
      <c r="L101" s="572" t="s">
        <v>193</v>
      </c>
      <c r="M101" s="395"/>
      <c r="N101" s="395"/>
      <c r="O101" s="395"/>
      <c r="P101" s="395"/>
      <c r="Q101" s="395"/>
      <c r="R101" s="395"/>
      <c r="S101" s="395"/>
      <c r="T101" s="395"/>
      <c r="U101" s="395"/>
      <c r="V101" s="395"/>
      <c r="W101" s="413"/>
      <c r="X101" s="395"/>
      <c r="Y101" s="395"/>
      <c r="Z101" s="395"/>
      <c r="AA101" s="395"/>
      <c r="AB101" s="395"/>
      <c r="AC101" s="395"/>
      <c r="AD101" s="395"/>
      <c r="AE101" s="395"/>
      <c r="AF101" s="395"/>
      <c r="AG101" s="395"/>
      <c r="AH101" s="395"/>
      <c r="AI101" s="413"/>
      <c r="AJ101" s="392"/>
      <c r="AK101" s="405"/>
      <c r="AL101" s="395"/>
      <c r="AM101" s="395"/>
      <c r="AN101" s="395"/>
      <c r="AO101" s="395"/>
      <c r="AP101" s="401"/>
      <c r="AQ101" s="405"/>
      <c r="AR101" s="405"/>
      <c r="AS101" s="405"/>
      <c r="AT101" s="405"/>
    </row>
    <row r="102" spans="1:46" s="407" customFormat="1" ht="12" customHeight="1" outlineLevel="2">
      <c r="A102" s="415"/>
      <c r="B102" s="549"/>
      <c r="C102" s="387"/>
      <c r="D102" s="462" t="s">
        <v>318</v>
      </c>
      <c r="E102" s="388" t="s">
        <v>319</v>
      </c>
      <c r="F102" s="473"/>
      <c r="G102" s="386" t="s">
        <v>48</v>
      </c>
      <c r="H102" s="400" t="str">
        <f t="shared" si="10"/>
        <v>BB01-1</v>
      </c>
      <c r="I102" s="390">
        <v>1</v>
      </c>
      <c r="J102" s="473"/>
      <c r="K102" s="413">
        <v>1</v>
      </c>
      <c r="L102" s="572" t="s">
        <v>193</v>
      </c>
      <c r="M102" s="395"/>
      <c r="N102" s="395"/>
      <c r="O102" s="395"/>
      <c r="P102" s="395"/>
      <c r="Q102" s="395"/>
      <c r="R102" s="395"/>
      <c r="S102" s="395"/>
      <c r="T102" s="395"/>
      <c r="U102" s="395"/>
      <c r="V102" s="395"/>
      <c r="W102" s="413"/>
      <c r="X102" s="395"/>
      <c r="Y102" s="395"/>
      <c r="Z102" s="395"/>
      <c r="AA102" s="395"/>
      <c r="AB102" s="395"/>
      <c r="AC102" s="395"/>
      <c r="AD102" s="395"/>
      <c r="AE102" s="395"/>
      <c r="AF102" s="395"/>
      <c r="AG102" s="395"/>
      <c r="AH102" s="395"/>
      <c r="AI102" s="413"/>
      <c r="AJ102" s="392"/>
      <c r="AK102" s="405"/>
      <c r="AL102" s="395"/>
      <c r="AM102" s="395"/>
      <c r="AN102" s="395"/>
      <c r="AO102" s="395"/>
      <c r="AP102" s="401"/>
      <c r="AQ102" s="405"/>
      <c r="AR102" s="405"/>
      <c r="AS102" s="405"/>
      <c r="AT102" s="405"/>
    </row>
    <row r="103" spans="1:46" s="407" customFormat="1" ht="12" customHeight="1" outlineLevel="2">
      <c r="A103" s="415"/>
      <c r="B103" s="549"/>
      <c r="C103" s="387"/>
      <c r="D103" s="462" t="s">
        <v>318</v>
      </c>
      <c r="E103" s="388" t="s">
        <v>320</v>
      </c>
      <c r="F103" s="473"/>
      <c r="G103" s="386" t="s">
        <v>48</v>
      </c>
      <c r="H103" s="400" t="str">
        <f t="shared" si="10"/>
        <v>BB01-1</v>
      </c>
      <c r="I103" s="390">
        <v>1</v>
      </c>
      <c r="J103" s="473"/>
      <c r="K103" s="413">
        <v>1</v>
      </c>
      <c r="L103" s="572" t="s">
        <v>193</v>
      </c>
      <c r="M103" s="395"/>
      <c r="N103" s="395"/>
      <c r="O103" s="395"/>
      <c r="P103" s="395"/>
      <c r="Q103" s="395"/>
      <c r="R103" s="395"/>
      <c r="S103" s="395"/>
      <c r="T103" s="395"/>
      <c r="U103" s="395"/>
      <c r="V103" s="395"/>
      <c r="W103" s="413"/>
      <c r="X103" s="395"/>
      <c r="Y103" s="395"/>
      <c r="Z103" s="395"/>
      <c r="AA103" s="395"/>
      <c r="AB103" s="395"/>
      <c r="AC103" s="395"/>
      <c r="AD103" s="395"/>
      <c r="AE103" s="395"/>
      <c r="AF103" s="395"/>
      <c r="AG103" s="395"/>
      <c r="AH103" s="395"/>
      <c r="AI103" s="413"/>
      <c r="AJ103" s="392"/>
      <c r="AK103" s="405"/>
      <c r="AL103" s="395"/>
      <c r="AM103" s="395"/>
      <c r="AN103" s="395"/>
      <c r="AO103" s="395"/>
      <c r="AP103" s="401"/>
      <c r="AQ103" s="405"/>
      <c r="AR103" s="405"/>
      <c r="AS103" s="405"/>
      <c r="AT103" s="405"/>
    </row>
    <row r="104" spans="1:46" s="407" customFormat="1" ht="12" customHeight="1" outlineLevel="2">
      <c r="A104" s="415"/>
      <c r="B104" s="549"/>
      <c r="C104" s="387"/>
      <c r="D104" s="462" t="s">
        <v>321</v>
      </c>
      <c r="E104" s="388" t="s">
        <v>322</v>
      </c>
      <c r="F104" s="473"/>
      <c r="G104" s="386" t="s">
        <v>48</v>
      </c>
      <c r="H104" s="400" t="str">
        <f t="shared" si="10"/>
        <v>BB01-1</v>
      </c>
      <c r="I104" s="390">
        <v>1</v>
      </c>
      <c r="J104" s="473"/>
      <c r="K104" s="413">
        <v>1</v>
      </c>
      <c r="L104" s="572" t="s">
        <v>193</v>
      </c>
      <c r="M104" s="395"/>
      <c r="N104" s="395"/>
      <c r="O104" s="395"/>
      <c r="P104" s="395"/>
      <c r="Q104" s="395"/>
      <c r="R104" s="395"/>
      <c r="S104" s="395"/>
      <c r="T104" s="395"/>
      <c r="U104" s="395"/>
      <c r="V104" s="395"/>
      <c r="W104" s="413"/>
      <c r="X104" s="395"/>
      <c r="Y104" s="395"/>
      <c r="Z104" s="395"/>
      <c r="AA104" s="395"/>
      <c r="AB104" s="395"/>
      <c r="AC104" s="395"/>
      <c r="AD104" s="395"/>
      <c r="AE104" s="395"/>
      <c r="AF104" s="395"/>
      <c r="AG104" s="395"/>
      <c r="AH104" s="395"/>
      <c r="AI104" s="413"/>
      <c r="AJ104" s="392"/>
      <c r="AK104" s="405"/>
      <c r="AL104" s="395"/>
      <c r="AM104" s="395"/>
      <c r="AN104" s="395"/>
      <c r="AO104" s="395"/>
      <c r="AP104" s="401"/>
      <c r="AQ104" s="405"/>
      <c r="AR104" s="405"/>
      <c r="AS104" s="405"/>
      <c r="AT104" s="405"/>
    </row>
    <row r="105" spans="1:46" s="407" customFormat="1" ht="12" customHeight="1" outlineLevel="2">
      <c r="A105" s="415"/>
      <c r="B105" s="549"/>
      <c r="C105" s="387"/>
      <c r="D105" s="462" t="s">
        <v>321</v>
      </c>
      <c r="E105" s="388" t="s">
        <v>323</v>
      </c>
      <c r="F105" s="473"/>
      <c r="G105" s="386" t="s">
        <v>48</v>
      </c>
      <c r="H105" s="400" t="str">
        <f t="shared" si="10"/>
        <v>BB01-1</v>
      </c>
      <c r="I105" s="390">
        <v>1</v>
      </c>
      <c r="J105" s="473"/>
      <c r="K105" s="413">
        <v>1</v>
      </c>
      <c r="L105" s="572" t="s">
        <v>193</v>
      </c>
      <c r="M105" s="395"/>
      <c r="N105" s="395"/>
      <c r="O105" s="395"/>
      <c r="P105" s="395"/>
      <c r="Q105" s="395"/>
      <c r="R105" s="395"/>
      <c r="S105" s="395"/>
      <c r="T105" s="395"/>
      <c r="U105" s="395"/>
      <c r="V105" s="395"/>
      <c r="W105" s="413"/>
      <c r="X105" s="395"/>
      <c r="Y105" s="395"/>
      <c r="Z105" s="395"/>
      <c r="AA105" s="395"/>
      <c r="AB105" s="395"/>
      <c r="AC105" s="395"/>
      <c r="AD105" s="395"/>
      <c r="AE105" s="395"/>
      <c r="AF105" s="395"/>
      <c r="AG105" s="395"/>
      <c r="AH105" s="395"/>
      <c r="AI105" s="413"/>
      <c r="AJ105" s="392"/>
      <c r="AK105" s="405"/>
      <c r="AL105" s="395"/>
      <c r="AM105" s="395"/>
      <c r="AN105" s="395"/>
      <c r="AO105" s="395"/>
      <c r="AP105" s="401"/>
      <c r="AQ105" s="405"/>
      <c r="AR105" s="405"/>
      <c r="AS105" s="405"/>
      <c r="AT105" s="405"/>
    </row>
    <row r="106" spans="1:46" s="407" customFormat="1" ht="12" customHeight="1" outlineLevel="2">
      <c r="A106" s="415"/>
      <c r="B106" s="549"/>
      <c r="C106" s="387"/>
      <c r="D106" s="462" t="s">
        <v>324</v>
      </c>
      <c r="E106" s="388" t="s">
        <v>325</v>
      </c>
      <c r="F106" s="473"/>
      <c r="G106" s="386" t="s">
        <v>48</v>
      </c>
      <c r="H106" s="400" t="str">
        <f t="shared" si="10"/>
        <v>BB01-1</v>
      </c>
      <c r="I106" s="390">
        <v>1</v>
      </c>
      <c r="J106" s="473"/>
      <c r="K106" s="413">
        <v>1</v>
      </c>
      <c r="L106" s="572" t="s">
        <v>193</v>
      </c>
      <c r="M106" s="395"/>
      <c r="N106" s="395"/>
      <c r="O106" s="395"/>
      <c r="P106" s="395"/>
      <c r="Q106" s="395"/>
      <c r="R106" s="395"/>
      <c r="S106" s="395"/>
      <c r="T106" s="395"/>
      <c r="U106" s="395"/>
      <c r="V106" s="395"/>
      <c r="W106" s="413"/>
      <c r="X106" s="395"/>
      <c r="Y106" s="395"/>
      <c r="Z106" s="395"/>
      <c r="AA106" s="395"/>
      <c r="AB106" s="395"/>
      <c r="AC106" s="395"/>
      <c r="AD106" s="395"/>
      <c r="AE106" s="395"/>
      <c r="AF106" s="395"/>
      <c r="AG106" s="395"/>
      <c r="AH106" s="395"/>
      <c r="AI106" s="413"/>
      <c r="AJ106" s="392"/>
      <c r="AK106" s="405"/>
      <c r="AL106" s="395"/>
      <c r="AM106" s="395"/>
      <c r="AN106" s="395"/>
      <c r="AO106" s="395"/>
      <c r="AP106" s="401"/>
      <c r="AQ106" s="405"/>
      <c r="AR106" s="405"/>
      <c r="AS106" s="405"/>
      <c r="AT106" s="405"/>
    </row>
    <row r="107" spans="1:46" s="407" customFormat="1" ht="12" customHeight="1" outlineLevel="2">
      <c r="A107" s="415"/>
      <c r="B107" s="549"/>
      <c r="C107" s="387"/>
      <c r="D107" s="462" t="s">
        <v>324</v>
      </c>
      <c r="E107" s="388" t="s">
        <v>325</v>
      </c>
      <c r="F107" s="473"/>
      <c r="G107" s="386" t="s">
        <v>48</v>
      </c>
      <c r="H107" s="400" t="str">
        <f t="shared" si="10"/>
        <v>BB01-1</v>
      </c>
      <c r="I107" s="390">
        <v>1</v>
      </c>
      <c r="J107" s="473"/>
      <c r="K107" s="413">
        <v>1</v>
      </c>
      <c r="L107" s="572" t="s">
        <v>193</v>
      </c>
      <c r="M107" s="395"/>
      <c r="N107" s="395"/>
      <c r="O107" s="395"/>
      <c r="P107" s="395"/>
      <c r="Q107" s="395"/>
      <c r="R107" s="395"/>
      <c r="S107" s="395"/>
      <c r="T107" s="395"/>
      <c r="U107" s="395"/>
      <c r="V107" s="395"/>
      <c r="W107" s="413"/>
      <c r="X107" s="395"/>
      <c r="Y107" s="395"/>
      <c r="Z107" s="395"/>
      <c r="AA107" s="395"/>
      <c r="AB107" s="395"/>
      <c r="AC107" s="395"/>
      <c r="AD107" s="395"/>
      <c r="AE107" s="395"/>
      <c r="AF107" s="395"/>
      <c r="AG107" s="395"/>
      <c r="AH107" s="395"/>
      <c r="AI107" s="413"/>
      <c r="AJ107" s="392"/>
      <c r="AK107" s="405"/>
      <c r="AL107" s="395"/>
      <c r="AM107" s="395"/>
      <c r="AN107" s="395"/>
      <c r="AO107" s="395"/>
      <c r="AP107" s="401"/>
      <c r="AQ107" s="405"/>
      <c r="AR107" s="405"/>
      <c r="AS107" s="405"/>
      <c r="AT107" s="405"/>
    </row>
    <row r="108" spans="1:46" s="407" customFormat="1" ht="12" customHeight="1" outlineLevel="2">
      <c r="A108" s="415"/>
      <c r="B108" s="549"/>
      <c r="C108" s="387"/>
      <c r="D108" s="462" t="s">
        <v>326</v>
      </c>
      <c r="E108" s="388" t="s">
        <v>327</v>
      </c>
      <c r="F108" s="473"/>
      <c r="G108" s="386" t="s">
        <v>48</v>
      </c>
      <c r="H108" s="400" t="str">
        <f t="shared" si="10"/>
        <v>BB01-1</v>
      </c>
      <c r="I108" s="390">
        <v>1</v>
      </c>
      <c r="J108" s="473"/>
      <c r="K108" s="413">
        <v>1</v>
      </c>
      <c r="L108" s="572" t="s">
        <v>193</v>
      </c>
      <c r="M108" s="395"/>
      <c r="N108" s="395"/>
      <c r="O108" s="395"/>
      <c r="P108" s="395"/>
      <c r="Q108" s="395"/>
      <c r="R108" s="395"/>
      <c r="S108" s="395"/>
      <c r="T108" s="395"/>
      <c r="U108" s="395"/>
      <c r="V108" s="395"/>
      <c r="W108" s="413"/>
      <c r="X108" s="395"/>
      <c r="Y108" s="395"/>
      <c r="Z108" s="395"/>
      <c r="AA108" s="395"/>
      <c r="AB108" s="395"/>
      <c r="AC108" s="395"/>
      <c r="AD108" s="395"/>
      <c r="AE108" s="395"/>
      <c r="AF108" s="395"/>
      <c r="AG108" s="395"/>
      <c r="AH108" s="395"/>
      <c r="AI108" s="413"/>
      <c r="AJ108" s="392"/>
      <c r="AK108" s="405"/>
      <c r="AL108" s="395"/>
      <c r="AM108" s="395"/>
      <c r="AN108" s="395"/>
      <c r="AO108" s="395"/>
      <c r="AP108" s="401"/>
      <c r="AQ108" s="405"/>
      <c r="AR108" s="405"/>
      <c r="AS108" s="405"/>
      <c r="AT108" s="405"/>
    </row>
    <row r="109" spans="1:46" s="407" customFormat="1" ht="12" customHeight="1" outlineLevel="2">
      <c r="A109" s="415"/>
      <c r="B109" s="549"/>
      <c r="C109" s="387"/>
      <c r="D109" s="462" t="s">
        <v>326</v>
      </c>
      <c r="E109" s="388" t="s">
        <v>327</v>
      </c>
      <c r="F109" s="473"/>
      <c r="G109" s="386" t="s">
        <v>48</v>
      </c>
      <c r="H109" s="400" t="str">
        <f t="shared" si="10"/>
        <v>BB01-1</v>
      </c>
      <c r="I109" s="390">
        <v>1</v>
      </c>
      <c r="J109" s="473"/>
      <c r="K109" s="413">
        <v>1</v>
      </c>
      <c r="L109" s="572" t="s">
        <v>193</v>
      </c>
      <c r="M109" s="395"/>
      <c r="N109" s="395"/>
      <c r="O109" s="395"/>
      <c r="P109" s="395"/>
      <c r="Q109" s="395"/>
      <c r="R109" s="395"/>
      <c r="S109" s="395"/>
      <c r="T109" s="395"/>
      <c r="U109" s="395"/>
      <c r="V109" s="395"/>
      <c r="W109" s="413"/>
      <c r="X109" s="395"/>
      <c r="Y109" s="395"/>
      <c r="Z109" s="395"/>
      <c r="AA109" s="395"/>
      <c r="AB109" s="395"/>
      <c r="AC109" s="395"/>
      <c r="AD109" s="395"/>
      <c r="AE109" s="395"/>
      <c r="AF109" s="395"/>
      <c r="AG109" s="395"/>
      <c r="AH109" s="395"/>
      <c r="AI109" s="413"/>
      <c r="AJ109" s="392"/>
      <c r="AK109" s="405"/>
      <c r="AL109" s="395"/>
      <c r="AM109" s="395"/>
      <c r="AN109" s="395"/>
      <c r="AO109" s="395"/>
      <c r="AP109" s="401"/>
      <c r="AQ109" s="405"/>
      <c r="AR109" s="405"/>
      <c r="AS109" s="405"/>
      <c r="AT109" s="405"/>
    </row>
    <row r="110" spans="1:46" s="407" customFormat="1" ht="12" customHeight="1" outlineLevel="2">
      <c r="A110" s="415"/>
      <c r="B110" s="549"/>
      <c r="C110" s="387"/>
      <c r="D110" s="462" t="s">
        <v>328</v>
      </c>
      <c r="E110" s="388" t="s">
        <v>329</v>
      </c>
      <c r="F110" s="473"/>
      <c r="G110" s="386" t="s">
        <v>48</v>
      </c>
      <c r="H110" s="400" t="str">
        <f t="shared" si="10"/>
        <v>BB01-1</v>
      </c>
      <c r="I110" s="390">
        <v>1</v>
      </c>
      <c r="J110" s="473"/>
      <c r="K110" s="413">
        <v>1</v>
      </c>
      <c r="L110" s="572" t="s">
        <v>193</v>
      </c>
      <c r="M110" s="395"/>
      <c r="N110" s="395"/>
      <c r="O110" s="395"/>
      <c r="P110" s="395"/>
      <c r="Q110" s="395"/>
      <c r="R110" s="395"/>
      <c r="S110" s="395"/>
      <c r="T110" s="395"/>
      <c r="U110" s="395"/>
      <c r="V110" s="395"/>
      <c r="W110" s="413"/>
      <c r="X110" s="395"/>
      <c r="Y110" s="395"/>
      <c r="Z110" s="395"/>
      <c r="AA110" s="395"/>
      <c r="AB110" s="395"/>
      <c r="AC110" s="395"/>
      <c r="AD110" s="395"/>
      <c r="AE110" s="395"/>
      <c r="AF110" s="395"/>
      <c r="AG110" s="395"/>
      <c r="AH110" s="395"/>
      <c r="AI110" s="413"/>
      <c r="AJ110" s="392"/>
      <c r="AK110" s="405"/>
      <c r="AL110" s="395"/>
      <c r="AM110" s="395"/>
      <c r="AN110" s="395"/>
      <c r="AO110" s="395"/>
      <c r="AP110" s="401"/>
      <c r="AQ110" s="405"/>
      <c r="AR110" s="405"/>
      <c r="AS110" s="405"/>
      <c r="AT110" s="405"/>
    </row>
    <row r="111" spans="1:46" s="407" customFormat="1" ht="12" customHeight="1" outlineLevel="2">
      <c r="A111" s="415"/>
      <c r="B111" s="549"/>
      <c r="C111" s="387"/>
      <c r="D111" s="462" t="s">
        <v>328</v>
      </c>
      <c r="E111" s="388" t="s">
        <v>329</v>
      </c>
      <c r="F111" s="473"/>
      <c r="G111" s="386" t="s">
        <v>48</v>
      </c>
      <c r="H111" s="400" t="str">
        <f t="shared" si="10"/>
        <v>BB01-1</v>
      </c>
      <c r="I111" s="390">
        <v>1</v>
      </c>
      <c r="J111" s="473"/>
      <c r="K111" s="413">
        <v>1</v>
      </c>
      <c r="L111" s="572" t="s">
        <v>193</v>
      </c>
      <c r="M111" s="395"/>
      <c r="N111" s="395"/>
      <c r="O111" s="395"/>
      <c r="P111" s="395"/>
      <c r="Q111" s="395"/>
      <c r="R111" s="395"/>
      <c r="S111" s="395"/>
      <c r="T111" s="395"/>
      <c r="U111" s="395"/>
      <c r="V111" s="395"/>
      <c r="W111" s="413"/>
      <c r="X111" s="395"/>
      <c r="Y111" s="395"/>
      <c r="Z111" s="395"/>
      <c r="AA111" s="395"/>
      <c r="AB111" s="395"/>
      <c r="AC111" s="395"/>
      <c r="AD111" s="395"/>
      <c r="AE111" s="395"/>
      <c r="AF111" s="395"/>
      <c r="AG111" s="395"/>
      <c r="AH111" s="395"/>
      <c r="AI111" s="413"/>
      <c r="AJ111" s="392"/>
      <c r="AK111" s="405"/>
      <c r="AL111" s="395"/>
      <c r="AM111" s="395"/>
      <c r="AN111" s="395"/>
      <c r="AO111" s="395"/>
      <c r="AP111" s="401"/>
      <c r="AQ111" s="405"/>
      <c r="AR111" s="405"/>
      <c r="AS111" s="405"/>
      <c r="AT111" s="405"/>
    </row>
    <row r="112" spans="1:46" s="407" customFormat="1" ht="12" customHeight="1" outlineLevel="2">
      <c r="A112" s="415"/>
      <c r="B112" s="549"/>
      <c r="C112" s="387"/>
      <c r="D112" s="462" t="s">
        <v>330</v>
      </c>
      <c r="E112" s="388" t="s">
        <v>331</v>
      </c>
      <c r="F112" s="473"/>
      <c r="G112" s="386" t="s">
        <v>48</v>
      </c>
      <c r="H112" s="400" t="str">
        <f t="shared" si="10"/>
        <v>BB01-1</v>
      </c>
      <c r="I112" s="390">
        <v>1</v>
      </c>
      <c r="J112" s="473"/>
      <c r="K112" s="413">
        <v>1</v>
      </c>
      <c r="L112" s="572" t="s">
        <v>193</v>
      </c>
      <c r="M112" s="395"/>
      <c r="N112" s="395"/>
      <c r="O112" s="395"/>
      <c r="P112" s="395"/>
      <c r="Q112" s="395"/>
      <c r="R112" s="395"/>
      <c r="S112" s="395"/>
      <c r="T112" s="395"/>
      <c r="U112" s="395"/>
      <c r="V112" s="395"/>
      <c r="W112" s="413"/>
      <c r="X112" s="395"/>
      <c r="Y112" s="395"/>
      <c r="Z112" s="395"/>
      <c r="AA112" s="395"/>
      <c r="AB112" s="395"/>
      <c r="AC112" s="395"/>
      <c r="AD112" s="395"/>
      <c r="AE112" s="395"/>
      <c r="AF112" s="395"/>
      <c r="AG112" s="395"/>
      <c r="AH112" s="395"/>
      <c r="AI112" s="413"/>
      <c r="AJ112" s="392"/>
      <c r="AK112" s="405"/>
      <c r="AL112" s="395"/>
      <c r="AM112" s="395"/>
      <c r="AN112" s="395"/>
      <c r="AO112" s="395"/>
      <c r="AP112" s="401"/>
      <c r="AQ112" s="405"/>
      <c r="AR112" s="405"/>
      <c r="AS112" s="405"/>
      <c r="AT112" s="405"/>
    </row>
    <row r="113" spans="1:46" s="407" customFormat="1" ht="12" customHeight="1" outlineLevel="2">
      <c r="A113" s="415"/>
      <c r="B113" s="549"/>
      <c r="C113" s="387"/>
      <c r="D113" s="462" t="s">
        <v>330</v>
      </c>
      <c r="E113" s="388" t="s">
        <v>331</v>
      </c>
      <c r="F113" s="473"/>
      <c r="G113" s="386" t="s">
        <v>48</v>
      </c>
      <c r="H113" s="400" t="str">
        <f t="shared" si="10"/>
        <v>BB01-1</v>
      </c>
      <c r="I113" s="390">
        <v>1</v>
      </c>
      <c r="J113" s="473"/>
      <c r="K113" s="413">
        <v>1</v>
      </c>
      <c r="L113" s="572" t="s">
        <v>193</v>
      </c>
      <c r="M113" s="395"/>
      <c r="N113" s="395"/>
      <c r="O113" s="395"/>
      <c r="P113" s="395"/>
      <c r="Q113" s="395"/>
      <c r="R113" s="395"/>
      <c r="S113" s="395"/>
      <c r="T113" s="395"/>
      <c r="U113" s="395"/>
      <c r="V113" s="395"/>
      <c r="W113" s="413"/>
      <c r="X113" s="395"/>
      <c r="Y113" s="395"/>
      <c r="Z113" s="395"/>
      <c r="AA113" s="395"/>
      <c r="AB113" s="395"/>
      <c r="AC113" s="395"/>
      <c r="AD113" s="395"/>
      <c r="AE113" s="395"/>
      <c r="AF113" s="395"/>
      <c r="AG113" s="395"/>
      <c r="AH113" s="395"/>
      <c r="AI113" s="413"/>
      <c r="AJ113" s="392"/>
      <c r="AK113" s="405"/>
      <c r="AL113" s="395"/>
      <c r="AM113" s="395"/>
      <c r="AN113" s="395"/>
      <c r="AO113" s="395"/>
      <c r="AP113" s="401"/>
      <c r="AQ113" s="405"/>
      <c r="AR113" s="405"/>
      <c r="AS113" s="405"/>
      <c r="AT113" s="405"/>
    </row>
    <row r="114" spans="1:46" s="407" customFormat="1" ht="12" customHeight="1" outlineLevel="2">
      <c r="A114" s="415"/>
      <c r="B114" s="549"/>
      <c r="C114" s="387"/>
      <c r="D114" s="462" t="s">
        <v>332</v>
      </c>
      <c r="E114" s="388" t="s">
        <v>333</v>
      </c>
      <c r="F114" s="473"/>
      <c r="G114" s="386" t="s">
        <v>48</v>
      </c>
      <c r="H114" s="400" t="str">
        <f t="shared" si="10"/>
        <v>BB01-1</v>
      </c>
      <c r="I114" s="390">
        <v>1</v>
      </c>
      <c r="J114" s="473"/>
      <c r="K114" s="413">
        <v>1</v>
      </c>
      <c r="L114" s="572" t="s">
        <v>193</v>
      </c>
      <c r="M114" s="395"/>
      <c r="N114" s="395"/>
      <c r="O114" s="395"/>
      <c r="P114" s="395"/>
      <c r="Q114" s="395"/>
      <c r="R114" s="395"/>
      <c r="S114" s="395"/>
      <c r="T114" s="395"/>
      <c r="U114" s="395"/>
      <c r="V114" s="395"/>
      <c r="W114" s="413"/>
      <c r="X114" s="395"/>
      <c r="Y114" s="395"/>
      <c r="Z114" s="395"/>
      <c r="AA114" s="395"/>
      <c r="AB114" s="395"/>
      <c r="AC114" s="395"/>
      <c r="AD114" s="395"/>
      <c r="AE114" s="395"/>
      <c r="AF114" s="395"/>
      <c r="AG114" s="395"/>
      <c r="AH114" s="395"/>
      <c r="AI114" s="413"/>
      <c r="AJ114" s="392"/>
      <c r="AK114" s="405"/>
      <c r="AL114" s="395"/>
      <c r="AM114" s="395"/>
      <c r="AN114" s="395"/>
      <c r="AO114" s="395"/>
      <c r="AP114" s="401"/>
      <c r="AQ114" s="405"/>
      <c r="AR114" s="405"/>
      <c r="AS114" s="405"/>
      <c r="AT114" s="405"/>
    </row>
    <row r="115" spans="1:46" s="407" customFormat="1" ht="12" customHeight="1" outlineLevel="2">
      <c r="A115" s="415"/>
      <c r="B115" s="549"/>
      <c r="C115" s="387"/>
      <c r="D115" s="462" t="s">
        <v>332</v>
      </c>
      <c r="E115" s="388" t="s">
        <v>333</v>
      </c>
      <c r="F115" s="473"/>
      <c r="G115" s="386" t="s">
        <v>48</v>
      </c>
      <c r="H115" s="400" t="str">
        <f t="shared" si="10"/>
        <v>BB01-1</v>
      </c>
      <c r="I115" s="390">
        <v>1</v>
      </c>
      <c r="J115" s="473"/>
      <c r="K115" s="413">
        <v>1</v>
      </c>
      <c r="L115" s="572" t="s">
        <v>193</v>
      </c>
      <c r="M115" s="395"/>
      <c r="N115" s="395"/>
      <c r="O115" s="395"/>
      <c r="P115" s="395"/>
      <c r="Q115" s="395"/>
      <c r="R115" s="395"/>
      <c r="S115" s="395"/>
      <c r="T115" s="395"/>
      <c r="U115" s="395"/>
      <c r="V115" s="395"/>
      <c r="W115" s="413"/>
      <c r="X115" s="395"/>
      <c r="Y115" s="395"/>
      <c r="Z115" s="395"/>
      <c r="AA115" s="395"/>
      <c r="AB115" s="395"/>
      <c r="AC115" s="395"/>
      <c r="AD115" s="395"/>
      <c r="AE115" s="395"/>
      <c r="AF115" s="395"/>
      <c r="AG115" s="395"/>
      <c r="AH115" s="395"/>
      <c r="AI115" s="413"/>
      <c r="AJ115" s="392"/>
      <c r="AK115" s="405"/>
      <c r="AL115" s="395"/>
      <c r="AM115" s="395"/>
      <c r="AN115" s="395"/>
      <c r="AO115" s="395"/>
      <c r="AP115" s="401"/>
      <c r="AQ115" s="405"/>
      <c r="AR115" s="405"/>
      <c r="AS115" s="405"/>
      <c r="AT115" s="405"/>
    </row>
    <row r="116" spans="1:46" s="407" customFormat="1" ht="12" customHeight="1" outlineLevel="2">
      <c r="A116" s="415"/>
      <c r="B116" s="549"/>
      <c r="C116" s="387"/>
      <c r="D116" s="462" t="s">
        <v>334</v>
      </c>
      <c r="E116" s="388" t="s">
        <v>335</v>
      </c>
      <c r="F116" s="473"/>
      <c r="G116" s="386" t="s">
        <v>48</v>
      </c>
      <c r="H116" s="400" t="str">
        <f t="shared" si="10"/>
        <v>BB01-1</v>
      </c>
      <c r="I116" s="390">
        <v>1</v>
      </c>
      <c r="J116" s="473"/>
      <c r="K116" s="413">
        <v>1</v>
      </c>
      <c r="L116" s="572" t="s">
        <v>193</v>
      </c>
      <c r="M116" s="395"/>
      <c r="N116" s="395"/>
      <c r="O116" s="395"/>
      <c r="P116" s="395"/>
      <c r="Q116" s="395"/>
      <c r="R116" s="395"/>
      <c r="S116" s="395"/>
      <c r="T116" s="395"/>
      <c r="U116" s="395"/>
      <c r="V116" s="395"/>
      <c r="W116" s="413"/>
      <c r="X116" s="395"/>
      <c r="Y116" s="395"/>
      <c r="Z116" s="395"/>
      <c r="AA116" s="395"/>
      <c r="AB116" s="395"/>
      <c r="AC116" s="395"/>
      <c r="AD116" s="395"/>
      <c r="AE116" s="395"/>
      <c r="AF116" s="395"/>
      <c r="AG116" s="395"/>
      <c r="AH116" s="395"/>
      <c r="AI116" s="413"/>
      <c r="AJ116" s="392"/>
      <c r="AK116" s="405"/>
      <c r="AL116" s="395"/>
      <c r="AM116" s="395"/>
      <c r="AN116" s="395"/>
      <c r="AO116" s="395"/>
      <c r="AP116" s="401"/>
      <c r="AQ116" s="405"/>
      <c r="AR116" s="405"/>
      <c r="AS116" s="405"/>
      <c r="AT116" s="405"/>
    </row>
    <row r="117" spans="1:46" s="407" customFormat="1" ht="12" customHeight="1" outlineLevel="2">
      <c r="A117" s="415"/>
      <c r="B117" s="549"/>
      <c r="C117" s="387"/>
      <c r="D117" s="462" t="s">
        <v>334</v>
      </c>
      <c r="E117" s="388" t="s">
        <v>335</v>
      </c>
      <c r="F117" s="473"/>
      <c r="G117" s="386" t="s">
        <v>48</v>
      </c>
      <c r="H117" s="400" t="str">
        <f t="shared" si="10"/>
        <v>BB01-1</v>
      </c>
      <c r="I117" s="390">
        <v>1</v>
      </c>
      <c r="J117" s="473"/>
      <c r="K117" s="413">
        <v>1</v>
      </c>
      <c r="L117" s="572" t="s">
        <v>193</v>
      </c>
      <c r="M117" s="395"/>
      <c r="N117" s="395"/>
      <c r="O117" s="395"/>
      <c r="P117" s="395"/>
      <c r="Q117" s="395"/>
      <c r="R117" s="395"/>
      <c r="S117" s="395"/>
      <c r="T117" s="395"/>
      <c r="U117" s="395"/>
      <c r="V117" s="395"/>
      <c r="W117" s="413"/>
      <c r="X117" s="395"/>
      <c r="Y117" s="395"/>
      <c r="Z117" s="395"/>
      <c r="AA117" s="395"/>
      <c r="AB117" s="395"/>
      <c r="AC117" s="395"/>
      <c r="AD117" s="395"/>
      <c r="AE117" s="395"/>
      <c r="AF117" s="395"/>
      <c r="AG117" s="395"/>
      <c r="AH117" s="395"/>
      <c r="AI117" s="413"/>
      <c r="AJ117" s="392"/>
      <c r="AK117" s="405"/>
      <c r="AL117" s="395"/>
      <c r="AM117" s="395"/>
      <c r="AN117" s="395"/>
      <c r="AO117" s="395"/>
      <c r="AP117" s="401"/>
      <c r="AQ117" s="405"/>
      <c r="AR117" s="405"/>
      <c r="AS117" s="405"/>
      <c r="AT117" s="405"/>
    </row>
    <row r="118" spans="1:46" s="407" customFormat="1" ht="12" customHeight="1" outlineLevel="2">
      <c r="A118" s="415"/>
      <c r="B118" s="549"/>
      <c r="C118" s="387"/>
      <c r="D118" s="462" t="s">
        <v>336</v>
      </c>
      <c r="E118" s="388" t="s">
        <v>337</v>
      </c>
      <c r="F118" s="473"/>
      <c r="G118" s="386" t="s">
        <v>48</v>
      </c>
      <c r="H118" s="400" t="str">
        <f t="shared" si="10"/>
        <v>BB01-1</v>
      </c>
      <c r="I118" s="390">
        <v>1</v>
      </c>
      <c r="J118" s="473"/>
      <c r="K118" s="413">
        <v>1</v>
      </c>
      <c r="L118" s="572" t="s">
        <v>193</v>
      </c>
      <c r="M118" s="395"/>
      <c r="N118" s="395"/>
      <c r="O118" s="395"/>
      <c r="P118" s="395"/>
      <c r="Q118" s="395"/>
      <c r="R118" s="395"/>
      <c r="S118" s="395"/>
      <c r="T118" s="395"/>
      <c r="U118" s="395"/>
      <c r="V118" s="395"/>
      <c r="W118" s="413"/>
      <c r="X118" s="395"/>
      <c r="Y118" s="395"/>
      <c r="Z118" s="395"/>
      <c r="AA118" s="395"/>
      <c r="AB118" s="395"/>
      <c r="AC118" s="395"/>
      <c r="AD118" s="395"/>
      <c r="AE118" s="395"/>
      <c r="AF118" s="395"/>
      <c r="AG118" s="395"/>
      <c r="AH118" s="395"/>
      <c r="AI118" s="413"/>
      <c r="AJ118" s="392"/>
      <c r="AK118" s="405"/>
      <c r="AL118" s="395"/>
      <c r="AM118" s="395"/>
      <c r="AN118" s="395"/>
      <c r="AO118" s="395"/>
      <c r="AP118" s="401"/>
      <c r="AQ118" s="405"/>
      <c r="AR118" s="405"/>
      <c r="AS118" s="405"/>
      <c r="AT118" s="405"/>
    </row>
    <row r="119" spans="1:46" s="407" customFormat="1" ht="12" customHeight="1" outlineLevel="2">
      <c r="A119" s="415"/>
      <c r="B119" s="549"/>
      <c r="C119" s="387"/>
      <c r="D119" s="462" t="s">
        <v>336</v>
      </c>
      <c r="E119" s="388" t="s">
        <v>337</v>
      </c>
      <c r="F119" s="473"/>
      <c r="G119" s="386" t="s">
        <v>48</v>
      </c>
      <c r="H119" s="400" t="str">
        <f t="shared" si="10"/>
        <v>BB01-1</v>
      </c>
      <c r="I119" s="390">
        <v>1</v>
      </c>
      <c r="J119" s="473"/>
      <c r="K119" s="413">
        <v>1</v>
      </c>
      <c r="L119" s="572" t="s">
        <v>193</v>
      </c>
      <c r="M119" s="395"/>
      <c r="N119" s="395"/>
      <c r="O119" s="395"/>
      <c r="P119" s="395"/>
      <c r="Q119" s="395"/>
      <c r="R119" s="395"/>
      <c r="S119" s="395"/>
      <c r="T119" s="395"/>
      <c r="U119" s="395"/>
      <c r="V119" s="395"/>
      <c r="W119" s="413"/>
      <c r="X119" s="395"/>
      <c r="Y119" s="395"/>
      <c r="Z119" s="395"/>
      <c r="AA119" s="395"/>
      <c r="AB119" s="395"/>
      <c r="AC119" s="395"/>
      <c r="AD119" s="395"/>
      <c r="AE119" s="395"/>
      <c r="AF119" s="395"/>
      <c r="AG119" s="395"/>
      <c r="AH119" s="395"/>
      <c r="AI119" s="413"/>
      <c r="AJ119" s="392"/>
      <c r="AK119" s="405"/>
      <c r="AL119" s="395"/>
      <c r="AM119" s="395"/>
      <c r="AN119" s="395"/>
      <c r="AO119" s="395"/>
      <c r="AP119" s="401"/>
      <c r="AQ119" s="405"/>
      <c r="AR119" s="405"/>
      <c r="AS119" s="405"/>
      <c r="AT119" s="405"/>
    </row>
    <row r="120" spans="1:46" s="407" customFormat="1" ht="12" customHeight="1" outlineLevel="2">
      <c r="A120" s="415"/>
      <c r="B120" s="549"/>
      <c r="C120" s="387"/>
      <c r="D120" s="462" t="s">
        <v>338</v>
      </c>
      <c r="E120" s="388" t="s">
        <v>339</v>
      </c>
      <c r="F120" s="473"/>
      <c r="G120" s="386" t="s">
        <v>48</v>
      </c>
      <c r="H120" s="400" t="str">
        <f t="shared" si="10"/>
        <v>BB01-1</v>
      </c>
      <c r="I120" s="390">
        <v>1</v>
      </c>
      <c r="J120" s="473"/>
      <c r="K120" s="413">
        <v>1</v>
      </c>
      <c r="L120" s="572" t="s">
        <v>193</v>
      </c>
      <c r="M120" s="395"/>
      <c r="N120" s="395"/>
      <c r="O120" s="395"/>
      <c r="P120" s="395"/>
      <c r="Q120" s="395"/>
      <c r="R120" s="395"/>
      <c r="S120" s="395"/>
      <c r="T120" s="395"/>
      <c r="U120" s="395"/>
      <c r="V120" s="395"/>
      <c r="W120" s="413"/>
      <c r="X120" s="395"/>
      <c r="Y120" s="395"/>
      <c r="Z120" s="395"/>
      <c r="AA120" s="395"/>
      <c r="AB120" s="395"/>
      <c r="AC120" s="395"/>
      <c r="AD120" s="395"/>
      <c r="AE120" s="395"/>
      <c r="AF120" s="395"/>
      <c r="AG120" s="395"/>
      <c r="AH120" s="395"/>
      <c r="AI120" s="413"/>
      <c r="AJ120" s="392"/>
      <c r="AK120" s="405"/>
      <c r="AL120" s="395"/>
      <c r="AM120" s="395"/>
      <c r="AN120" s="395"/>
      <c r="AO120" s="395"/>
      <c r="AP120" s="401"/>
      <c r="AQ120" s="405"/>
      <c r="AR120" s="405"/>
      <c r="AS120" s="405"/>
      <c r="AT120" s="405"/>
    </row>
    <row r="121" spans="1:46" s="407" customFormat="1" ht="12" customHeight="1" outlineLevel="2">
      <c r="A121" s="415"/>
      <c r="B121" s="549"/>
      <c r="C121" s="387"/>
      <c r="D121" s="462" t="s">
        <v>338</v>
      </c>
      <c r="E121" s="388" t="s">
        <v>339</v>
      </c>
      <c r="F121" s="473"/>
      <c r="G121" s="386" t="s">
        <v>48</v>
      </c>
      <c r="H121" s="400" t="str">
        <f t="shared" si="10"/>
        <v>BB01-1</v>
      </c>
      <c r="I121" s="390">
        <v>1</v>
      </c>
      <c r="J121" s="473"/>
      <c r="K121" s="413">
        <v>1</v>
      </c>
      <c r="L121" s="572" t="s">
        <v>193</v>
      </c>
      <c r="M121" s="395"/>
      <c r="N121" s="395"/>
      <c r="O121" s="395"/>
      <c r="P121" s="395"/>
      <c r="Q121" s="395"/>
      <c r="R121" s="395"/>
      <c r="S121" s="395"/>
      <c r="T121" s="395"/>
      <c r="U121" s="395"/>
      <c r="V121" s="395"/>
      <c r="W121" s="413"/>
      <c r="X121" s="395"/>
      <c r="Y121" s="395"/>
      <c r="Z121" s="395"/>
      <c r="AA121" s="395"/>
      <c r="AB121" s="395"/>
      <c r="AC121" s="395"/>
      <c r="AD121" s="395"/>
      <c r="AE121" s="395"/>
      <c r="AF121" s="395"/>
      <c r="AG121" s="395"/>
      <c r="AH121" s="395"/>
      <c r="AI121" s="413"/>
      <c r="AJ121" s="392"/>
      <c r="AK121" s="405"/>
      <c r="AL121" s="395"/>
      <c r="AM121" s="395"/>
      <c r="AN121" s="395"/>
      <c r="AO121" s="395"/>
      <c r="AP121" s="401"/>
      <c r="AQ121" s="405"/>
      <c r="AR121" s="405"/>
      <c r="AS121" s="405"/>
      <c r="AT121" s="405"/>
    </row>
    <row r="122" spans="1:46" s="407" customFormat="1" ht="12" customHeight="1" outlineLevel="2">
      <c r="A122" s="415"/>
      <c r="B122" s="549"/>
      <c r="C122" s="387"/>
      <c r="D122" s="462" t="s">
        <v>340</v>
      </c>
      <c r="E122" s="388" t="s">
        <v>341</v>
      </c>
      <c r="F122" s="473"/>
      <c r="G122" s="386" t="s">
        <v>48</v>
      </c>
      <c r="H122" s="400" t="str">
        <f t="shared" si="10"/>
        <v>BB01-1</v>
      </c>
      <c r="I122" s="390">
        <v>1</v>
      </c>
      <c r="J122" s="473"/>
      <c r="K122" s="413">
        <v>1</v>
      </c>
      <c r="L122" s="572" t="s">
        <v>193</v>
      </c>
      <c r="M122" s="395"/>
      <c r="N122" s="395"/>
      <c r="O122" s="395"/>
      <c r="P122" s="395"/>
      <c r="Q122" s="395"/>
      <c r="R122" s="395"/>
      <c r="S122" s="395"/>
      <c r="T122" s="395"/>
      <c r="U122" s="395"/>
      <c r="V122" s="395"/>
      <c r="W122" s="413"/>
      <c r="X122" s="395"/>
      <c r="Y122" s="395"/>
      <c r="Z122" s="395"/>
      <c r="AA122" s="395"/>
      <c r="AB122" s="395"/>
      <c r="AC122" s="395"/>
      <c r="AD122" s="395"/>
      <c r="AE122" s="395"/>
      <c r="AF122" s="395"/>
      <c r="AG122" s="395"/>
      <c r="AH122" s="395"/>
      <c r="AI122" s="413"/>
      <c r="AJ122" s="392"/>
      <c r="AK122" s="405"/>
      <c r="AL122" s="395"/>
      <c r="AM122" s="395"/>
      <c r="AN122" s="395"/>
      <c r="AO122" s="395"/>
      <c r="AP122" s="401"/>
      <c r="AQ122" s="405"/>
      <c r="AR122" s="405"/>
      <c r="AS122" s="405"/>
      <c r="AT122" s="405"/>
    </row>
    <row r="123" spans="1:46" s="407" customFormat="1" ht="12" customHeight="1" outlineLevel="2">
      <c r="A123" s="415"/>
      <c r="B123" s="549"/>
      <c r="C123" s="387"/>
      <c r="D123" s="462" t="s">
        <v>340</v>
      </c>
      <c r="E123" s="388" t="s">
        <v>341</v>
      </c>
      <c r="F123" s="473"/>
      <c r="G123" s="386" t="s">
        <v>48</v>
      </c>
      <c r="H123" s="400" t="str">
        <f t="shared" si="10"/>
        <v>BB01-1</v>
      </c>
      <c r="I123" s="390">
        <v>1</v>
      </c>
      <c r="J123" s="473"/>
      <c r="K123" s="413">
        <v>1</v>
      </c>
      <c r="L123" s="572" t="s">
        <v>193</v>
      </c>
      <c r="M123" s="395"/>
      <c r="N123" s="395"/>
      <c r="O123" s="395"/>
      <c r="P123" s="395"/>
      <c r="Q123" s="395"/>
      <c r="R123" s="395"/>
      <c r="S123" s="395"/>
      <c r="T123" s="395"/>
      <c r="U123" s="395"/>
      <c r="V123" s="395"/>
      <c r="W123" s="413"/>
      <c r="X123" s="395"/>
      <c r="Y123" s="395"/>
      <c r="Z123" s="395"/>
      <c r="AA123" s="395"/>
      <c r="AB123" s="395"/>
      <c r="AC123" s="395"/>
      <c r="AD123" s="395"/>
      <c r="AE123" s="395"/>
      <c r="AF123" s="395"/>
      <c r="AG123" s="395"/>
      <c r="AH123" s="395"/>
      <c r="AI123" s="413"/>
      <c r="AJ123" s="392"/>
      <c r="AK123" s="405"/>
      <c r="AL123" s="395"/>
      <c r="AM123" s="395"/>
      <c r="AN123" s="395"/>
      <c r="AO123" s="395"/>
      <c r="AP123" s="401"/>
      <c r="AQ123" s="405"/>
      <c r="AR123" s="405"/>
      <c r="AS123" s="405"/>
      <c r="AT123" s="405"/>
    </row>
    <row r="124" spans="1:46" s="407" customFormat="1" ht="12" customHeight="1" outlineLevel="2">
      <c r="A124" s="415"/>
      <c r="B124" s="549"/>
      <c r="C124" s="387"/>
      <c r="D124" s="462" t="s">
        <v>342</v>
      </c>
      <c r="E124" s="388" t="s">
        <v>343</v>
      </c>
      <c r="F124" s="473"/>
      <c r="G124" s="386" t="s">
        <v>48</v>
      </c>
      <c r="H124" s="400" t="str">
        <f t="shared" si="10"/>
        <v>BB01-1</v>
      </c>
      <c r="I124" s="390">
        <v>1</v>
      </c>
      <c r="J124" s="473"/>
      <c r="K124" s="413">
        <v>1</v>
      </c>
      <c r="L124" s="572" t="s">
        <v>193</v>
      </c>
      <c r="M124" s="395"/>
      <c r="N124" s="395"/>
      <c r="O124" s="395"/>
      <c r="P124" s="395"/>
      <c r="Q124" s="395"/>
      <c r="R124" s="395"/>
      <c r="S124" s="395"/>
      <c r="T124" s="395"/>
      <c r="U124" s="395"/>
      <c r="V124" s="395"/>
      <c r="W124" s="413"/>
      <c r="X124" s="395"/>
      <c r="Y124" s="395"/>
      <c r="Z124" s="395"/>
      <c r="AA124" s="395"/>
      <c r="AB124" s="395"/>
      <c r="AC124" s="395"/>
      <c r="AD124" s="395"/>
      <c r="AE124" s="395"/>
      <c r="AF124" s="395"/>
      <c r="AG124" s="395"/>
      <c r="AH124" s="395"/>
      <c r="AI124" s="413"/>
      <c r="AJ124" s="392"/>
      <c r="AK124" s="405"/>
      <c r="AL124" s="395"/>
      <c r="AM124" s="395"/>
      <c r="AN124" s="395"/>
      <c r="AO124" s="395"/>
      <c r="AP124" s="401"/>
      <c r="AQ124" s="405"/>
      <c r="AR124" s="405"/>
      <c r="AS124" s="405"/>
      <c r="AT124" s="405"/>
    </row>
    <row r="125" spans="1:46" s="407" customFormat="1" ht="12" customHeight="1" outlineLevel="2">
      <c r="A125" s="415"/>
      <c r="B125" s="549"/>
      <c r="C125" s="387"/>
      <c r="D125" s="462" t="s">
        <v>342</v>
      </c>
      <c r="E125" s="388" t="s">
        <v>343</v>
      </c>
      <c r="F125" s="473"/>
      <c r="G125" s="386" t="s">
        <v>48</v>
      </c>
      <c r="H125" s="400" t="str">
        <f t="shared" si="10"/>
        <v>BB01-1</v>
      </c>
      <c r="I125" s="390">
        <v>1</v>
      </c>
      <c r="J125" s="473"/>
      <c r="K125" s="413">
        <v>1</v>
      </c>
      <c r="L125" s="572" t="s">
        <v>193</v>
      </c>
      <c r="M125" s="395"/>
      <c r="N125" s="395"/>
      <c r="O125" s="395"/>
      <c r="P125" s="395"/>
      <c r="Q125" s="395"/>
      <c r="R125" s="395"/>
      <c r="S125" s="395"/>
      <c r="T125" s="395"/>
      <c r="U125" s="395"/>
      <c r="V125" s="395"/>
      <c r="W125" s="413"/>
      <c r="X125" s="395"/>
      <c r="Y125" s="395"/>
      <c r="Z125" s="395"/>
      <c r="AA125" s="395"/>
      <c r="AB125" s="395"/>
      <c r="AC125" s="395"/>
      <c r="AD125" s="395"/>
      <c r="AE125" s="395"/>
      <c r="AF125" s="395"/>
      <c r="AG125" s="395"/>
      <c r="AH125" s="395"/>
      <c r="AI125" s="413"/>
      <c r="AJ125" s="392"/>
      <c r="AK125" s="405"/>
      <c r="AL125" s="395"/>
      <c r="AM125" s="395"/>
      <c r="AN125" s="395"/>
      <c r="AO125" s="395"/>
      <c r="AP125" s="401"/>
      <c r="AQ125" s="405"/>
      <c r="AR125" s="405"/>
      <c r="AS125" s="405"/>
      <c r="AT125" s="405"/>
    </row>
    <row r="126" spans="1:46" s="407" customFormat="1" ht="12" customHeight="1" outlineLevel="2">
      <c r="A126" s="415"/>
      <c r="B126" s="549"/>
      <c r="C126" s="387"/>
      <c r="D126" s="462" t="s">
        <v>344</v>
      </c>
      <c r="E126" s="388" t="s">
        <v>345</v>
      </c>
      <c r="F126" s="473"/>
      <c r="G126" s="386" t="s">
        <v>48</v>
      </c>
      <c r="H126" s="400" t="str">
        <f t="shared" si="10"/>
        <v>BB01-1</v>
      </c>
      <c r="I126" s="390">
        <v>1</v>
      </c>
      <c r="J126" s="473"/>
      <c r="K126" s="413">
        <v>1</v>
      </c>
      <c r="L126" s="572" t="s">
        <v>193</v>
      </c>
      <c r="M126" s="395"/>
      <c r="N126" s="395"/>
      <c r="O126" s="395"/>
      <c r="P126" s="395"/>
      <c r="Q126" s="395"/>
      <c r="R126" s="395"/>
      <c r="S126" s="395"/>
      <c r="T126" s="395"/>
      <c r="U126" s="395"/>
      <c r="V126" s="395"/>
      <c r="W126" s="413"/>
      <c r="X126" s="395"/>
      <c r="Y126" s="395"/>
      <c r="Z126" s="395"/>
      <c r="AA126" s="395"/>
      <c r="AB126" s="395"/>
      <c r="AC126" s="395"/>
      <c r="AD126" s="395"/>
      <c r="AE126" s="395"/>
      <c r="AF126" s="395"/>
      <c r="AG126" s="395"/>
      <c r="AH126" s="395"/>
      <c r="AI126" s="413"/>
      <c r="AJ126" s="392"/>
      <c r="AK126" s="405"/>
      <c r="AL126" s="395"/>
      <c r="AM126" s="395"/>
      <c r="AN126" s="395"/>
      <c r="AO126" s="395"/>
      <c r="AP126" s="401"/>
      <c r="AQ126" s="405"/>
      <c r="AR126" s="405"/>
      <c r="AS126" s="405"/>
      <c r="AT126" s="405"/>
    </row>
    <row r="127" spans="1:46" s="407" customFormat="1" ht="12" customHeight="1" outlineLevel="2">
      <c r="A127" s="415"/>
      <c r="B127" s="549"/>
      <c r="C127" s="387"/>
      <c r="D127" s="462" t="s">
        <v>344</v>
      </c>
      <c r="E127" s="388" t="s">
        <v>345</v>
      </c>
      <c r="F127" s="473"/>
      <c r="G127" s="386" t="s">
        <v>48</v>
      </c>
      <c r="H127" s="400" t="str">
        <f t="shared" si="10"/>
        <v>BB01-1</v>
      </c>
      <c r="I127" s="390">
        <v>1</v>
      </c>
      <c r="J127" s="473"/>
      <c r="K127" s="413">
        <v>1</v>
      </c>
      <c r="L127" s="572" t="s">
        <v>193</v>
      </c>
      <c r="M127" s="395"/>
      <c r="N127" s="395"/>
      <c r="O127" s="395"/>
      <c r="P127" s="395"/>
      <c r="Q127" s="395"/>
      <c r="R127" s="395"/>
      <c r="S127" s="395"/>
      <c r="T127" s="395"/>
      <c r="U127" s="395"/>
      <c r="V127" s="395"/>
      <c r="W127" s="413"/>
      <c r="X127" s="395"/>
      <c r="Y127" s="395"/>
      <c r="Z127" s="395"/>
      <c r="AA127" s="395"/>
      <c r="AB127" s="395"/>
      <c r="AC127" s="395"/>
      <c r="AD127" s="395"/>
      <c r="AE127" s="395"/>
      <c r="AF127" s="395"/>
      <c r="AG127" s="395"/>
      <c r="AH127" s="395"/>
      <c r="AI127" s="413"/>
      <c r="AJ127" s="392"/>
      <c r="AK127" s="405"/>
      <c r="AL127" s="395"/>
      <c r="AM127" s="395"/>
      <c r="AN127" s="395"/>
      <c r="AO127" s="395"/>
      <c r="AP127" s="401"/>
      <c r="AQ127" s="405"/>
      <c r="AR127" s="405"/>
      <c r="AS127" s="405"/>
      <c r="AT127" s="405"/>
    </row>
    <row r="128" spans="1:46" s="407" customFormat="1" ht="12" customHeight="1" outlineLevel="2">
      <c r="A128" s="415"/>
      <c r="B128" s="549"/>
      <c r="C128" s="387"/>
      <c r="D128" s="462" t="s">
        <v>346</v>
      </c>
      <c r="E128" s="388" t="s">
        <v>347</v>
      </c>
      <c r="F128" s="473"/>
      <c r="G128" s="386" t="s">
        <v>48</v>
      </c>
      <c r="H128" s="400" t="str">
        <f t="shared" si="10"/>
        <v>BB01-1</v>
      </c>
      <c r="I128" s="390">
        <v>1</v>
      </c>
      <c r="J128" s="473"/>
      <c r="K128" s="413">
        <v>1</v>
      </c>
      <c r="L128" s="572" t="s">
        <v>193</v>
      </c>
      <c r="M128" s="395"/>
      <c r="N128" s="395"/>
      <c r="O128" s="395"/>
      <c r="P128" s="395"/>
      <c r="Q128" s="395"/>
      <c r="R128" s="395"/>
      <c r="S128" s="395"/>
      <c r="T128" s="395"/>
      <c r="U128" s="395"/>
      <c r="V128" s="395"/>
      <c r="W128" s="413"/>
      <c r="X128" s="395"/>
      <c r="Y128" s="395"/>
      <c r="Z128" s="395"/>
      <c r="AA128" s="395"/>
      <c r="AB128" s="395"/>
      <c r="AC128" s="395"/>
      <c r="AD128" s="395"/>
      <c r="AE128" s="395"/>
      <c r="AF128" s="395"/>
      <c r="AG128" s="395"/>
      <c r="AH128" s="395"/>
      <c r="AI128" s="413"/>
      <c r="AJ128" s="392"/>
      <c r="AK128" s="405"/>
      <c r="AL128" s="395"/>
      <c r="AM128" s="395"/>
      <c r="AN128" s="395"/>
      <c r="AO128" s="395"/>
      <c r="AP128" s="401"/>
      <c r="AQ128" s="405"/>
      <c r="AR128" s="405"/>
      <c r="AS128" s="405"/>
      <c r="AT128" s="405"/>
    </row>
    <row r="129" spans="1:46" s="407" customFormat="1" ht="12" customHeight="1" outlineLevel="2">
      <c r="A129" s="415"/>
      <c r="B129" s="549"/>
      <c r="C129" s="387"/>
      <c r="D129" s="462" t="s">
        <v>346</v>
      </c>
      <c r="E129" s="388" t="s">
        <v>348</v>
      </c>
      <c r="F129" s="473"/>
      <c r="G129" s="386" t="s">
        <v>48</v>
      </c>
      <c r="H129" s="400" t="str">
        <f t="shared" si="10"/>
        <v>BB01-1</v>
      </c>
      <c r="I129" s="390">
        <v>1</v>
      </c>
      <c r="J129" s="473"/>
      <c r="K129" s="413">
        <v>1</v>
      </c>
      <c r="L129" s="572" t="s">
        <v>193</v>
      </c>
      <c r="M129" s="395"/>
      <c r="N129" s="395"/>
      <c r="O129" s="395"/>
      <c r="P129" s="395"/>
      <c r="Q129" s="395"/>
      <c r="R129" s="395"/>
      <c r="S129" s="395"/>
      <c r="T129" s="395"/>
      <c r="U129" s="395"/>
      <c r="V129" s="395"/>
      <c r="W129" s="413"/>
      <c r="X129" s="395"/>
      <c r="Y129" s="395"/>
      <c r="Z129" s="395"/>
      <c r="AA129" s="395"/>
      <c r="AB129" s="395"/>
      <c r="AC129" s="395"/>
      <c r="AD129" s="395"/>
      <c r="AE129" s="395"/>
      <c r="AF129" s="395"/>
      <c r="AG129" s="395"/>
      <c r="AH129" s="395"/>
      <c r="AI129" s="413"/>
      <c r="AJ129" s="392"/>
      <c r="AK129" s="405"/>
      <c r="AL129" s="395"/>
      <c r="AM129" s="395"/>
      <c r="AN129" s="395"/>
      <c r="AO129" s="395"/>
      <c r="AP129" s="401"/>
      <c r="AQ129" s="405"/>
      <c r="AR129" s="405"/>
      <c r="AS129" s="405"/>
      <c r="AT129" s="405"/>
    </row>
    <row r="130" spans="1:46" s="407" customFormat="1" ht="12" customHeight="1" outlineLevel="2">
      <c r="A130" s="415"/>
      <c r="B130" s="549"/>
      <c r="C130" s="387"/>
      <c r="D130" s="462" t="s">
        <v>349</v>
      </c>
      <c r="E130" s="388" t="s">
        <v>350</v>
      </c>
      <c r="F130" s="473"/>
      <c r="G130" s="386" t="s">
        <v>48</v>
      </c>
      <c r="H130" s="400" t="str">
        <f t="shared" si="10"/>
        <v>BB01-1</v>
      </c>
      <c r="I130" s="390">
        <v>1</v>
      </c>
      <c r="J130" s="473"/>
      <c r="K130" s="413">
        <v>1</v>
      </c>
      <c r="L130" s="572" t="s">
        <v>193</v>
      </c>
      <c r="M130" s="395"/>
      <c r="N130" s="395"/>
      <c r="O130" s="395"/>
      <c r="P130" s="395"/>
      <c r="Q130" s="395"/>
      <c r="R130" s="395"/>
      <c r="S130" s="395"/>
      <c r="T130" s="395"/>
      <c r="U130" s="395"/>
      <c r="V130" s="395"/>
      <c r="W130" s="413"/>
      <c r="X130" s="395"/>
      <c r="Y130" s="395"/>
      <c r="Z130" s="395"/>
      <c r="AA130" s="395"/>
      <c r="AB130" s="395"/>
      <c r="AC130" s="395"/>
      <c r="AD130" s="395"/>
      <c r="AE130" s="395"/>
      <c r="AF130" s="395"/>
      <c r="AG130" s="395"/>
      <c r="AH130" s="395"/>
      <c r="AI130" s="413"/>
      <c r="AJ130" s="392"/>
      <c r="AK130" s="405"/>
      <c r="AL130" s="395"/>
      <c r="AM130" s="395"/>
      <c r="AN130" s="395"/>
      <c r="AO130" s="395"/>
      <c r="AP130" s="401"/>
      <c r="AQ130" s="405"/>
      <c r="AR130" s="405"/>
      <c r="AS130" s="405"/>
      <c r="AT130" s="405"/>
    </row>
    <row r="131" spans="1:46" s="407" customFormat="1" ht="12" customHeight="1" outlineLevel="2">
      <c r="A131" s="415"/>
      <c r="B131" s="549"/>
      <c r="C131" s="387"/>
      <c r="D131" s="462" t="s">
        <v>349</v>
      </c>
      <c r="E131" s="388" t="s">
        <v>351</v>
      </c>
      <c r="F131" s="473"/>
      <c r="G131" s="386" t="s">
        <v>48</v>
      </c>
      <c r="H131" s="400" t="str">
        <f t="shared" si="10"/>
        <v>BB01-1</v>
      </c>
      <c r="I131" s="390">
        <v>1</v>
      </c>
      <c r="J131" s="473"/>
      <c r="K131" s="413">
        <v>1</v>
      </c>
      <c r="L131" s="572" t="s">
        <v>193</v>
      </c>
      <c r="M131" s="395"/>
      <c r="N131" s="395"/>
      <c r="O131" s="395"/>
      <c r="P131" s="395"/>
      <c r="Q131" s="395"/>
      <c r="R131" s="395"/>
      <c r="S131" s="395"/>
      <c r="T131" s="395"/>
      <c r="U131" s="395"/>
      <c r="V131" s="395"/>
      <c r="W131" s="413"/>
      <c r="X131" s="395"/>
      <c r="Y131" s="395"/>
      <c r="Z131" s="395"/>
      <c r="AA131" s="395"/>
      <c r="AB131" s="395"/>
      <c r="AC131" s="395"/>
      <c r="AD131" s="395"/>
      <c r="AE131" s="395"/>
      <c r="AF131" s="395"/>
      <c r="AG131" s="395"/>
      <c r="AH131" s="395"/>
      <c r="AI131" s="413"/>
      <c r="AJ131" s="392"/>
      <c r="AK131" s="405"/>
      <c r="AL131" s="395"/>
      <c r="AM131" s="395"/>
      <c r="AN131" s="395"/>
      <c r="AO131" s="395"/>
      <c r="AP131" s="401"/>
      <c r="AQ131" s="405"/>
      <c r="AR131" s="405"/>
      <c r="AS131" s="405"/>
      <c r="AT131" s="405"/>
    </row>
    <row r="132" spans="1:46" s="407" customFormat="1" ht="12" customHeight="1" outlineLevel="2">
      <c r="A132" s="415"/>
      <c r="B132" s="549"/>
      <c r="C132" s="387"/>
      <c r="D132" s="462" t="s">
        <v>352</v>
      </c>
      <c r="E132" s="388" t="s">
        <v>353</v>
      </c>
      <c r="F132" s="473"/>
      <c r="G132" s="386" t="s">
        <v>48</v>
      </c>
      <c r="H132" s="400" t="str">
        <f t="shared" si="10"/>
        <v>BB01-1</v>
      </c>
      <c r="I132" s="390">
        <v>1</v>
      </c>
      <c r="J132" s="473"/>
      <c r="K132" s="413">
        <v>1</v>
      </c>
      <c r="L132" s="572" t="s">
        <v>193</v>
      </c>
      <c r="M132" s="395"/>
      <c r="N132" s="395"/>
      <c r="O132" s="395"/>
      <c r="P132" s="395"/>
      <c r="Q132" s="395"/>
      <c r="R132" s="395"/>
      <c r="S132" s="395"/>
      <c r="T132" s="395"/>
      <c r="U132" s="395"/>
      <c r="V132" s="395"/>
      <c r="W132" s="413"/>
      <c r="X132" s="395"/>
      <c r="Y132" s="395"/>
      <c r="Z132" s="395"/>
      <c r="AA132" s="395"/>
      <c r="AB132" s="395"/>
      <c r="AC132" s="395"/>
      <c r="AD132" s="395"/>
      <c r="AE132" s="395"/>
      <c r="AF132" s="395"/>
      <c r="AG132" s="395"/>
      <c r="AH132" s="395"/>
      <c r="AI132" s="413"/>
      <c r="AJ132" s="392"/>
      <c r="AK132" s="405"/>
      <c r="AL132" s="395"/>
      <c r="AM132" s="395"/>
      <c r="AN132" s="395"/>
      <c r="AO132" s="395"/>
      <c r="AP132" s="401"/>
      <c r="AQ132" s="405"/>
      <c r="AR132" s="405"/>
      <c r="AS132" s="405"/>
      <c r="AT132" s="405"/>
    </row>
    <row r="133" spans="1:46" s="407" customFormat="1" ht="12" customHeight="1" outlineLevel="2">
      <c r="A133" s="415"/>
      <c r="B133" s="549"/>
      <c r="C133" s="387"/>
      <c r="D133" s="462" t="s">
        <v>352</v>
      </c>
      <c r="E133" s="388" t="s">
        <v>354</v>
      </c>
      <c r="F133" s="473"/>
      <c r="G133" s="386" t="s">
        <v>48</v>
      </c>
      <c r="H133" s="400" t="str">
        <f t="shared" si="10"/>
        <v>BB01-1</v>
      </c>
      <c r="I133" s="390">
        <v>1</v>
      </c>
      <c r="J133" s="473"/>
      <c r="K133" s="413">
        <v>1</v>
      </c>
      <c r="L133" s="572" t="s">
        <v>193</v>
      </c>
      <c r="M133" s="395"/>
      <c r="N133" s="395"/>
      <c r="O133" s="395"/>
      <c r="P133" s="395"/>
      <c r="Q133" s="395"/>
      <c r="R133" s="395"/>
      <c r="S133" s="395"/>
      <c r="T133" s="395"/>
      <c r="U133" s="395"/>
      <c r="V133" s="395"/>
      <c r="W133" s="413"/>
      <c r="X133" s="395"/>
      <c r="Y133" s="395"/>
      <c r="Z133" s="395"/>
      <c r="AA133" s="395"/>
      <c r="AB133" s="395"/>
      <c r="AC133" s="395"/>
      <c r="AD133" s="395"/>
      <c r="AE133" s="395"/>
      <c r="AF133" s="395"/>
      <c r="AG133" s="395"/>
      <c r="AH133" s="395"/>
      <c r="AI133" s="413"/>
      <c r="AJ133" s="392"/>
      <c r="AK133" s="405"/>
      <c r="AL133" s="395"/>
      <c r="AM133" s="395"/>
      <c r="AN133" s="395"/>
      <c r="AO133" s="395"/>
      <c r="AP133" s="401"/>
      <c r="AQ133" s="405"/>
      <c r="AR133" s="405"/>
      <c r="AS133" s="405"/>
      <c r="AT133" s="405"/>
    </row>
    <row r="134" spans="1:46" s="407" customFormat="1" ht="12" customHeight="1" outlineLevel="2">
      <c r="A134" s="415"/>
      <c r="B134" s="549"/>
      <c r="C134" s="387"/>
      <c r="D134" s="462" t="s">
        <v>355</v>
      </c>
      <c r="E134" s="388" t="s">
        <v>356</v>
      </c>
      <c r="F134" s="473"/>
      <c r="G134" s="386" t="s">
        <v>48</v>
      </c>
      <c r="H134" s="400" t="str">
        <f t="shared" si="10"/>
        <v>BB01-1</v>
      </c>
      <c r="I134" s="390">
        <v>1</v>
      </c>
      <c r="J134" s="473"/>
      <c r="K134" s="413">
        <v>1</v>
      </c>
      <c r="L134" s="572" t="s">
        <v>193</v>
      </c>
      <c r="M134" s="395"/>
      <c r="N134" s="395"/>
      <c r="O134" s="395"/>
      <c r="P134" s="395"/>
      <c r="Q134" s="395"/>
      <c r="R134" s="395"/>
      <c r="S134" s="395"/>
      <c r="T134" s="395"/>
      <c r="U134" s="395"/>
      <c r="V134" s="395"/>
      <c r="W134" s="413"/>
      <c r="X134" s="395"/>
      <c r="Y134" s="395"/>
      <c r="Z134" s="395"/>
      <c r="AA134" s="395"/>
      <c r="AB134" s="395"/>
      <c r="AC134" s="395"/>
      <c r="AD134" s="395"/>
      <c r="AE134" s="395"/>
      <c r="AF134" s="395"/>
      <c r="AG134" s="395"/>
      <c r="AH134" s="395"/>
      <c r="AI134" s="413"/>
      <c r="AJ134" s="392"/>
      <c r="AK134" s="405"/>
      <c r="AL134" s="395"/>
      <c r="AM134" s="395"/>
      <c r="AN134" s="395"/>
      <c r="AO134" s="395"/>
      <c r="AP134" s="401"/>
      <c r="AQ134" s="405"/>
      <c r="AR134" s="405"/>
      <c r="AS134" s="405"/>
      <c r="AT134" s="405"/>
    </row>
    <row r="135" spans="1:46" s="407" customFormat="1" ht="12" customHeight="1" outlineLevel="2">
      <c r="A135" s="415"/>
      <c r="B135" s="549"/>
      <c r="C135" s="387"/>
      <c r="D135" s="462" t="s">
        <v>355</v>
      </c>
      <c r="E135" s="388" t="s">
        <v>357</v>
      </c>
      <c r="F135" s="473"/>
      <c r="G135" s="386" t="s">
        <v>48</v>
      </c>
      <c r="H135" s="400" t="str">
        <f t="shared" si="10"/>
        <v>BB01-1</v>
      </c>
      <c r="I135" s="390">
        <v>1</v>
      </c>
      <c r="J135" s="473"/>
      <c r="K135" s="413">
        <v>1</v>
      </c>
      <c r="L135" s="572" t="s">
        <v>193</v>
      </c>
      <c r="M135" s="395"/>
      <c r="N135" s="395"/>
      <c r="O135" s="395"/>
      <c r="P135" s="395"/>
      <c r="Q135" s="395"/>
      <c r="R135" s="395"/>
      <c r="S135" s="395"/>
      <c r="T135" s="395"/>
      <c r="U135" s="395"/>
      <c r="V135" s="395"/>
      <c r="W135" s="413"/>
      <c r="X135" s="395"/>
      <c r="Y135" s="395"/>
      <c r="Z135" s="395"/>
      <c r="AA135" s="395"/>
      <c r="AB135" s="395"/>
      <c r="AC135" s="395"/>
      <c r="AD135" s="395"/>
      <c r="AE135" s="395"/>
      <c r="AF135" s="395"/>
      <c r="AG135" s="395"/>
      <c r="AH135" s="395"/>
      <c r="AI135" s="413"/>
      <c r="AJ135" s="392"/>
      <c r="AK135" s="405"/>
      <c r="AL135" s="395"/>
      <c r="AM135" s="395"/>
      <c r="AN135" s="395"/>
      <c r="AO135" s="395"/>
      <c r="AP135" s="401"/>
      <c r="AQ135" s="405"/>
      <c r="AR135" s="405"/>
      <c r="AS135" s="405"/>
      <c r="AT135" s="405"/>
    </row>
    <row r="136" spans="1:46" s="407" customFormat="1" ht="12" customHeight="1" outlineLevel="2">
      <c r="A136" s="415"/>
      <c r="B136" s="549"/>
      <c r="C136" s="387"/>
      <c r="D136" s="462" t="s">
        <v>358</v>
      </c>
      <c r="E136" s="388" t="s">
        <v>359</v>
      </c>
      <c r="F136" s="473"/>
      <c r="G136" s="386" t="s">
        <v>48</v>
      </c>
      <c r="H136" s="400" t="str">
        <f t="shared" si="10"/>
        <v>BB01-1</v>
      </c>
      <c r="I136" s="390">
        <v>1</v>
      </c>
      <c r="J136" s="473"/>
      <c r="K136" s="413">
        <v>1</v>
      </c>
      <c r="L136" s="572" t="s">
        <v>193</v>
      </c>
      <c r="M136" s="395"/>
      <c r="N136" s="395"/>
      <c r="O136" s="395"/>
      <c r="P136" s="395"/>
      <c r="Q136" s="395"/>
      <c r="R136" s="395"/>
      <c r="S136" s="395"/>
      <c r="T136" s="395"/>
      <c r="U136" s="395"/>
      <c r="V136" s="395"/>
      <c r="W136" s="413"/>
      <c r="X136" s="395"/>
      <c r="Y136" s="395"/>
      <c r="Z136" s="395"/>
      <c r="AA136" s="395"/>
      <c r="AB136" s="395"/>
      <c r="AC136" s="395"/>
      <c r="AD136" s="395"/>
      <c r="AE136" s="395"/>
      <c r="AF136" s="395"/>
      <c r="AG136" s="395"/>
      <c r="AH136" s="395"/>
      <c r="AI136" s="413"/>
      <c r="AJ136" s="392"/>
      <c r="AK136" s="405"/>
      <c r="AL136" s="395"/>
      <c r="AM136" s="395"/>
      <c r="AN136" s="395"/>
      <c r="AO136" s="395"/>
      <c r="AP136" s="401"/>
      <c r="AQ136" s="405"/>
      <c r="AR136" s="405"/>
      <c r="AS136" s="405"/>
      <c r="AT136" s="405"/>
    </row>
    <row r="137" spans="1:46" s="407" customFormat="1" ht="12" customHeight="1" outlineLevel="2">
      <c r="A137" s="415"/>
      <c r="B137" s="549"/>
      <c r="C137" s="387"/>
      <c r="D137" s="462" t="s">
        <v>360</v>
      </c>
      <c r="E137" s="388" t="s">
        <v>361</v>
      </c>
      <c r="F137" s="473"/>
      <c r="G137" s="386" t="s">
        <v>48</v>
      </c>
      <c r="H137" s="400" t="str">
        <f t="shared" si="10"/>
        <v>BB01-1</v>
      </c>
      <c r="I137" s="390">
        <v>1</v>
      </c>
      <c r="J137" s="473"/>
      <c r="K137" s="413">
        <v>1</v>
      </c>
      <c r="L137" s="572" t="s">
        <v>193</v>
      </c>
      <c r="M137" s="395"/>
      <c r="N137" s="395"/>
      <c r="O137" s="395"/>
      <c r="P137" s="395"/>
      <c r="Q137" s="395"/>
      <c r="R137" s="395"/>
      <c r="S137" s="395"/>
      <c r="T137" s="395"/>
      <c r="U137" s="395"/>
      <c r="V137" s="395"/>
      <c r="W137" s="413"/>
      <c r="X137" s="395"/>
      <c r="Y137" s="395"/>
      <c r="Z137" s="395"/>
      <c r="AA137" s="395"/>
      <c r="AB137" s="395"/>
      <c r="AC137" s="395"/>
      <c r="AD137" s="395"/>
      <c r="AE137" s="395"/>
      <c r="AF137" s="395"/>
      <c r="AG137" s="395"/>
      <c r="AH137" s="395"/>
      <c r="AI137" s="413"/>
      <c r="AJ137" s="392"/>
      <c r="AK137" s="405"/>
      <c r="AL137" s="395"/>
      <c r="AM137" s="395"/>
      <c r="AN137" s="395"/>
      <c r="AO137" s="395"/>
      <c r="AP137" s="401"/>
      <c r="AQ137" s="405"/>
      <c r="AR137" s="405"/>
      <c r="AS137" s="405"/>
      <c r="AT137" s="405"/>
    </row>
    <row r="138" spans="1:46" s="407" customFormat="1" ht="12" customHeight="1" outlineLevel="2">
      <c r="A138" s="415"/>
      <c r="B138" s="549"/>
      <c r="C138" s="387"/>
      <c r="D138" s="462" t="s">
        <v>360</v>
      </c>
      <c r="E138" s="388" t="s">
        <v>362</v>
      </c>
      <c r="F138" s="473"/>
      <c r="G138" s="386" t="s">
        <v>48</v>
      </c>
      <c r="H138" s="400" t="str">
        <f t="shared" si="10"/>
        <v>BB01-1</v>
      </c>
      <c r="I138" s="390">
        <v>1</v>
      </c>
      <c r="J138" s="473"/>
      <c r="K138" s="413">
        <v>1</v>
      </c>
      <c r="L138" s="572" t="s">
        <v>193</v>
      </c>
      <c r="M138" s="395"/>
      <c r="N138" s="395"/>
      <c r="O138" s="395"/>
      <c r="P138" s="395"/>
      <c r="Q138" s="395"/>
      <c r="R138" s="395"/>
      <c r="S138" s="395"/>
      <c r="T138" s="395"/>
      <c r="U138" s="395"/>
      <c r="V138" s="395"/>
      <c r="W138" s="413"/>
      <c r="X138" s="395"/>
      <c r="Y138" s="395"/>
      <c r="Z138" s="395"/>
      <c r="AA138" s="395"/>
      <c r="AB138" s="395"/>
      <c r="AC138" s="395"/>
      <c r="AD138" s="395"/>
      <c r="AE138" s="395"/>
      <c r="AF138" s="395"/>
      <c r="AG138" s="395"/>
      <c r="AH138" s="395"/>
      <c r="AI138" s="413"/>
      <c r="AJ138" s="392"/>
      <c r="AK138" s="405"/>
      <c r="AL138" s="395"/>
      <c r="AM138" s="395"/>
      <c r="AN138" s="395"/>
      <c r="AO138" s="395"/>
      <c r="AP138" s="401"/>
      <c r="AQ138" s="405"/>
      <c r="AR138" s="405"/>
      <c r="AS138" s="405"/>
      <c r="AT138" s="405"/>
    </row>
    <row r="139" spans="1:46" s="407" customFormat="1" ht="12" customHeight="1" outlineLevel="2">
      <c r="A139" s="415"/>
      <c r="B139" s="549"/>
      <c r="C139" s="387"/>
      <c r="D139" s="462" t="s">
        <v>363</v>
      </c>
      <c r="E139" s="388" t="s">
        <v>364</v>
      </c>
      <c r="F139" s="473"/>
      <c r="G139" s="386" t="s">
        <v>48</v>
      </c>
      <c r="H139" s="400" t="str">
        <f t="shared" si="10"/>
        <v>BB01-1</v>
      </c>
      <c r="I139" s="390">
        <v>1</v>
      </c>
      <c r="J139" s="473"/>
      <c r="K139" s="413">
        <v>1</v>
      </c>
      <c r="L139" s="572" t="s">
        <v>193</v>
      </c>
      <c r="M139" s="395"/>
      <c r="N139" s="395"/>
      <c r="O139" s="395"/>
      <c r="P139" s="395"/>
      <c r="Q139" s="395"/>
      <c r="R139" s="395"/>
      <c r="S139" s="395"/>
      <c r="T139" s="395"/>
      <c r="U139" s="395"/>
      <c r="V139" s="395"/>
      <c r="W139" s="413"/>
      <c r="X139" s="395"/>
      <c r="Y139" s="395"/>
      <c r="Z139" s="395"/>
      <c r="AA139" s="395"/>
      <c r="AB139" s="395"/>
      <c r="AC139" s="395"/>
      <c r="AD139" s="395"/>
      <c r="AE139" s="395"/>
      <c r="AF139" s="395"/>
      <c r="AG139" s="395"/>
      <c r="AH139" s="395"/>
      <c r="AI139" s="413"/>
      <c r="AJ139" s="392"/>
      <c r="AK139" s="405"/>
      <c r="AL139" s="395"/>
      <c r="AM139" s="395"/>
      <c r="AN139" s="395"/>
      <c r="AO139" s="395"/>
      <c r="AP139" s="401"/>
      <c r="AQ139" s="405"/>
      <c r="AR139" s="405"/>
      <c r="AS139" s="405"/>
      <c r="AT139" s="405"/>
    </row>
    <row r="140" spans="1:46" s="407" customFormat="1" ht="12" customHeight="1" outlineLevel="2">
      <c r="A140" s="415"/>
      <c r="B140" s="549"/>
      <c r="C140" s="387"/>
      <c r="D140" s="462" t="s">
        <v>363</v>
      </c>
      <c r="E140" s="388" t="s">
        <v>365</v>
      </c>
      <c r="F140" s="473"/>
      <c r="G140" s="386" t="s">
        <v>48</v>
      </c>
      <c r="H140" s="400" t="str">
        <f t="shared" si="10"/>
        <v>BB01-1</v>
      </c>
      <c r="I140" s="390">
        <v>1</v>
      </c>
      <c r="J140" s="473"/>
      <c r="K140" s="413">
        <v>1</v>
      </c>
      <c r="L140" s="572" t="s">
        <v>193</v>
      </c>
      <c r="M140" s="395"/>
      <c r="N140" s="395"/>
      <c r="O140" s="395"/>
      <c r="P140" s="395"/>
      <c r="Q140" s="395"/>
      <c r="R140" s="395"/>
      <c r="S140" s="395"/>
      <c r="T140" s="395"/>
      <c r="U140" s="395"/>
      <c r="V140" s="395"/>
      <c r="W140" s="413"/>
      <c r="X140" s="395"/>
      <c r="Y140" s="395"/>
      <c r="Z140" s="395"/>
      <c r="AA140" s="395"/>
      <c r="AB140" s="395"/>
      <c r="AC140" s="395"/>
      <c r="AD140" s="395"/>
      <c r="AE140" s="395"/>
      <c r="AF140" s="395"/>
      <c r="AG140" s="395"/>
      <c r="AH140" s="395"/>
      <c r="AI140" s="413"/>
      <c r="AJ140" s="392"/>
      <c r="AK140" s="405"/>
      <c r="AL140" s="395"/>
      <c r="AM140" s="395"/>
      <c r="AN140" s="395"/>
      <c r="AO140" s="395"/>
      <c r="AP140" s="401"/>
      <c r="AQ140" s="405"/>
      <c r="AR140" s="405"/>
      <c r="AS140" s="405"/>
      <c r="AT140" s="405"/>
    </row>
    <row r="141" spans="1:46" s="407" customFormat="1" ht="12" customHeight="1" outlineLevel="2">
      <c r="A141" s="415"/>
      <c r="B141" s="549"/>
      <c r="C141" s="387"/>
      <c r="D141" s="462" t="s">
        <v>366</v>
      </c>
      <c r="E141" s="388" t="s">
        <v>367</v>
      </c>
      <c r="F141" s="473"/>
      <c r="G141" s="386" t="s">
        <v>48</v>
      </c>
      <c r="H141" s="400" t="str">
        <f t="shared" si="10"/>
        <v>BB01-1</v>
      </c>
      <c r="I141" s="390">
        <v>1</v>
      </c>
      <c r="J141" s="473"/>
      <c r="K141" s="413">
        <v>1</v>
      </c>
      <c r="L141" s="572" t="s">
        <v>193</v>
      </c>
      <c r="M141" s="395"/>
      <c r="N141" s="395"/>
      <c r="O141" s="395"/>
      <c r="P141" s="395"/>
      <c r="Q141" s="395"/>
      <c r="R141" s="395"/>
      <c r="S141" s="395"/>
      <c r="T141" s="395"/>
      <c r="U141" s="395"/>
      <c r="V141" s="395"/>
      <c r="W141" s="413"/>
      <c r="X141" s="395"/>
      <c r="Y141" s="395"/>
      <c r="Z141" s="395"/>
      <c r="AA141" s="395"/>
      <c r="AB141" s="395"/>
      <c r="AC141" s="395"/>
      <c r="AD141" s="395"/>
      <c r="AE141" s="395"/>
      <c r="AF141" s="395"/>
      <c r="AG141" s="395"/>
      <c r="AH141" s="395"/>
      <c r="AI141" s="413"/>
      <c r="AJ141" s="392"/>
      <c r="AK141" s="405"/>
      <c r="AL141" s="395"/>
      <c r="AM141" s="395"/>
      <c r="AN141" s="395"/>
      <c r="AO141" s="395"/>
      <c r="AP141" s="401"/>
      <c r="AQ141" s="405"/>
      <c r="AR141" s="405"/>
      <c r="AS141" s="405"/>
      <c r="AT141" s="405"/>
    </row>
    <row r="142" spans="1:46" s="407" customFormat="1" ht="12" customHeight="1" outlineLevel="2">
      <c r="A142" s="415"/>
      <c r="B142" s="549"/>
      <c r="C142" s="387"/>
      <c r="D142" s="462" t="s">
        <v>368</v>
      </c>
      <c r="E142" s="388" t="s">
        <v>369</v>
      </c>
      <c r="F142" s="473"/>
      <c r="G142" s="386" t="s">
        <v>48</v>
      </c>
      <c r="H142" s="400" t="str">
        <f t="shared" si="10"/>
        <v>BB01-1</v>
      </c>
      <c r="I142" s="390">
        <v>1</v>
      </c>
      <c r="J142" s="473"/>
      <c r="K142" s="413">
        <v>1</v>
      </c>
      <c r="L142" s="572" t="s">
        <v>193</v>
      </c>
      <c r="M142" s="395"/>
      <c r="N142" s="395"/>
      <c r="O142" s="395"/>
      <c r="P142" s="395"/>
      <c r="Q142" s="395"/>
      <c r="R142" s="395"/>
      <c r="S142" s="395"/>
      <c r="T142" s="395"/>
      <c r="U142" s="395"/>
      <c r="V142" s="395"/>
      <c r="W142" s="413"/>
      <c r="X142" s="395"/>
      <c r="Y142" s="395"/>
      <c r="Z142" s="395"/>
      <c r="AA142" s="395"/>
      <c r="AB142" s="395"/>
      <c r="AC142" s="395"/>
      <c r="AD142" s="395"/>
      <c r="AE142" s="395"/>
      <c r="AF142" s="395"/>
      <c r="AG142" s="395"/>
      <c r="AH142" s="395"/>
      <c r="AI142" s="413"/>
      <c r="AJ142" s="392"/>
      <c r="AK142" s="405"/>
      <c r="AL142" s="395"/>
      <c r="AM142" s="395"/>
      <c r="AN142" s="395"/>
      <c r="AO142" s="395"/>
      <c r="AP142" s="401"/>
      <c r="AQ142" s="405"/>
      <c r="AR142" s="405"/>
      <c r="AS142" s="405"/>
      <c r="AT142" s="405"/>
    </row>
    <row r="143" spans="1:46" s="407" customFormat="1" ht="12" customHeight="1" outlineLevel="2">
      <c r="A143" s="415"/>
      <c r="B143" s="549"/>
      <c r="C143" s="387"/>
      <c r="D143" s="462" t="s">
        <v>368</v>
      </c>
      <c r="E143" s="388" t="s">
        <v>370</v>
      </c>
      <c r="F143" s="473"/>
      <c r="G143" s="386" t="s">
        <v>48</v>
      </c>
      <c r="H143" s="400" t="str">
        <f t="shared" si="10"/>
        <v>BB01-1</v>
      </c>
      <c r="I143" s="390">
        <v>1</v>
      </c>
      <c r="J143" s="473"/>
      <c r="K143" s="413">
        <v>1</v>
      </c>
      <c r="L143" s="572" t="s">
        <v>193</v>
      </c>
      <c r="M143" s="395"/>
      <c r="N143" s="395"/>
      <c r="O143" s="395"/>
      <c r="P143" s="395"/>
      <c r="Q143" s="395"/>
      <c r="R143" s="395"/>
      <c r="S143" s="395"/>
      <c r="T143" s="395"/>
      <c r="U143" s="395"/>
      <c r="V143" s="395"/>
      <c r="W143" s="413"/>
      <c r="X143" s="395"/>
      <c r="Y143" s="395"/>
      <c r="Z143" s="395"/>
      <c r="AA143" s="395"/>
      <c r="AB143" s="395"/>
      <c r="AC143" s="395"/>
      <c r="AD143" s="395"/>
      <c r="AE143" s="395"/>
      <c r="AF143" s="395"/>
      <c r="AG143" s="395"/>
      <c r="AH143" s="395"/>
      <c r="AI143" s="413"/>
      <c r="AJ143" s="392"/>
      <c r="AK143" s="405"/>
      <c r="AL143" s="395"/>
      <c r="AM143" s="395"/>
      <c r="AN143" s="395"/>
      <c r="AO143" s="395"/>
      <c r="AP143" s="401"/>
      <c r="AQ143" s="405"/>
      <c r="AR143" s="405"/>
      <c r="AS143" s="405"/>
      <c r="AT143" s="405"/>
    </row>
    <row r="144" spans="1:46" s="407" customFormat="1" ht="12" customHeight="1" outlineLevel="2">
      <c r="A144" s="415"/>
      <c r="B144" s="549"/>
      <c r="C144" s="387"/>
      <c r="D144" s="462" t="s">
        <v>371</v>
      </c>
      <c r="E144" s="388" t="s">
        <v>372</v>
      </c>
      <c r="F144" s="473"/>
      <c r="G144" s="386" t="s">
        <v>48</v>
      </c>
      <c r="H144" s="400" t="str">
        <f t="shared" ref="H144:H181" si="11">CONCATENATE(G144,"-",I144)</f>
        <v>BB01-1</v>
      </c>
      <c r="I144" s="390">
        <v>1</v>
      </c>
      <c r="J144" s="473"/>
      <c r="K144" s="413">
        <v>1</v>
      </c>
      <c r="L144" s="572" t="s">
        <v>193</v>
      </c>
      <c r="M144" s="395"/>
      <c r="N144" s="395"/>
      <c r="O144" s="395"/>
      <c r="P144" s="395"/>
      <c r="Q144" s="395"/>
      <c r="R144" s="395"/>
      <c r="S144" s="395"/>
      <c r="T144" s="395"/>
      <c r="U144" s="395"/>
      <c r="V144" s="395"/>
      <c r="W144" s="413"/>
      <c r="X144" s="395"/>
      <c r="Y144" s="395"/>
      <c r="Z144" s="395"/>
      <c r="AA144" s="395"/>
      <c r="AB144" s="395"/>
      <c r="AC144" s="395"/>
      <c r="AD144" s="395"/>
      <c r="AE144" s="395"/>
      <c r="AF144" s="395"/>
      <c r="AG144" s="395"/>
      <c r="AH144" s="395"/>
      <c r="AI144" s="413"/>
      <c r="AJ144" s="392"/>
      <c r="AK144" s="405"/>
      <c r="AL144" s="395"/>
      <c r="AM144" s="395"/>
      <c r="AN144" s="395"/>
      <c r="AO144" s="395"/>
      <c r="AP144" s="401"/>
      <c r="AQ144" s="405"/>
      <c r="AR144" s="405"/>
      <c r="AS144" s="405"/>
      <c r="AT144" s="405"/>
    </row>
    <row r="145" spans="1:46" s="407" customFormat="1" ht="12" customHeight="1" outlineLevel="2">
      <c r="A145" s="415"/>
      <c r="B145" s="549"/>
      <c r="C145" s="387"/>
      <c r="D145" s="462" t="s">
        <v>371</v>
      </c>
      <c r="E145" s="388" t="s">
        <v>373</v>
      </c>
      <c r="F145" s="473"/>
      <c r="G145" s="386" t="s">
        <v>48</v>
      </c>
      <c r="H145" s="400" t="str">
        <f t="shared" si="11"/>
        <v>BB01-1</v>
      </c>
      <c r="I145" s="390">
        <v>1</v>
      </c>
      <c r="J145" s="473"/>
      <c r="K145" s="413">
        <v>1</v>
      </c>
      <c r="L145" s="572" t="s">
        <v>193</v>
      </c>
      <c r="M145" s="395"/>
      <c r="N145" s="395"/>
      <c r="O145" s="395"/>
      <c r="P145" s="395"/>
      <c r="Q145" s="395"/>
      <c r="R145" s="395"/>
      <c r="S145" s="395"/>
      <c r="T145" s="395"/>
      <c r="U145" s="395"/>
      <c r="V145" s="395"/>
      <c r="W145" s="413"/>
      <c r="X145" s="395"/>
      <c r="Y145" s="395"/>
      <c r="Z145" s="395"/>
      <c r="AA145" s="395"/>
      <c r="AB145" s="395"/>
      <c r="AC145" s="395"/>
      <c r="AD145" s="395"/>
      <c r="AE145" s="395"/>
      <c r="AF145" s="395"/>
      <c r="AG145" s="395"/>
      <c r="AH145" s="395"/>
      <c r="AI145" s="413"/>
      <c r="AJ145" s="392"/>
      <c r="AK145" s="405"/>
      <c r="AL145" s="395"/>
      <c r="AM145" s="395"/>
      <c r="AN145" s="395"/>
      <c r="AO145" s="395"/>
      <c r="AP145" s="401"/>
      <c r="AQ145" s="405"/>
      <c r="AR145" s="405"/>
      <c r="AS145" s="405"/>
      <c r="AT145" s="405"/>
    </row>
    <row r="146" spans="1:46" s="407" customFormat="1" ht="12" customHeight="1" outlineLevel="2">
      <c r="A146" s="415"/>
      <c r="B146" s="549"/>
      <c r="C146" s="387"/>
      <c r="D146" s="462" t="s">
        <v>374</v>
      </c>
      <c r="E146" s="388" t="s">
        <v>375</v>
      </c>
      <c r="F146" s="473"/>
      <c r="G146" s="386" t="s">
        <v>48</v>
      </c>
      <c r="H146" s="400" t="str">
        <f t="shared" si="11"/>
        <v>BB01-1</v>
      </c>
      <c r="I146" s="390">
        <v>1</v>
      </c>
      <c r="J146" s="473"/>
      <c r="K146" s="413">
        <v>1</v>
      </c>
      <c r="L146" s="572" t="s">
        <v>193</v>
      </c>
      <c r="M146" s="395"/>
      <c r="N146" s="395"/>
      <c r="O146" s="395"/>
      <c r="P146" s="395"/>
      <c r="Q146" s="395"/>
      <c r="R146" s="395"/>
      <c r="S146" s="395"/>
      <c r="T146" s="395"/>
      <c r="U146" s="395"/>
      <c r="V146" s="395"/>
      <c r="W146" s="413"/>
      <c r="X146" s="395"/>
      <c r="Y146" s="395"/>
      <c r="Z146" s="395"/>
      <c r="AA146" s="395"/>
      <c r="AB146" s="395"/>
      <c r="AC146" s="395"/>
      <c r="AD146" s="395"/>
      <c r="AE146" s="395"/>
      <c r="AF146" s="395"/>
      <c r="AG146" s="395"/>
      <c r="AH146" s="395"/>
      <c r="AI146" s="413"/>
      <c r="AJ146" s="392"/>
      <c r="AK146" s="405"/>
      <c r="AL146" s="395"/>
      <c r="AM146" s="395"/>
      <c r="AN146" s="395"/>
      <c r="AO146" s="395"/>
      <c r="AP146" s="401"/>
      <c r="AQ146" s="405"/>
      <c r="AR146" s="405"/>
      <c r="AS146" s="405"/>
      <c r="AT146" s="405"/>
    </row>
    <row r="147" spans="1:46" s="407" customFormat="1" ht="12" customHeight="1" outlineLevel="2">
      <c r="A147" s="415"/>
      <c r="B147" s="549"/>
      <c r="C147" s="387"/>
      <c r="D147" s="462" t="s">
        <v>376</v>
      </c>
      <c r="E147" s="388" t="s">
        <v>377</v>
      </c>
      <c r="F147" s="473"/>
      <c r="G147" s="386" t="s">
        <v>48</v>
      </c>
      <c r="H147" s="400" t="str">
        <f t="shared" si="11"/>
        <v>BB01-1</v>
      </c>
      <c r="I147" s="390">
        <v>1</v>
      </c>
      <c r="J147" s="473"/>
      <c r="K147" s="413">
        <v>1</v>
      </c>
      <c r="L147" s="572" t="s">
        <v>193</v>
      </c>
      <c r="M147" s="395"/>
      <c r="N147" s="395"/>
      <c r="O147" s="395"/>
      <c r="P147" s="395"/>
      <c r="Q147" s="395"/>
      <c r="R147" s="395"/>
      <c r="S147" s="395"/>
      <c r="T147" s="395"/>
      <c r="U147" s="395"/>
      <c r="V147" s="395"/>
      <c r="W147" s="413"/>
      <c r="X147" s="395"/>
      <c r="Y147" s="395"/>
      <c r="Z147" s="395"/>
      <c r="AA147" s="395"/>
      <c r="AB147" s="395"/>
      <c r="AC147" s="395"/>
      <c r="AD147" s="395"/>
      <c r="AE147" s="395"/>
      <c r="AF147" s="395"/>
      <c r="AG147" s="395"/>
      <c r="AH147" s="395"/>
      <c r="AI147" s="413"/>
      <c r="AJ147" s="392"/>
      <c r="AK147" s="405"/>
      <c r="AL147" s="395"/>
      <c r="AM147" s="395"/>
      <c r="AN147" s="395"/>
      <c r="AO147" s="395"/>
      <c r="AP147" s="401"/>
      <c r="AQ147" s="405"/>
      <c r="AR147" s="405"/>
      <c r="AS147" s="405"/>
      <c r="AT147" s="405"/>
    </row>
    <row r="148" spans="1:46" s="407" customFormat="1" ht="12" customHeight="1" outlineLevel="2">
      <c r="A148" s="415"/>
      <c r="B148" s="549"/>
      <c r="C148" s="387"/>
      <c r="D148" s="462" t="s">
        <v>376</v>
      </c>
      <c r="E148" s="388" t="s">
        <v>378</v>
      </c>
      <c r="F148" s="473"/>
      <c r="G148" s="386" t="s">
        <v>48</v>
      </c>
      <c r="H148" s="400" t="str">
        <f t="shared" si="11"/>
        <v>BB01-1</v>
      </c>
      <c r="I148" s="390">
        <v>1</v>
      </c>
      <c r="J148" s="473"/>
      <c r="K148" s="413">
        <v>1</v>
      </c>
      <c r="L148" s="572" t="s">
        <v>193</v>
      </c>
      <c r="M148" s="395"/>
      <c r="N148" s="395"/>
      <c r="O148" s="395"/>
      <c r="P148" s="395"/>
      <c r="Q148" s="395"/>
      <c r="R148" s="395"/>
      <c r="S148" s="395"/>
      <c r="T148" s="395"/>
      <c r="U148" s="395"/>
      <c r="V148" s="395"/>
      <c r="W148" s="413"/>
      <c r="X148" s="395"/>
      <c r="Y148" s="395"/>
      <c r="Z148" s="395"/>
      <c r="AA148" s="395"/>
      <c r="AB148" s="395"/>
      <c r="AC148" s="395"/>
      <c r="AD148" s="395"/>
      <c r="AE148" s="395"/>
      <c r="AF148" s="395"/>
      <c r="AG148" s="395"/>
      <c r="AH148" s="395"/>
      <c r="AI148" s="413"/>
      <c r="AJ148" s="392"/>
      <c r="AK148" s="405"/>
      <c r="AL148" s="395"/>
      <c r="AM148" s="395"/>
      <c r="AN148" s="395"/>
      <c r="AO148" s="395"/>
      <c r="AP148" s="401"/>
      <c r="AQ148" s="405"/>
      <c r="AR148" s="405"/>
      <c r="AS148" s="405"/>
      <c r="AT148" s="405"/>
    </row>
    <row r="149" spans="1:46" s="407" customFormat="1" ht="12" customHeight="1" outlineLevel="2">
      <c r="A149" s="415"/>
      <c r="B149" s="549"/>
      <c r="C149" s="387"/>
      <c r="D149" s="462" t="s">
        <v>379</v>
      </c>
      <c r="E149" s="388" t="s">
        <v>380</v>
      </c>
      <c r="F149" s="473"/>
      <c r="G149" s="386" t="s">
        <v>48</v>
      </c>
      <c r="H149" s="400" t="str">
        <f t="shared" si="11"/>
        <v>BB01-1</v>
      </c>
      <c r="I149" s="390">
        <v>1</v>
      </c>
      <c r="J149" s="473"/>
      <c r="K149" s="413">
        <v>1</v>
      </c>
      <c r="L149" s="572" t="s">
        <v>193</v>
      </c>
      <c r="M149" s="395"/>
      <c r="N149" s="395"/>
      <c r="O149" s="395"/>
      <c r="P149" s="395"/>
      <c r="Q149" s="395"/>
      <c r="R149" s="395"/>
      <c r="S149" s="395"/>
      <c r="T149" s="395"/>
      <c r="U149" s="395"/>
      <c r="V149" s="395"/>
      <c r="W149" s="413"/>
      <c r="X149" s="395"/>
      <c r="Y149" s="395"/>
      <c r="Z149" s="395"/>
      <c r="AA149" s="395"/>
      <c r="AB149" s="395"/>
      <c r="AC149" s="395"/>
      <c r="AD149" s="395"/>
      <c r="AE149" s="395"/>
      <c r="AF149" s="395"/>
      <c r="AG149" s="395"/>
      <c r="AH149" s="395"/>
      <c r="AI149" s="413"/>
      <c r="AJ149" s="392"/>
      <c r="AK149" s="405"/>
      <c r="AL149" s="395"/>
      <c r="AM149" s="395"/>
      <c r="AN149" s="395"/>
      <c r="AO149" s="395"/>
      <c r="AP149" s="401"/>
      <c r="AQ149" s="405"/>
      <c r="AR149" s="405"/>
      <c r="AS149" s="405"/>
      <c r="AT149" s="405"/>
    </row>
    <row r="150" spans="1:46" s="407" customFormat="1" ht="12" customHeight="1" outlineLevel="2">
      <c r="A150" s="415"/>
      <c r="B150" s="549"/>
      <c r="C150" s="387"/>
      <c r="D150" s="462" t="s">
        <v>379</v>
      </c>
      <c r="E150" s="388" t="s">
        <v>381</v>
      </c>
      <c r="F150" s="473"/>
      <c r="G150" s="386" t="s">
        <v>48</v>
      </c>
      <c r="H150" s="400" t="str">
        <f t="shared" si="11"/>
        <v>BB01-1</v>
      </c>
      <c r="I150" s="390">
        <v>1</v>
      </c>
      <c r="J150" s="473"/>
      <c r="K150" s="413">
        <v>1</v>
      </c>
      <c r="L150" s="572" t="s">
        <v>193</v>
      </c>
      <c r="M150" s="395"/>
      <c r="N150" s="395"/>
      <c r="O150" s="395"/>
      <c r="P150" s="395"/>
      <c r="Q150" s="395"/>
      <c r="R150" s="395"/>
      <c r="S150" s="395"/>
      <c r="T150" s="395"/>
      <c r="U150" s="395"/>
      <c r="V150" s="395"/>
      <c r="W150" s="413"/>
      <c r="X150" s="395"/>
      <c r="Y150" s="395"/>
      <c r="Z150" s="395"/>
      <c r="AA150" s="395"/>
      <c r="AB150" s="395"/>
      <c r="AC150" s="395"/>
      <c r="AD150" s="395"/>
      <c r="AE150" s="395"/>
      <c r="AF150" s="395"/>
      <c r="AG150" s="395"/>
      <c r="AH150" s="395"/>
      <c r="AI150" s="413"/>
      <c r="AJ150" s="392"/>
      <c r="AK150" s="405"/>
      <c r="AL150" s="395"/>
      <c r="AM150" s="395"/>
      <c r="AN150" s="395"/>
      <c r="AO150" s="395"/>
      <c r="AP150" s="401"/>
      <c r="AQ150" s="405"/>
      <c r="AR150" s="405"/>
      <c r="AS150" s="405"/>
      <c r="AT150" s="405"/>
    </row>
    <row r="151" spans="1:46" s="407" customFormat="1" ht="12" customHeight="1" outlineLevel="2">
      <c r="A151" s="415"/>
      <c r="B151" s="549"/>
      <c r="C151" s="387"/>
      <c r="D151" s="462" t="s">
        <v>382</v>
      </c>
      <c r="E151" s="388" t="s">
        <v>383</v>
      </c>
      <c r="F151" s="473"/>
      <c r="G151" s="386" t="s">
        <v>48</v>
      </c>
      <c r="H151" s="400" t="str">
        <f t="shared" si="11"/>
        <v>BB01-1</v>
      </c>
      <c r="I151" s="390">
        <v>1</v>
      </c>
      <c r="J151" s="473"/>
      <c r="K151" s="413">
        <v>1</v>
      </c>
      <c r="L151" s="572" t="s">
        <v>193</v>
      </c>
      <c r="M151" s="395"/>
      <c r="N151" s="395"/>
      <c r="O151" s="395"/>
      <c r="P151" s="395"/>
      <c r="Q151" s="395"/>
      <c r="R151" s="395"/>
      <c r="S151" s="395"/>
      <c r="T151" s="395"/>
      <c r="U151" s="395"/>
      <c r="V151" s="395"/>
      <c r="W151" s="413"/>
      <c r="X151" s="395"/>
      <c r="Y151" s="395"/>
      <c r="Z151" s="395"/>
      <c r="AA151" s="395"/>
      <c r="AB151" s="395"/>
      <c r="AC151" s="395"/>
      <c r="AD151" s="395"/>
      <c r="AE151" s="395"/>
      <c r="AF151" s="395"/>
      <c r="AG151" s="395"/>
      <c r="AH151" s="395"/>
      <c r="AI151" s="413"/>
      <c r="AJ151" s="392"/>
      <c r="AK151" s="405"/>
      <c r="AL151" s="395"/>
      <c r="AM151" s="395"/>
      <c r="AN151" s="395"/>
      <c r="AO151" s="395"/>
      <c r="AP151" s="401"/>
      <c r="AQ151" s="405"/>
      <c r="AR151" s="405"/>
      <c r="AS151" s="405"/>
      <c r="AT151" s="405"/>
    </row>
    <row r="152" spans="1:46" s="407" customFormat="1" ht="12" customHeight="1" outlineLevel="2">
      <c r="A152" s="415"/>
      <c r="B152" s="549"/>
      <c r="C152" s="387"/>
      <c r="D152" s="462" t="s">
        <v>384</v>
      </c>
      <c r="E152" s="388" t="s">
        <v>385</v>
      </c>
      <c r="F152" s="473"/>
      <c r="G152" s="386" t="s">
        <v>48</v>
      </c>
      <c r="H152" s="400" t="str">
        <f t="shared" si="11"/>
        <v>BB01-1</v>
      </c>
      <c r="I152" s="390">
        <v>1</v>
      </c>
      <c r="J152" s="473"/>
      <c r="K152" s="413">
        <v>1</v>
      </c>
      <c r="L152" s="572" t="s">
        <v>193</v>
      </c>
      <c r="M152" s="395"/>
      <c r="N152" s="395"/>
      <c r="O152" s="395"/>
      <c r="P152" s="395"/>
      <c r="Q152" s="395"/>
      <c r="R152" s="395"/>
      <c r="S152" s="395"/>
      <c r="T152" s="395"/>
      <c r="U152" s="395"/>
      <c r="V152" s="395"/>
      <c r="W152" s="413"/>
      <c r="X152" s="395"/>
      <c r="Y152" s="395"/>
      <c r="Z152" s="395"/>
      <c r="AA152" s="395"/>
      <c r="AB152" s="395"/>
      <c r="AC152" s="395"/>
      <c r="AD152" s="395"/>
      <c r="AE152" s="395"/>
      <c r="AF152" s="395"/>
      <c r="AG152" s="395"/>
      <c r="AH152" s="395"/>
      <c r="AI152" s="413"/>
      <c r="AJ152" s="392"/>
      <c r="AK152" s="405"/>
      <c r="AL152" s="395"/>
      <c r="AM152" s="395"/>
      <c r="AN152" s="395"/>
      <c r="AO152" s="395"/>
      <c r="AP152" s="401"/>
      <c r="AQ152" s="405"/>
      <c r="AR152" s="405"/>
      <c r="AS152" s="405"/>
      <c r="AT152" s="405"/>
    </row>
    <row r="153" spans="1:46" s="407" customFormat="1" ht="12" customHeight="1" outlineLevel="2">
      <c r="A153" s="415"/>
      <c r="B153" s="549"/>
      <c r="C153" s="387"/>
      <c r="D153" s="462" t="s">
        <v>384</v>
      </c>
      <c r="E153" s="388" t="s">
        <v>386</v>
      </c>
      <c r="F153" s="473"/>
      <c r="G153" s="386" t="s">
        <v>48</v>
      </c>
      <c r="H153" s="400" t="str">
        <f t="shared" si="11"/>
        <v>BB01-1</v>
      </c>
      <c r="I153" s="390">
        <v>1</v>
      </c>
      <c r="J153" s="473"/>
      <c r="K153" s="413">
        <v>1</v>
      </c>
      <c r="L153" s="572" t="s">
        <v>193</v>
      </c>
      <c r="M153" s="395"/>
      <c r="N153" s="395"/>
      <c r="O153" s="395"/>
      <c r="P153" s="395"/>
      <c r="Q153" s="395"/>
      <c r="R153" s="395"/>
      <c r="S153" s="395"/>
      <c r="T153" s="395"/>
      <c r="U153" s="395"/>
      <c r="V153" s="395"/>
      <c r="W153" s="413"/>
      <c r="X153" s="395"/>
      <c r="Y153" s="395"/>
      <c r="Z153" s="395"/>
      <c r="AA153" s="395"/>
      <c r="AB153" s="395"/>
      <c r="AC153" s="395"/>
      <c r="AD153" s="395"/>
      <c r="AE153" s="395"/>
      <c r="AF153" s="395"/>
      <c r="AG153" s="395"/>
      <c r="AH153" s="395"/>
      <c r="AI153" s="413"/>
      <c r="AJ153" s="392"/>
      <c r="AK153" s="405"/>
      <c r="AL153" s="395"/>
      <c r="AM153" s="395"/>
      <c r="AN153" s="395"/>
      <c r="AO153" s="395"/>
      <c r="AP153" s="401"/>
      <c r="AQ153" s="405"/>
      <c r="AR153" s="405"/>
      <c r="AS153" s="405"/>
      <c r="AT153" s="405"/>
    </row>
    <row r="154" spans="1:46" s="407" customFormat="1" ht="12" customHeight="1" outlineLevel="2">
      <c r="A154" s="415"/>
      <c r="B154" s="549"/>
      <c r="C154" s="387"/>
      <c r="D154" s="462" t="s">
        <v>387</v>
      </c>
      <c r="E154" s="388" t="s">
        <v>388</v>
      </c>
      <c r="F154" s="473"/>
      <c r="G154" s="386" t="s">
        <v>48</v>
      </c>
      <c r="H154" s="400" t="str">
        <f t="shared" si="11"/>
        <v>BB01-1</v>
      </c>
      <c r="I154" s="390">
        <v>1</v>
      </c>
      <c r="J154" s="473"/>
      <c r="K154" s="413">
        <v>1</v>
      </c>
      <c r="L154" s="572" t="s">
        <v>193</v>
      </c>
      <c r="M154" s="395"/>
      <c r="N154" s="395"/>
      <c r="O154" s="395"/>
      <c r="P154" s="395"/>
      <c r="Q154" s="395"/>
      <c r="R154" s="395"/>
      <c r="S154" s="395"/>
      <c r="T154" s="395"/>
      <c r="U154" s="395"/>
      <c r="V154" s="395"/>
      <c r="W154" s="413"/>
      <c r="X154" s="395"/>
      <c r="Y154" s="395"/>
      <c r="Z154" s="395"/>
      <c r="AA154" s="395"/>
      <c r="AB154" s="395"/>
      <c r="AC154" s="395"/>
      <c r="AD154" s="395"/>
      <c r="AE154" s="395"/>
      <c r="AF154" s="395"/>
      <c r="AG154" s="395"/>
      <c r="AH154" s="395"/>
      <c r="AI154" s="413"/>
      <c r="AJ154" s="392"/>
      <c r="AK154" s="405"/>
      <c r="AL154" s="395"/>
      <c r="AM154" s="395"/>
      <c r="AN154" s="395"/>
      <c r="AO154" s="395"/>
      <c r="AP154" s="401"/>
      <c r="AQ154" s="405"/>
      <c r="AR154" s="405"/>
      <c r="AS154" s="405"/>
      <c r="AT154" s="405"/>
    </row>
    <row r="155" spans="1:46" s="407" customFormat="1" ht="12" customHeight="1" outlineLevel="2">
      <c r="A155" s="415"/>
      <c r="B155" s="549"/>
      <c r="C155" s="387"/>
      <c r="D155" s="462" t="s">
        <v>387</v>
      </c>
      <c r="E155" s="388" t="s">
        <v>389</v>
      </c>
      <c r="F155" s="473"/>
      <c r="G155" s="386" t="s">
        <v>48</v>
      </c>
      <c r="H155" s="400" t="str">
        <f t="shared" si="11"/>
        <v>BB01-1</v>
      </c>
      <c r="I155" s="390">
        <v>1</v>
      </c>
      <c r="J155" s="473"/>
      <c r="K155" s="413">
        <v>1</v>
      </c>
      <c r="L155" s="572" t="s">
        <v>193</v>
      </c>
      <c r="M155" s="395"/>
      <c r="N155" s="395"/>
      <c r="O155" s="395"/>
      <c r="P155" s="395"/>
      <c r="Q155" s="395"/>
      <c r="R155" s="395"/>
      <c r="S155" s="395"/>
      <c r="T155" s="395"/>
      <c r="U155" s="395"/>
      <c r="V155" s="395"/>
      <c r="W155" s="413"/>
      <c r="X155" s="395"/>
      <c r="Y155" s="395"/>
      <c r="Z155" s="395"/>
      <c r="AA155" s="395"/>
      <c r="AB155" s="395"/>
      <c r="AC155" s="395"/>
      <c r="AD155" s="395"/>
      <c r="AE155" s="395"/>
      <c r="AF155" s="395"/>
      <c r="AG155" s="395"/>
      <c r="AH155" s="395"/>
      <c r="AI155" s="413"/>
      <c r="AJ155" s="392"/>
      <c r="AK155" s="405"/>
      <c r="AL155" s="395"/>
      <c r="AM155" s="395"/>
      <c r="AN155" s="395"/>
      <c r="AO155" s="395"/>
      <c r="AP155" s="401"/>
      <c r="AQ155" s="405"/>
      <c r="AR155" s="405"/>
      <c r="AS155" s="405"/>
      <c r="AT155" s="405"/>
    </row>
    <row r="156" spans="1:46" s="407" customFormat="1" ht="12" customHeight="1" outlineLevel="2">
      <c r="A156" s="415"/>
      <c r="B156" s="549"/>
      <c r="C156" s="387"/>
      <c r="D156" s="462" t="s">
        <v>390</v>
      </c>
      <c r="E156" s="388" t="s">
        <v>391</v>
      </c>
      <c r="F156" s="473"/>
      <c r="G156" s="386" t="s">
        <v>48</v>
      </c>
      <c r="H156" s="400" t="str">
        <f t="shared" si="11"/>
        <v>BB01-1</v>
      </c>
      <c r="I156" s="390">
        <v>1</v>
      </c>
      <c r="J156" s="473"/>
      <c r="K156" s="413">
        <v>1</v>
      </c>
      <c r="L156" s="572" t="s">
        <v>193</v>
      </c>
      <c r="M156" s="395"/>
      <c r="N156" s="395"/>
      <c r="O156" s="395"/>
      <c r="P156" s="395"/>
      <c r="Q156" s="395"/>
      <c r="R156" s="395"/>
      <c r="S156" s="395"/>
      <c r="T156" s="395"/>
      <c r="U156" s="395"/>
      <c r="V156" s="395"/>
      <c r="W156" s="413"/>
      <c r="X156" s="395"/>
      <c r="Y156" s="395"/>
      <c r="Z156" s="395"/>
      <c r="AA156" s="395"/>
      <c r="AB156" s="395"/>
      <c r="AC156" s="395"/>
      <c r="AD156" s="395"/>
      <c r="AE156" s="395"/>
      <c r="AF156" s="395"/>
      <c r="AG156" s="395"/>
      <c r="AH156" s="395"/>
      <c r="AI156" s="413"/>
      <c r="AJ156" s="392"/>
      <c r="AK156" s="405"/>
      <c r="AL156" s="395"/>
      <c r="AM156" s="395"/>
      <c r="AN156" s="395"/>
      <c r="AO156" s="395"/>
      <c r="AP156" s="401"/>
      <c r="AQ156" s="405"/>
      <c r="AR156" s="405"/>
      <c r="AS156" s="405"/>
      <c r="AT156" s="405"/>
    </row>
    <row r="157" spans="1:46" s="407" customFormat="1" ht="12" customHeight="1" outlineLevel="2">
      <c r="A157" s="415"/>
      <c r="B157" s="549"/>
      <c r="C157" s="387"/>
      <c r="D157" s="462" t="s">
        <v>390</v>
      </c>
      <c r="E157" s="388" t="s">
        <v>389</v>
      </c>
      <c r="F157" s="473"/>
      <c r="G157" s="386" t="s">
        <v>48</v>
      </c>
      <c r="H157" s="400" t="str">
        <f t="shared" si="11"/>
        <v>BB01-1</v>
      </c>
      <c r="I157" s="390">
        <v>1</v>
      </c>
      <c r="J157" s="473"/>
      <c r="K157" s="413">
        <v>1</v>
      </c>
      <c r="L157" s="572" t="s">
        <v>193</v>
      </c>
      <c r="M157" s="395"/>
      <c r="N157" s="395"/>
      <c r="O157" s="395"/>
      <c r="P157" s="395"/>
      <c r="Q157" s="395"/>
      <c r="R157" s="395"/>
      <c r="S157" s="395"/>
      <c r="T157" s="395"/>
      <c r="U157" s="395"/>
      <c r="V157" s="395"/>
      <c r="W157" s="413"/>
      <c r="X157" s="395"/>
      <c r="Y157" s="395"/>
      <c r="Z157" s="395"/>
      <c r="AA157" s="395"/>
      <c r="AB157" s="395"/>
      <c r="AC157" s="395"/>
      <c r="AD157" s="395"/>
      <c r="AE157" s="395"/>
      <c r="AF157" s="395"/>
      <c r="AG157" s="395"/>
      <c r="AH157" s="395"/>
      <c r="AI157" s="413"/>
      <c r="AJ157" s="392"/>
      <c r="AK157" s="405"/>
      <c r="AL157" s="395"/>
      <c r="AM157" s="395"/>
      <c r="AN157" s="395"/>
      <c r="AO157" s="395"/>
      <c r="AP157" s="401"/>
      <c r="AQ157" s="405"/>
      <c r="AR157" s="405"/>
      <c r="AS157" s="405"/>
      <c r="AT157" s="405"/>
    </row>
    <row r="158" spans="1:46" s="407" customFormat="1" ht="12" customHeight="1" outlineLevel="2">
      <c r="A158" s="415"/>
      <c r="B158" s="549"/>
      <c r="C158" s="387"/>
      <c r="D158" s="462" t="s">
        <v>392</v>
      </c>
      <c r="E158" s="388" t="s">
        <v>389</v>
      </c>
      <c r="F158" s="473"/>
      <c r="G158" s="386" t="s">
        <v>48</v>
      </c>
      <c r="H158" s="400" t="str">
        <f t="shared" si="11"/>
        <v>BB01-1</v>
      </c>
      <c r="I158" s="390">
        <v>1</v>
      </c>
      <c r="J158" s="473"/>
      <c r="K158" s="413">
        <v>1</v>
      </c>
      <c r="L158" s="572" t="s">
        <v>193</v>
      </c>
      <c r="M158" s="395"/>
      <c r="N158" s="395"/>
      <c r="O158" s="395"/>
      <c r="P158" s="395"/>
      <c r="Q158" s="395"/>
      <c r="R158" s="395"/>
      <c r="S158" s="395"/>
      <c r="T158" s="395"/>
      <c r="U158" s="395"/>
      <c r="V158" s="395"/>
      <c r="W158" s="413"/>
      <c r="X158" s="395"/>
      <c r="Y158" s="395"/>
      <c r="Z158" s="395"/>
      <c r="AA158" s="395"/>
      <c r="AB158" s="395"/>
      <c r="AC158" s="395"/>
      <c r="AD158" s="395"/>
      <c r="AE158" s="395"/>
      <c r="AF158" s="395"/>
      <c r="AG158" s="395"/>
      <c r="AH158" s="395"/>
      <c r="AI158" s="413"/>
      <c r="AJ158" s="392"/>
      <c r="AK158" s="405"/>
      <c r="AL158" s="395"/>
      <c r="AM158" s="395"/>
      <c r="AN158" s="395"/>
      <c r="AO158" s="395"/>
      <c r="AP158" s="401"/>
      <c r="AQ158" s="405"/>
      <c r="AR158" s="405"/>
      <c r="AS158" s="405"/>
      <c r="AT158" s="405"/>
    </row>
    <row r="159" spans="1:46" s="407" customFormat="1" ht="12" customHeight="1" outlineLevel="2">
      <c r="A159" s="415"/>
      <c r="B159" s="549"/>
      <c r="C159" s="387"/>
      <c r="D159" s="462" t="s">
        <v>393</v>
      </c>
      <c r="E159" s="388" t="s">
        <v>394</v>
      </c>
      <c r="F159" s="473"/>
      <c r="G159" s="386" t="s">
        <v>48</v>
      </c>
      <c r="H159" s="400" t="str">
        <f t="shared" si="11"/>
        <v>BB01-1</v>
      </c>
      <c r="I159" s="390">
        <v>1</v>
      </c>
      <c r="J159" s="473"/>
      <c r="K159" s="413">
        <v>1</v>
      </c>
      <c r="L159" s="572" t="s">
        <v>193</v>
      </c>
      <c r="M159" s="395"/>
      <c r="N159" s="395"/>
      <c r="O159" s="395"/>
      <c r="P159" s="395"/>
      <c r="Q159" s="395"/>
      <c r="R159" s="395"/>
      <c r="S159" s="395"/>
      <c r="T159" s="395"/>
      <c r="U159" s="395"/>
      <c r="V159" s="395"/>
      <c r="W159" s="413"/>
      <c r="X159" s="395"/>
      <c r="Y159" s="395"/>
      <c r="Z159" s="395"/>
      <c r="AA159" s="395"/>
      <c r="AB159" s="395"/>
      <c r="AC159" s="395"/>
      <c r="AD159" s="395"/>
      <c r="AE159" s="395"/>
      <c r="AF159" s="395"/>
      <c r="AG159" s="395"/>
      <c r="AH159" s="395"/>
      <c r="AI159" s="413"/>
      <c r="AJ159" s="392"/>
      <c r="AK159" s="405"/>
      <c r="AL159" s="395"/>
      <c r="AM159" s="395"/>
      <c r="AN159" s="395"/>
      <c r="AO159" s="395"/>
      <c r="AP159" s="401"/>
      <c r="AQ159" s="405"/>
      <c r="AR159" s="405"/>
      <c r="AS159" s="405"/>
      <c r="AT159" s="405"/>
    </row>
    <row r="160" spans="1:46" s="407" customFormat="1" ht="12" customHeight="1" outlineLevel="2">
      <c r="A160" s="415"/>
      <c r="B160" s="549"/>
      <c r="C160" s="387"/>
      <c r="D160" s="462" t="s">
        <v>393</v>
      </c>
      <c r="E160" s="388" t="s">
        <v>395</v>
      </c>
      <c r="F160" s="473"/>
      <c r="G160" s="386" t="s">
        <v>48</v>
      </c>
      <c r="H160" s="400" t="str">
        <f t="shared" si="11"/>
        <v>BB01-1</v>
      </c>
      <c r="I160" s="390">
        <v>1</v>
      </c>
      <c r="J160" s="473"/>
      <c r="K160" s="413">
        <v>1</v>
      </c>
      <c r="L160" s="572" t="s">
        <v>193</v>
      </c>
      <c r="M160" s="395"/>
      <c r="N160" s="395"/>
      <c r="O160" s="395"/>
      <c r="P160" s="395"/>
      <c r="Q160" s="395"/>
      <c r="R160" s="395"/>
      <c r="S160" s="395"/>
      <c r="T160" s="395"/>
      <c r="U160" s="395"/>
      <c r="V160" s="395"/>
      <c r="W160" s="413"/>
      <c r="X160" s="395"/>
      <c r="Y160" s="395"/>
      <c r="Z160" s="395"/>
      <c r="AA160" s="395"/>
      <c r="AB160" s="395"/>
      <c r="AC160" s="395"/>
      <c r="AD160" s="395"/>
      <c r="AE160" s="395"/>
      <c r="AF160" s="395"/>
      <c r="AG160" s="395"/>
      <c r="AH160" s="395"/>
      <c r="AI160" s="413"/>
      <c r="AJ160" s="392"/>
      <c r="AK160" s="405"/>
      <c r="AL160" s="395"/>
      <c r="AM160" s="395"/>
      <c r="AN160" s="395"/>
      <c r="AO160" s="395"/>
      <c r="AP160" s="401"/>
      <c r="AQ160" s="405"/>
      <c r="AR160" s="405"/>
      <c r="AS160" s="405"/>
      <c r="AT160" s="405"/>
    </row>
    <row r="161" spans="1:46" s="407" customFormat="1" ht="12" customHeight="1" outlineLevel="2">
      <c r="A161" s="415"/>
      <c r="B161" s="549"/>
      <c r="C161" s="387"/>
      <c r="D161" s="462" t="s">
        <v>396</v>
      </c>
      <c r="E161" s="388" t="s">
        <v>397</v>
      </c>
      <c r="F161" s="473"/>
      <c r="G161" s="386" t="s">
        <v>48</v>
      </c>
      <c r="H161" s="400" t="str">
        <f t="shared" si="11"/>
        <v>BB01-1</v>
      </c>
      <c r="I161" s="390">
        <v>1</v>
      </c>
      <c r="J161" s="473"/>
      <c r="K161" s="413">
        <v>1</v>
      </c>
      <c r="L161" s="572" t="s">
        <v>193</v>
      </c>
      <c r="M161" s="395"/>
      <c r="N161" s="395"/>
      <c r="O161" s="395"/>
      <c r="P161" s="395"/>
      <c r="Q161" s="395"/>
      <c r="R161" s="395"/>
      <c r="S161" s="395"/>
      <c r="T161" s="395"/>
      <c r="U161" s="395"/>
      <c r="V161" s="395"/>
      <c r="W161" s="413"/>
      <c r="X161" s="395"/>
      <c r="Y161" s="395"/>
      <c r="Z161" s="395"/>
      <c r="AA161" s="395"/>
      <c r="AB161" s="395"/>
      <c r="AC161" s="395"/>
      <c r="AD161" s="395"/>
      <c r="AE161" s="395"/>
      <c r="AF161" s="395"/>
      <c r="AG161" s="395"/>
      <c r="AH161" s="395"/>
      <c r="AI161" s="413"/>
      <c r="AJ161" s="392"/>
      <c r="AK161" s="405"/>
      <c r="AL161" s="395"/>
      <c r="AM161" s="395"/>
      <c r="AN161" s="395"/>
      <c r="AO161" s="395"/>
      <c r="AP161" s="401"/>
      <c r="AQ161" s="405"/>
      <c r="AR161" s="405"/>
      <c r="AS161" s="405"/>
      <c r="AT161" s="405"/>
    </row>
    <row r="162" spans="1:46" s="407" customFormat="1" ht="12" customHeight="1" outlineLevel="2">
      <c r="A162" s="415"/>
      <c r="B162" s="549"/>
      <c r="C162" s="387"/>
      <c r="D162" s="462" t="s">
        <v>396</v>
      </c>
      <c r="E162" s="388" t="s">
        <v>395</v>
      </c>
      <c r="F162" s="473"/>
      <c r="G162" s="386" t="s">
        <v>48</v>
      </c>
      <c r="H162" s="400" t="str">
        <f t="shared" si="11"/>
        <v>BB01-1</v>
      </c>
      <c r="I162" s="390">
        <v>1</v>
      </c>
      <c r="J162" s="473"/>
      <c r="K162" s="413">
        <v>1</v>
      </c>
      <c r="L162" s="572" t="s">
        <v>193</v>
      </c>
      <c r="M162" s="395"/>
      <c r="N162" s="395"/>
      <c r="O162" s="395"/>
      <c r="P162" s="395"/>
      <c r="Q162" s="395"/>
      <c r="R162" s="395"/>
      <c r="S162" s="395"/>
      <c r="T162" s="395"/>
      <c r="U162" s="395"/>
      <c r="V162" s="395"/>
      <c r="W162" s="413"/>
      <c r="X162" s="395"/>
      <c r="Y162" s="395"/>
      <c r="Z162" s="395"/>
      <c r="AA162" s="395"/>
      <c r="AB162" s="395"/>
      <c r="AC162" s="395"/>
      <c r="AD162" s="395"/>
      <c r="AE162" s="395"/>
      <c r="AF162" s="395"/>
      <c r="AG162" s="395"/>
      <c r="AH162" s="395"/>
      <c r="AI162" s="413"/>
      <c r="AJ162" s="392"/>
      <c r="AK162" s="405"/>
      <c r="AL162" s="395"/>
      <c r="AM162" s="395"/>
      <c r="AN162" s="395"/>
      <c r="AO162" s="395"/>
      <c r="AP162" s="401"/>
      <c r="AQ162" s="405"/>
      <c r="AR162" s="405"/>
      <c r="AS162" s="405"/>
      <c r="AT162" s="405"/>
    </row>
    <row r="163" spans="1:46" s="407" customFormat="1" ht="12" customHeight="1" outlineLevel="2">
      <c r="A163" s="415"/>
      <c r="B163" s="549"/>
      <c r="C163" s="387"/>
      <c r="D163" s="462" t="s">
        <v>398</v>
      </c>
      <c r="E163" s="388" t="s">
        <v>399</v>
      </c>
      <c r="F163" s="473"/>
      <c r="G163" s="386" t="s">
        <v>48</v>
      </c>
      <c r="H163" s="400" t="str">
        <f t="shared" si="11"/>
        <v>BB01-1</v>
      </c>
      <c r="I163" s="390">
        <v>1</v>
      </c>
      <c r="J163" s="473"/>
      <c r="K163" s="413">
        <v>1</v>
      </c>
      <c r="L163" s="572" t="s">
        <v>193</v>
      </c>
      <c r="M163" s="395"/>
      <c r="N163" s="395"/>
      <c r="O163" s="395"/>
      <c r="P163" s="395"/>
      <c r="Q163" s="395"/>
      <c r="R163" s="395"/>
      <c r="S163" s="395"/>
      <c r="T163" s="395"/>
      <c r="U163" s="395"/>
      <c r="V163" s="395"/>
      <c r="W163" s="413"/>
      <c r="X163" s="395"/>
      <c r="Y163" s="395"/>
      <c r="Z163" s="395"/>
      <c r="AA163" s="395"/>
      <c r="AB163" s="395"/>
      <c r="AC163" s="395"/>
      <c r="AD163" s="395"/>
      <c r="AE163" s="395"/>
      <c r="AF163" s="395"/>
      <c r="AG163" s="395"/>
      <c r="AH163" s="395"/>
      <c r="AI163" s="413"/>
      <c r="AJ163" s="392"/>
      <c r="AK163" s="405"/>
      <c r="AL163" s="395"/>
      <c r="AM163" s="395"/>
      <c r="AN163" s="395"/>
      <c r="AO163" s="395"/>
      <c r="AP163" s="401"/>
      <c r="AQ163" s="405"/>
      <c r="AR163" s="405"/>
      <c r="AS163" s="405"/>
      <c r="AT163" s="405"/>
    </row>
    <row r="164" spans="1:46" s="407" customFormat="1" ht="12" customHeight="1" outlineLevel="2">
      <c r="A164" s="415"/>
      <c r="B164" s="549"/>
      <c r="C164" s="387"/>
      <c r="D164" s="462" t="s">
        <v>398</v>
      </c>
      <c r="E164" s="388" t="s">
        <v>395</v>
      </c>
      <c r="F164" s="473"/>
      <c r="G164" s="386" t="s">
        <v>48</v>
      </c>
      <c r="H164" s="400" t="str">
        <f t="shared" si="11"/>
        <v>BB01-1</v>
      </c>
      <c r="I164" s="390">
        <v>1</v>
      </c>
      <c r="J164" s="473"/>
      <c r="K164" s="413">
        <v>1</v>
      </c>
      <c r="L164" s="572" t="s">
        <v>193</v>
      </c>
      <c r="M164" s="395"/>
      <c r="N164" s="395"/>
      <c r="O164" s="395"/>
      <c r="P164" s="395"/>
      <c r="Q164" s="395"/>
      <c r="R164" s="395"/>
      <c r="S164" s="395"/>
      <c r="T164" s="395"/>
      <c r="U164" s="395"/>
      <c r="V164" s="395"/>
      <c r="W164" s="413"/>
      <c r="X164" s="395"/>
      <c r="Y164" s="395"/>
      <c r="Z164" s="395"/>
      <c r="AA164" s="395"/>
      <c r="AB164" s="395"/>
      <c r="AC164" s="395"/>
      <c r="AD164" s="395"/>
      <c r="AE164" s="395"/>
      <c r="AF164" s="395"/>
      <c r="AG164" s="395"/>
      <c r="AH164" s="395"/>
      <c r="AI164" s="413"/>
      <c r="AJ164" s="392"/>
      <c r="AK164" s="405"/>
      <c r="AL164" s="395"/>
      <c r="AM164" s="395"/>
      <c r="AN164" s="395"/>
      <c r="AO164" s="395"/>
      <c r="AP164" s="401"/>
      <c r="AQ164" s="405"/>
      <c r="AR164" s="405"/>
      <c r="AS164" s="405"/>
      <c r="AT164" s="405"/>
    </row>
    <row r="165" spans="1:46" s="407" customFormat="1" ht="12" customHeight="1" outlineLevel="2">
      <c r="A165" s="415"/>
      <c r="B165" s="549"/>
      <c r="C165" s="387"/>
      <c r="D165" s="462" t="s">
        <v>400</v>
      </c>
      <c r="E165" s="388" t="s">
        <v>401</v>
      </c>
      <c r="F165" s="473"/>
      <c r="G165" s="386" t="s">
        <v>48</v>
      </c>
      <c r="H165" s="400" t="str">
        <f t="shared" si="11"/>
        <v>BB01-1</v>
      </c>
      <c r="I165" s="390">
        <v>1</v>
      </c>
      <c r="J165" s="473"/>
      <c r="K165" s="413">
        <v>1</v>
      </c>
      <c r="L165" s="572" t="s">
        <v>193</v>
      </c>
      <c r="M165" s="395"/>
      <c r="N165" s="395"/>
      <c r="O165" s="395"/>
      <c r="P165" s="395"/>
      <c r="Q165" s="395"/>
      <c r="R165" s="395"/>
      <c r="S165" s="395"/>
      <c r="T165" s="395"/>
      <c r="U165" s="395"/>
      <c r="V165" s="395"/>
      <c r="W165" s="413"/>
      <c r="X165" s="395"/>
      <c r="Y165" s="395"/>
      <c r="Z165" s="395"/>
      <c r="AA165" s="395"/>
      <c r="AB165" s="395"/>
      <c r="AC165" s="395"/>
      <c r="AD165" s="395"/>
      <c r="AE165" s="395"/>
      <c r="AF165" s="395"/>
      <c r="AG165" s="395"/>
      <c r="AH165" s="395"/>
      <c r="AI165" s="413"/>
      <c r="AJ165" s="392"/>
      <c r="AK165" s="405"/>
      <c r="AL165" s="395"/>
      <c r="AM165" s="395"/>
      <c r="AN165" s="395"/>
      <c r="AO165" s="395"/>
      <c r="AP165" s="401"/>
      <c r="AQ165" s="405"/>
      <c r="AR165" s="405"/>
      <c r="AS165" s="405"/>
      <c r="AT165" s="405"/>
    </row>
    <row r="166" spans="1:46" s="407" customFormat="1" ht="12" customHeight="1" outlineLevel="2">
      <c r="A166" s="415"/>
      <c r="B166" s="549"/>
      <c r="C166" s="387"/>
      <c r="D166" s="462" t="s">
        <v>402</v>
      </c>
      <c r="E166" s="388" t="s">
        <v>403</v>
      </c>
      <c r="F166" s="473"/>
      <c r="G166" s="386" t="s">
        <v>48</v>
      </c>
      <c r="H166" s="400" t="str">
        <f t="shared" si="11"/>
        <v>BB01-1</v>
      </c>
      <c r="I166" s="390">
        <v>1</v>
      </c>
      <c r="J166" s="473"/>
      <c r="K166" s="413">
        <v>1</v>
      </c>
      <c r="L166" s="572" t="s">
        <v>193</v>
      </c>
      <c r="M166" s="395"/>
      <c r="N166" s="395"/>
      <c r="O166" s="395"/>
      <c r="P166" s="395"/>
      <c r="Q166" s="395"/>
      <c r="R166" s="395"/>
      <c r="S166" s="395"/>
      <c r="T166" s="395"/>
      <c r="U166" s="395"/>
      <c r="V166" s="395"/>
      <c r="W166" s="413"/>
      <c r="X166" s="395"/>
      <c r="Y166" s="395"/>
      <c r="Z166" s="395"/>
      <c r="AA166" s="395"/>
      <c r="AB166" s="395"/>
      <c r="AC166" s="395"/>
      <c r="AD166" s="395"/>
      <c r="AE166" s="395"/>
      <c r="AF166" s="395"/>
      <c r="AG166" s="395"/>
      <c r="AH166" s="395"/>
      <c r="AI166" s="413"/>
      <c r="AJ166" s="392"/>
      <c r="AK166" s="405"/>
      <c r="AL166" s="395"/>
      <c r="AM166" s="395"/>
      <c r="AN166" s="395"/>
      <c r="AO166" s="395"/>
      <c r="AP166" s="401"/>
      <c r="AQ166" s="405"/>
      <c r="AR166" s="405"/>
      <c r="AS166" s="405"/>
      <c r="AT166" s="405"/>
    </row>
    <row r="167" spans="1:46" s="407" customFormat="1" ht="12" customHeight="1" outlineLevel="2">
      <c r="A167" s="415"/>
      <c r="B167" s="549"/>
      <c r="C167" s="387"/>
      <c r="D167" s="462" t="s">
        <v>404</v>
      </c>
      <c r="E167" s="388" t="s">
        <v>405</v>
      </c>
      <c r="F167" s="473"/>
      <c r="G167" s="386" t="s">
        <v>48</v>
      </c>
      <c r="H167" s="400" t="str">
        <f t="shared" si="11"/>
        <v>BB01-1</v>
      </c>
      <c r="I167" s="390">
        <v>1</v>
      </c>
      <c r="J167" s="473"/>
      <c r="K167" s="413">
        <v>1</v>
      </c>
      <c r="L167" s="572" t="s">
        <v>193</v>
      </c>
      <c r="M167" s="395"/>
      <c r="N167" s="395"/>
      <c r="O167" s="395"/>
      <c r="P167" s="395"/>
      <c r="Q167" s="395"/>
      <c r="R167" s="395"/>
      <c r="S167" s="395"/>
      <c r="T167" s="395"/>
      <c r="U167" s="395"/>
      <c r="V167" s="395"/>
      <c r="W167" s="413"/>
      <c r="X167" s="395"/>
      <c r="Y167" s="395"/>
      <c r="Z167" s="395"/>
      <c r="AA167" s="395"/>
      <c r="AB167" s="395"/>
      <c r="AC167" s="395"/>
      <c r="AD167" s="395"/>
      <c r="AE167" s="395"/>
      <c r="AF167" s="395"/>
      <c r="AG167" s="395"/>
      <c r="AH167" s="395"/>
      <c r="AI167" s="413"/>
      <c r="AJ167" s="392"/>
      <c r="AK167" s="405"/>
      <c r="AL167" s="395"/>
      <c r="AM167" s="395"/>
      <c r="AN167" s="395"/>
      <c r="AO167" s="395"/>
      <c r="AP167" s="401"/>
      <c r="AQ167" s="405"/>
      <c r="AR167" s="405"/>
      <c r="AS167" s="405"/>
      <c r="AT167" s="405"/>
    </row>
    <row r="168" spans="1:46" s="407" customFormat="1" ht="12" customHeight="1" outlineLevel="2">
      <c r="A168" s="415"/>
      <c r="B168" s="549"/>
      <c r="C168" s="387"/>
      <c r="D168" s="462" t="s">
        <v>404</v>
      </c>
      <c r="E168" s="388" t="s">
        <v>406</v>
      </c>
      <c r="F168" s="473"/>
      <c r="G168" s="386" t="s">
        <v>48</v>
      </c>
      <c r="H168" s="400" t="str">
        <f t="shared" si="11"/>
        <v>BB01-1</v>
      </c>
      <c r="I168" s="390">
        <v>1</v>
      </c>
      <c r="J168" s="473"/>
      <c r="K168" s="413">
        <v>1</v>
      </c>
      <c r="L168" s="572" t="s">
        <v>193</v>
      </c>
      <c r="M168" s="395"/>
      <c r="N168" s="395"/>
      <c r="O168" s="395"/>
      <c r="P168" s="395"/>
      <c r="Q168" s="395"/>
      <c r="R168" s="395"/>
      <c r="S168" s="395"/>
      <c r="T168" s="395"/>
      <c r="U168" s="395"/>
      <c r="V168" s="395"/>
      <c r="W168" s="413"/>
      <c r="X168" s="395"/>
      <c r="Y168" s="395"/>
      <c r="Z168" s="395"/>
      <c r="AA168" s="395"/>
      <c r="AB168" s="395"/>
      <c r="AC168" s="395"/>
      <c r="AD168" s="395"/>
      <c r="AE168" s="395"/>
      <c r="AF168" s="395"/>
      <c r="AG168" s="395"/>
      <c r="AH168" s="395"/>
      <c r="AI168" s="413"/>
      <c r="AJ168" s="392"/>
      <c r="AK168" s="405"/>
      <c r="AL168" s="395"/>
      <c r="AM168" s="395"/>
      <c r="AN168" s="395"/>
      <c r="AO168" s="395"/>
      <c r="AP168" s="401"/>
      <c r="AQ168" s="405"/>
      <c r="AR168" s="405"/>
      <c r="AS168" s="405"/>
      <c r="AT168" s="405"/>
    </row>
    <row r="169" spans="1:46" s="407" customFormat="1" ht="12" customHeight="1" outlineLevel="2">
      <c r="A169" s="415"/>
      <c r="B169" s="549"/>
      <c r="C169" s="387"/>
      <c r="D169" s="462" t="s">
        <v>407</v>
      </c>
      <c r="E169" s="388" t="s">
        <v>408</v>
      </c>
      <c r="F169" s="473"/>
      <c r="G169" s="386" t="s">
        <v>48</v>
      </c>
      <c r="H169" s="400" t="str">
        <f t="shared" si="11"/>
        <v>BB01-1</v>
      </c>
      <c r="I169" s="390">
        <v>1</v>
      </c>
      <c r="J169" s="473"/>
      <c r="K169" s="413">
        <v>1</v>
      </c>
      <c r="L169" s="572" t="s">
        <v>193</v>
      </c>
      <c r="M169" s="395"/>
      <c r="N169" s="395"/>
      <c r="O169" s="395"/>
      <c r="P169" s="395"/>
      <c r="Q169" s="395"/>
      <c r="R169" s="395"/>
      <c r="S169" s="395"/>
      <c r="T169" s="395"/>
      <c r="U169" s="395"/>
      <c r="V169" s="395"/>
      <c r="W169" s="413"/>
      <c r="X169" s="395"/>
      <c r="Y169" s="395"/>
      <c r="Z169" s="395"/>
      <c r="AA169" s="395"/>
      <c r="AB169" s="395"/>
      <c r="AC169" s="395"/>
      <c r="AD169" s="395"/>
      <c r="AE169" s="395"/>
      <c r="AF169" s="395"/>
      <c r="AG169" s="395"/>
      <c r="AH169" s="395"/>
      <c r="AI169" s="413"/>
      <c r="AJ169" s="392"/>
      <c r="AK169" s="405"/>
      <c r="AL169" s="395"/>
      <c r="AM169" s="395"/>
      <c r="AN169" s="395"/>
      <c r="AO169" s="395"/>
      <c r="AP169" s="401"/>
      <c r="AQ169" s="405"/>
      <c r="AR169" s="405"/>
      <c r="AS169" s="405"/>
      <c r="AT169" s="405"/>
    </row>
    <row r="170" spans="1:46" s="407" customFormat="1" ht="12" customHeight="1" outlineLevel="2">
      <c r="A170" s="415"/>
      <c r="B170" s="549"/>
      <c r="C170" s="387"/>
      <c r="D170" s="462" t="s">
        <v>409</v>
      </c>
      <c r="E170" s="388" t="s">
        <v>410</v>
      </c>
      <c r="F170" s="473"/>
      <c r="G170" s="386" t="s">
        <v>48</v>
      </c>
      <c r="H170" s="400" t="str">
        <f t="shared" si="11"/>
        <v>BB01-1</v>
      </c>
      <c r="I170" s="390">
        <v>1</v>
      </c>
      <c r="J170" s="473"/>
      <c r="K170" s="413">
        <v>1</v>
      </c>
      <c r="L170" s="572" t="s">
        <v>193</v>
      </c>
      <c r="M170" s="395"/>
      <c r="N170" s="395"/>
      <c r="O170" s="395"/>
      <c r="P170" s="395"/>
      <c r="Q170" s="395"/>
      <c r="R170" s="395"/>
      <c r="S170" s="395"/>
      <c r="T170" s="395"/>
      <c r="U170" s="395"/>
      <c r="V170" s="395"/>
      <c r="W170" s="413"/>
      <c r="X170" s="395"/>
      <c r="Y170" s="395"/>
      <c r="Z170" s="395"/>
      <c r="AA170" s="395"/>
      <c r="AB170" s="395"/>
      <c r="AC170" s="395"/>
      <c r="AD170" s="395"/>
      <c r="AE170" s="395"/>
      <c r="AF170" s="395"/>
      <c r="AG170" s="395"/>
      <c r="AH170" s="395"/>
      <c r="AI170" s="413"/>
      <c r="AJ170" s="392"/>
      <c r="AK170" s="405"/>
      <c r="AL170" s="395"/>
      <c r="AM170" s="395"/>
      <c r="AN170" s="395"/>
      <c r="AO170" s="395"/>
      <c r="AP170" s="401"/>
      <c r="AQ170" s="405"/>
      <c r="AR170" s="405"/>
      <c r="AS170" s="405"/>
      <c r="AT170" s="405"/>
    </row>
    <row r="171" spans="1:46" s="407" customFormat="1" ht="12" customHeight="1" outlineLevel="2">
      <c r="A171" s="415"/>
      <c r="B171" s="549"/>
      <c r="C171" s="387"/>
      <c r="D171" s="462" t="s">
        <v>409</v>
      </c>
      <c r="E171" s="388" t="s">
        <v>411</v>
      </c>
      <c r="F171" s="473"/>
      <c r="G171" s="386" t="s">
        <v>48</v>
      </c>
      <c r="H171" s="400" t="str">
        <f t="shared" si="11"/>
        <v>BB01-1</v>
      </c>
      <c r="I171" s="390">
        <v>1</v>
      </c>
      <c r="J171" s="473"/>
      <c r="K171" s="413">
        <v>1</v>
      </c>
      <c r="L171" s="572" t="s">
        <v>193</v>
      </c>
      <c r="M171" s="395"/>
      <c r="N171" s="395"/>
      <c r="O171" s="395"/>
      <c r="P171" s="395"/>
      <c r="Q171" s="395"/>
      <c r="R171" s="395"/>
      <c r="S171" s="395"/>
      <c r="T171" s="395"/>
      <c r="U171" s="395"/>
      <c r="V171" s="395"/>
      <c r="W171" s="413"/>
      <c r="X171" s="395"/>
      <c r="Y171" s="395"/>
      <c r="Z171" s="395"/>
      <c r="AA171" s="395"/>
      <c r="AB171" s="395"/>
      <c r="AC171" s="395"/>
      <c r="AD171" s="395"/>
      <c r="AE171" s="395"/>
      <c r="AF171" s="395"/>
      <c r="AG171" s="395"/>
      <c r="AH171" s="395"/>
      <c r="AI171" s="413"/>
      <c r="AJ171" s="392"/>
      <c r="AK171" s="405"/>
      <c r="AL171" s="395"/>
      <c r="AM171" s="395"/>
      <c r="AN171" s="395"/>
      <c r="AO171" s="395"/>
      <c r="AP171" s="401"/>
      <c r="AQ171" s="405"/>
      <c r="AR171" s="405"/>
      <c r="AS171" s="405"/>
      <c r="AT171" s="405"/>
    </row>
    <row r="172" spans="1:46" s="407" customFormat="1" ht="12" customHeight="1" outlineLevel="2">
      <c r="A172" s="415"/>
      <c r="B172" s="549"/>
      <c r="C172" s="387"/>
      <c r="D172" s="462" t="s">
        <v>412</v>
      </c>
      <c r="E172" s="388" t="s">
        <v>413</v>
      </c>
      <c r="F172" s="473"/>
      <c r="G172" s="386" t="s">
        <v>48</v>
      </c>
      <c r="H172" s="400" t="str">
        <f t="shared" si="11"/>
        <v>BB01-1</v>
      </c>
      <c r="I172" s="390">
        <v>1</v>
      </c>
      <c r="J172" s="473"/>
      <c r="K172" s="413">
        <v>1</v>
      </c>
      <c r="L172" s="572" t="s">
        <v>193</v>
      </c>
      <c r="M172" s="395"/>
      <c r="N172" s="395"/>
      <c r="O172" s="395"/>
      <c r="P172" s="395"/>
      <c r="Q172" s="395"/>
      <c r="R172" s="395"/>
      <c r="S172" s="395"/>
      <c r="T172" s="395"/>
      <c r="U172" s="395"/>
      <c r="V172" s="395"/>
      <c r="W172" s="413"/>
      <c r="X172" s="395"/>
      <c r="Y172" s="395"/>
      <c r="Z172" s="395"/>
      <c r="AA172" s="395"/>
      <c r="AB172" s="395"/>
      <c r="AC172" s="395"/>
      <c r="AD172" s="395"/>
      <c r="AE172" s="395"/>
      <c r="AF172" s="395"/>
      <c r="AG172" s="395"/>
      <c r="AH172" s="395"/>
      <c r="AI172" s="413"/>
      <c r="AJ172" s="392"/>
      <c r="AK172" s="405"/>
      <c r="AL172" s="395"/>
      <c r="AM172" s="395"/>
      <c r="AN172" s="395"/>
      <c r="AO172" s="395"/>
      <c r="AP172" s="401"/>
      <c r="AQ172" s="405"/>
      <c r="AR172" s="405"/>
      <c r="AS172" s="405"/>
      <c r="AT172" s="405"/>
    </row>
    <row r="173" spans="1:46" s="407" customFormat="1" ht="12" customHeight="1" outlineLevel="2">
      <c r="A173" s="415"/>
      <c r="B173" s="549"/>
      <c r="C173" s="387"/>
      <c r="D173" s="462" t="s">
        <v>412</v>
      </c>
      <c r="E173" s="388" t="s">
        <v>414</v>
      </c>
      <c r="F173" s="473"/>
      <c r="G173" s="386" t="s">
        <v>48</v>
      </c>
      <c r="H173" s="400" t="str">
        <f t="shared" si="11"/>
        <v>BB01-1</v>
      </c>
      <c r="I173" s="390">
        <v>1</v>
      </c>
      <c r="J173" s="473"/>
      <c r="K173" s="413">
        <v>1</v>
      </c>
      <c r="L173" s="572" t="s">
        <v>193</v>
      </c>
      <c r="M173" s="395"/>
      <c r="N173" s="395"/>
      <c r="O173" s="395"/>
      <c r="P173" s="395"/>
      <c r="Q173" s="395"/>
      <c r="R173" s="395"/>
      <c r="S173" s="395"/>
      <c r="T173" s="395"/>
      <c r="U173" s="395"/>
      <c r="V173" s="395"/>
      <c r="W173" s="413"/>
      <c r="X173" s="395"/>
      <c r="Y173" s="395"/>
      <c r="Z173" s="395"/>
      <c r="AA173" s="395"/>
      <c r="AB173" s="395"/>
      <c r="AC173" s="395"/>
      <c r="AD173" s="395"/>
      <c r="AE173" s="395"/>
      <c r="AF173" s="395"/>
      <c r="AG173" s="395"/>
      <c r="AH173" s="395"/>
      <c r="AI173" s="413"/>
      <c r="AJ173" s="392"/>
      <c r="AK173" s="405"/>
      <c r="AL173" s="395"/>
      <c r="AM173" s="395"/>
      <c r="AN173" s="395"/>
      <c r="AO173" s="395"/>
      <c r="AP173" s="401"/>
      <c r="AQ173" s="405"/>
      <c r="AR173" s="405"/>
      <c r="AS173" s="405"/>
      <c r="AT173" s="405"/>
    </row>
    <row r="174" spans="1:46" s="407" customFormat="1" ht="12" customHeight="1" outlineLevel="2">
      <c r="A174" s="415"/>
      <c r="B174" s="549"/>
      <c r="C174" s="387"/>
      <c r="D174" s="462" t="s">
        <v>415</v>
      </c>
      <c r="E174" s="388" t="s">
        <v>416</v>
      </c>
      <c r="F174" s="473"/>
      <c r="G174" s="386" t="s">
        <v>48</v>
      </c>
      <c r="H174" s="400" t="str">
        <f t="shared" si="11"/>
        <v>BB01-1</v>
      </c>
      <c r="I174" s="390">
        <v>1</v>
      </c>
      <c r="J174" s="473"/>
      <c r="K174" s="413">
        <v>1</v>
      </c>
      <c r="L174" s="572" t="s">
        <v>193</v>
      </c>
      <c r="M174" s="395"/>
      <c r="N174" s="395"/>
      <c r="O174" s="395"/>
      <c r="P174" s="395"/>
      <c r="Q174" s="395"/>
      <c r="R174" s="395"/>
      <c r="S174" s="395"/>
      <c r="T174" s="395"/>
      <c r="U174" s="395"/>
      <c r="V174" s="395"/>
      <c r="W174" s="413"/>
      <c r="X174" s="395"/>
      <c r="Y174" s="395"/>
      <c r="Z174" s="395"/>
      <c r="AA174" s="395"/>
      <c r="AB174" s="395"/>
      <c r="AC174" s="395"/>
      <c r="AD174" s="395"/>
      <c r="AE174" s="395"/>
      <c r="AF174" s="395"/>
      <c r="AG174" s="395"/>
      <c r="AH174" s="395"/>
      <c r="AI174" s="413"/>
      <c r="AJ174" s="392"/>
      <c r="AK174" s="405"/>
      <c r="AL174" s="395"/>
      <c r="AM174" s="395"/>
      <c r="AN174" s="395"/>
      <c r="AO174" s="395"/>
      <c r="AP174" s="401"/>
      <c r="AQ174" s="405"/>
      <c r="AR174" s="405"/>
      <c r="AS174" s="405"/>
      <c r="AT174" s="405"/>
    </row>
    <row r="175" spans="1:46" s="407" customFormat="1" ht="12" customHeight="1" outlineLevel="2">
      <c r="A175" s="415"/>
      <c r="B175" s="549"/>
      <c r="C175" s="387"/>
      <c r="D175" s="462" t="s">
        <v>415</v>
      </c>
      <c r="E175" s="388" t="s">
        <v>417</v>
      </c>
      <c r="F175" s="473"/>
      <c r="G175" s="386" t="s">
        <v>48</v>
      </c>
      <c r="H175" s="400" t="str">
        <f t="shared" si="11"/>
        <v>BB01-1</v>
      </c>
      <c r="I175" s="390">
        <v>1</v>
      </c>
      <c r="J175" s="473"/>
      <c r="K175" s="413">
        <v>1</v>
      </c>
      <c r="L175" s="572" t="s">
        <v>193</v>
      </c>
      <c r="M175" s="395"/>
      <c r="N175" s="395"/>
      <c r="O175" s="395"/>
      <c r="P175" s="395"/>
      <c r="Q175" s="395"/>
      <c r="R175" s="395"/>
      <c r="S175" s="395"/>
      <c r="T175" s="395"/>
      <c r="U175" s="395"/>
      <c r="V175" s="395"/>
      <c r="W175" s="413"/>
      <c r="X175" s="395"/>
      <c r="Y175" s="395"/>
      <c r="Z175" s="395"/>
      <c r="AA175" s="395"/>
      <c r="AB175" s="395"/>
      <c r="AC175" s="395"/>
      <c r="AD175" s="395"/>
      <c r="AE175" s="395"/>
      <c r="AF175" s="395"/>
      <c r="AG175" s="395"/>
      <c r="AH175" s="395"/>
      <c r="AI175" s="413"/>
      <c r="AJ175" s="392"/>
      <c r="AK175" s="405"/>
      <c r="AL175" s="395"/>
      <c r="AM175" s="395"/>
      <c r="AN175" s="395"/>
      <c r="AO175" s="395"/>
      <c r="AP175" s="401"/>
      <c r="AQ175" s="405"/>
      <c r="AR175" s="405"/>
      <c r="AS175" s="405"/>
      <c r="AT175" s="405"/>
    </row>
    <row r="176" spans="1:46" s="407" customFormat="1" ht="12" customHeight="1" outlineLevel="2">
      <c r="A176" s="415"/>
      <c r="B176" s="549"/>
      <c r="C176" s="387"/>
      <c r="D176" s="462" t="s">
        <v>418</v>
      </c>
      <c r="E176" s="388" t="s">
        <v>419</v>
      </c>
      <c r="F176" s="473"/>
      <c r="G176" s="386" t="s">
        <v>48</v>
      </c>
      <c r="H176" s="400" t="str">
        <f t="shared" si="11"/>
        <v>BB01-1</v>
      </c>
      <c r="I176" s="390">
        <v>1</v>
      </c>
      <c r="J176" s="473"/>
      <c r="K176" s="413">
        <v>1</v>
      </c>
      <c r="L176" s="572" t="s">
        <v>193</v>
      </c>
      <c r="M176" s="395"/>
      <c r="N176" s="395"/>
      <c r="O176" s="395"/>
      <c r="P176" s="395"/>
      <c r="Q176" s="395"/>
      <c r="R176" s="395"/>
      <c r="S176" s="395"/>
      <c r="T176" s="395"/>
      <c r="U176" s="395"/>
      <c r="V176" s="395"/>
      <c r="W176" s="413"/>
      <c r="X176" s="395"/>
      <c r="Y176" s="395"/>
      <c r="Z176" s="395"/>
      <c r="AA176" s="395"/>
      <c r="AB176" s="395"/>
      <c r="AC176" s="395"/>
      <c r="AD176" s="395"/>
      <c r="AE176" s="395"/>
      <c r="AF176" s="395"/>
      <c r="AG176" s="395"/>
      <c r="AH176" s="395"/>
      <c r="AI176" s="413"/>
      <c r="AJ176" s="392"/>
      <c r="AK176" s="405"/>
      <c r="AL176" s="395"/>
      <c r="AM176" s="395"/>
      <c r="AN176" s="395"/>
      <c r="AO176" s="395"/>
      <c r="AP176" s="401"/>
      <c r="AQ176" s="405"/>
      <c r="AR176" s="405"/>
      <c r="AS176" s="405"/>
      <c r="AT176" s="405"/>
    </row>
    <row r="177" spans="1:46" s="407" customFormat="1" ht="12" customHeight="1" outlineLevel="2">
      <c r="A177" s="415"/>
      <c r="B177" s="549"/>
      <c r="C177" s="387"/>
      <c r="D177" s="462" t="s">
        <v>418</v>
      </c>
      <c r="E177" s="388" t="s">
        <v>420</v>
      </c>
      <c r="F177" s="473"/>
      <c r="G177" s="386" t="s">
        <v>48</v>
      </c>
      <c r="H177" s="400" t="str">
        <f t="shared" si="11"/>
        <v>BB01-1</v>
      </c>
      <c r="I177" s="390">
        <v>1</v>
      </c>
      <c r="J177" s="473"/>
      <c r="K177" s="413">
        <v>1</v>
      </c>
      <c r="L177" s="572" t="s">
        <v>193</v>
      </c>
      <c r="M177" s="395"/>
      <c r="N177" s="395"/>
      <c r="O177" s="395"/>
      <c r="P177" s="395"/>
      <c r="Q177" s="395"/>
      <c r="R177" s="395"/>
      <c r="S177" s="395"/>
      <c r="T177" s="395"/>
      <c r="U177" s="395"/>
      <c r="V177" s="395"/>
      <c r="W177" s="413"/>
      <c r="X177" s="395"/>
      <c r="Y177" s="395"/>
      <c r="Z177" s="395"/>
      <c r="AA177" s="395"/>
      <c r="AB177" s="395"/>
      <c r="AC177" s="395"/>
      <c r="AD177" s="395"/>
      <c r="AE177" s="395"/>
      <c r="AF177" s="395"/>
      <c r="AG177" s="395"/>
      <c r="AH177" s="395"/>
      <c r="AI177" s="413"/>
      <c r="AJ177" s="392"/>
      <c r="AK177" s="405"/>
      <c r="AL177" s="395"/>
      <c r="AM177" s="395"/>
      <c r="AN177" s="395"/>
      <c r="AO177" s="395"/>
      <c r="AP177" s="401"/>
      <c r="AQ177" s="405"/>
      <c r="AR177" s="405"/>
      <c r="AS177" s="405"/>
      <c r="AT177" s="405"/>
    </row>
    <row r="178" spans="1:46" s="407" customFormat="1" ht="12" customHeight="1" outlineLevel="2">
      <c r="A178" s="415"/>
      <c r="B178" s="549"/>
      <c r="C178" s="387"/>
      <c r="D178" s="462" t="s">
        <v>421</v>
      </c>
      <c r="E178" s="388" t="s">
        <v>422</v>
      </c>
      <c r="F178" s="473"/>
      <c r="G178" s="386" t="s">
        <v>48</v>
      </c>
      <c r="H178" s="400" t="str">
        <f t="shared" si="11"/>
        <v>BB01-1</v>
      </c>
      <c r="I178" s="390">
        <v>1</v>
      </c>
      <c r="J178" s="473"/>
      <c r="K178" s="413">
        <v>1</v>
      </c>
      <c r="L178" s="572" t="s">
        <v>193</v>
      </c>
      <c r="M178" s="395"/>
      <c r="N178" s="395"/>
      <c r="O178" s="395"/>
      <c r="P178" s="395"/>
      <c r="Q178" s="395"/>
      <c r="R178" s="395"/>
      <c r="S178" s="395"/>
      <c r="T178" s="395"/>
      <c r="U178" s="395"/>
      <c r="V178" s="395"/>
      <c r="W178" s="413"/>
      <c r="X178" s="395"/>
      <c r="Y178" s="395"/>
      <c r="Z178" s="395"/>
      <c r="AA178" s="395"/>
      <c r="AB178" s="395"/>
      <c r="AC178" s="395"/>
      <c r="AD178" s="395"/>
      <c r="AE178" s="395"/>
      <c r="AF178" s="395"/>
      <c r="AG178" s="395"/>
      <c r="AH178" s="395"/>
      <c r="AI178" s="413"/>
      <c r="AJ178" s="392"/>
      <c r="AK178" s="405"/>
      <c r="AL178" s="395"/>
      <c r="AM178" s="395"/>
      <c r="AN178" s="395"/>
      <c r="AO178" s="395"/>
      <c r="AP178" s="401"/>
      <c r="AQ178" s="405"/>
      <c r="AR178" s="405"/>
      <c r="AS178" s="405"/>
      <c r="AT178" s="405"/>
    </row>
    <row r="179" spans="1:46" s="407" customFormat="1" ht="12" customHeight="1" outlineLevel="2">
      <c r="A179" s="415"/>
      <c r="B179" s="549"/>
      <c r="C179" s="387"/>
      <c r="D179" s="462" t="s">
        <v>423</v>
      </c>
      <c r="E179" s="388" t="s">
        <v>424</v>
      </c>
      <c r="F179" s="473"/>
      <c r="G179" s="386" t="s">
        <v>48</v>
      </c>
      <c r="H179" s="400" t="str">
        <f t="shared" si="11"/>
        <v>BB01-1</v>
      </c>
      <c r="I179" s="390">
        <v>1</v>
      </c>
      <c r="J179" s="473"/>
      <c r="K179" s="413">
        <v>1</v>
      </c>
      <c r="L179" s="572" t="s">
        <v>193</v>
      </c>
      <c r="M179" s="395"/>
      <c r="N179" s="395"/>
      <c r="O179" s="395"/>
      <c r="P179" s="395"/>
      <c r="Q179" s="395"/>
      <c r="R179" s="395"/>
      <c r="S179" s="395"/>
      <c r="T179" s="395"/>
      <c r="U179" s="395"/>
      <c r="V179" s="395"/>
      <c r="W179" s="413"/>
      <c r="X179" s="395"/>
      <c r="Y179" s="395"/>
      <c r="Z179" s="395"/>
      <c r="AA179" s="395"/>
      <c r="AB179" s="395"/>
      <c r="AC179" s="395"/>
      <c r="AD179" s="395"/>
      <c r="AE179" s="395"/>
      <c r="AF179" s="395"/>
      <c r="AG179" s="395"/>
      <c r="AH179" s="395"/>
      <c r="AI179" s="413"/>
      <c r="AJ179" s="392"/>
      <c r="AK179" s="405"/>
      <c r="AL179" s="395"/>
      <c r="AM179" s="395"/>
      <c r="AN179" s="395"/>
      <c r="AO179" s="395"/>
      <c r="AP179" s="401"/>
      <c r="AQ179" s="405"/>
      <c r="AR179" s="405"/>
      <c r="AS179" s="405"/>
      <c r="AT179" s="405"/>
    </row>
    <row r="180" spans="1:46" s="407" customFormat="1" ht="12" customHeight="1" outlineLevel="2">
      <c r="A180" s="415"/>
      <c r="B180" s="549"/>
      <c r="C180" s="387"/>
      <c r="D180" s="462" t="s">
        <v>425</v>
      </c>
      <c r="E180" s="388" t="s">
        <v>426</v>
      </c>
      <c r="F180" s="473"/>
      <c r="G180" s="386" t="s">
        <v>48</v>
      </c>
      <c r="H180" s="400" t="str">
        <f t="shared" si="11"/>
        <v>BB01-1</v>
      </c>
      <c r="I180" s="390">
        <v>1</v>
      </c>
      <c r="J180" s="473"/>
      <c r="K180" s="413">
        <v>1</v>
      </c>
      <c r="L180" s="572" t="s">
        <v>193</v>
      </c>
      <c r="M180" s="395"/>
      <c r="N180" s="395"/>
      <c r="O180" s="395"/>
      <c r="P180" s="395"/>
      <c r="Q180" s="395"/>
      <c r="R180" s="395"/>
      <c r="S180" s="395"/>
      <c r="T180" s="395"/>
      <c r="U180" s="395"/>
      <c r="V180" s="395"/>
      <c r="W180" s="413"/>
      <c r="X180" s="395"/>
      <c r="Y180" s="395"/>
      <c r="Z180" s="395"/>
      <c r="AA180" s="395"/>
      <c r="AB180" s="395"/>
      <c r="AC180" s="395"/>
      <c r="AD180" s="395"/>
      <c r="AE180" s="395"/>
      <c r="AF180" s="395"/>
      <c r="AG180" s="395"/>
      <c r="AH180" s="395"/>
      <c r="AI180" s="413"/>
      <c r="AJ180" s="392"/>
      <c r="AK180" s="405"/>
      <c r="AL180" s="395"/>
      <c r="AM180" s="395"/>
      <c r="AN180" s="395"/>
      <c r="AO180" s="395"/>
      <c r="AP180" s="401"/>
      <c r="AQ180" s="405"/>
      <c r="AR180" s="405"/>
      <c r="AS180" s="405"/>
      <c r="AT180" s="405"/>
    </row>
    <row r="181" spans="1:46" s="407" customFormat="1" ht="12" customHeight="1" outlineLevel="2">
      <c r="A181" s="415"/>
      <c r="B181" s="549"/>
      <c r="C181" s="387"/>
      <c r="D181" s="462" t="s">
        <v>427</v>
      </c>
      <c r="E181" s="388" t="s">
        <v>428</v>
      </c>
      <c r="F181" s="473"/>
      <c r="G181" s="386" t="s">
        <v>48</v>
      </c>
      <c r="H181" s="400" t="str">
        <f t="shared" si="11"/>
        <v>BB01-1</v>
      </c>
      <c r="I181" s="390">
        <v>1</v>
      </c>
      <c r="J181" s="473"/>
      <c r="K181" s="413">
        <v>1</v>
      </c>
      <c r="L181" s="572" t="s">
        <v>193</v>
      </c>
      <c r="M181" s="395"/>
      <c r="N181" s="395"/>
      <c r="O181" s="395"/>
      <c r="P181" s="395"/>
      <c r="Q181" s="395"/>
      <c r="R181" s="395"/>
      <c r="S181" s="395"/>
      <c r="T181" s="395"/>
      <c r="U181" s="395"/>
      <c r="V181" s="395"/>
      <c r="W181" s="413"/>
      <c r="X181" s="395"/>
      <c r="Y181" s="395"/>
      <c r="Z181" s="395"/>
      <c r="AA181" s="395"/>
      <c r="AB181" s="395"/>
      <c r="AC181" s="395"/>
      <c r="AD181" s="395"/>
      <c r="AE181" s="395"/>
      <c r="AF181" s="395"/>
      <c r="AG181" s="395"/>
      <c r="AH181" s="395"/>
      <c r="AI181" s="413"/>
      <c r="AJ181" s="392"/>
      <c r="AK181" s="405"/>
      <c r="AL181" s="395"/>
      <c r="AM181" s="395"/>
      <c r="AN181" s="395"/>
      <c r="AO181" s="395"/>
      <c r="AP181" s="401"/>
      <c r="AQ181" s="405"/>
      <c r="AR181" s="405"/>
      <c r="AS181" s="405"/>
      <c r="AT181" s="405"/>
    </row>
    <row r="182" spans="1:46" ht="3" customHeight="1" outlineLevel="1">
      <c r="A182" s="548"/>
      <c r="B182" s="552"/>
      <c r="K182" s="408"/>
      <c r="L182" s="408"/>
    </row>
    <row r="183" spans="1:46" outlineLevel="1">
      <c r="A183" s="460" t="s">
        <v>151</v>
      </c>
      <c r="B183" s="460" t="s">
        <v>53</v>
      </c>
      <c r="C183" s="460"/>
      <c r="D183" s="460"/>
      <c r="E183" s="460"/>
      <c r="G183" s="460"/>
      <c r="H183" s="460"/>
      <c r="I183" s="460"/>
      <c r="K183" s="408"/>
      <c r="L183" s="408"/>
    </row>
    <row r="184" spans="1:46" s="407" customFormat="1" ht="12" customHeight="1" outlineLevel="2">
      <c r="A184" s="415"/>
      <c r="B184" s="549"/>
      <c r="C184" s="387"/>
      <c r="D184" s="462"/>
      <c r="E184" s="388" t="s">
        <v>227</v>
      </c>
      <c r="F184" s="473"/>
      <c r="G184" s="386" t="s">
        <v>48</v>
      </c>
      <c r="H184" s="400" t="str">
        <f t="shared" ref="H184" si="12">CONCATENATE(G184,"-",I184)</f>
        <v>BB01-2</v>
      </c>
      <c r="I184" s="390">
        <v>2</v>
      </c>
      <c r="J184" s="473"/>
      <c r="K184" s="413">
        <v>1</v>
      </c>
      <c r="L184" s="572" t="s">
        <v>193</v>
      </c>
      <c r="M184" s="395"/>
      <c r="N184" s="395"/>
    </row>
    <row r="185" spans="1:46" s="407" customFormat="1" ht="12" customHeight="1" outlineLevel="2">
      <c r="A185" s="415"/>
      <c r="B185" s="549"/>
      <c r="C185" s="387"/>
      <c r="D185" s="462" t="s">
        <v>429</v>
      </c>
      <c r="E185" s="388" t="s">
        <v>430</v>
      </c>
      <c r="F185" s="473"/>
      <c r="G185" s="386" t="s">
        <v>48</v>
      </c>
      <c r="H185" s="400" t="str">
        <f t="shared" ref="H185" si="13">CONCATENATE(G185,"-",I185)</f>
        <v>BB01-2</v>
      </c>
      <c r="I185" s="390">
        <v>2</v>
      </c>
      <c r="J185" s="473"/>
      <c r="K185" s="413">
        <v>1</v>
      </c>
      <c r="L185" s="572" t="s">
        <v>193</v>
      </c>
      <c r="M185" s="395"/>
      <c r="N185" s="395"/>
    </row>
    <row r="186" spans="1:46" s="407" customFormat="1" ht="12" customHeight="1" outlineLevel="2">
      <c r="A186" s="415"/>
      <c r="B186" s="549"/>
      <c r="C186" s="387"/>
      <c r="D186" s="462" t="s">
        <v>431</v>
      </c>
      <c r="E186" s="388" t="s">
        <v>432</v>
      </c>
      <c r="F186" s="473"/>
      <c r="G186" s="386" t="s">
        <v>48</v>
      </c>
      <c r="H186" s="400" t="str">
        <f t="shared" ref="H186:H200" si="14">CONCATENATE(G186,"-",I186)</f>
        <v>BB01-2</v>
      </c>
      <c r="I186" s="390">
        <v>2</v>
      </c>
      <c r="J186" s="473"/>
      <c r="K186" s="413">
        <v>1</v>
      </c>
      <c r="L186" s="572" t="s">
        <v>193</v>
      </c>
      <c r="M186" s="395"/>
      <c r="N186" s="395"/>
    </row>
    <row r="187" spans="1:46" s="407" customFormat="1" ht="12" customHeight="1" outlineLevel="2">
      <c r="A187" s="415"/>
      <c r="B187" s="549"/>
      <c r="C187" s="387"/>
      <c r="D187" s="462" t="s">
        <v>433</v>
      </c>
      <c r="E187" s="388" t="s">
        <v>434</v>
      </c>
      <c r="F187" s="473"/>
      <c r="G187" s="386" t="s">
        <v>48</v>
      </c>
      <c r="H187" s="400" t="str">
        <f t="shared" si="14"/>
        <v>BB01-2</v>
      </c>
      <c r="I187" s="390">
        <v>2</v>
      </c>
      <c r="J187" s="473"/>
      <c r="K187" s="413">
        <v>1</v>
      </c>
      <c r="L187" s="572" t="s">
        <v>193</v>
      </c>
      <c r="M187" s="395"/>
      <c r="N187" s="395"/>
    </row>
    <row r="188" spans="1:46" s="407" customFormat="1" ht="12" customHeight="1" outlineLevel="2">
      <c r="A188" s="415"/>
      <c r="B188" s="549"/>
      <c r="C188" s="387"/>
      <c r="D188" s="462" t="s">
        <v>435</v>
      </c>
      <c r="E188" s="388" t="s">
        <v>436</v>
      </c>
      <c r="F188" s="473"/>
      <c r="G188" s="386" t="s">
        <v>48</v>
      </c>
      <c r="H188" s="400" t="str">
        <f t="shared" si="14"/>
        <v>BB01-2</v>
      </c>
      <c r="I188" s="390">
        <v>2</v>
      </c>
      <c r="J188" s="473"/>
      <c r="K188" s="413">
        <v>1</v>
      </c>
      <c r="L188" s="572" t="s">
        <v>193</v>
      </c>
      <c r="M188" s="395"/>
      <c r="N188" s="395"/>
    </row>
    <row r="189" spans="1:46" s="407" customFormat="1" ht="12" customHeight="1" outlineLevel="2">
      <c r="A189" s="415"/>
      <c r="B189" s="549"/>
      <c r="C189" s="387"/>
      <c r="D189" s="462" t="s">
        <v>437</v>
      </c>
      <c r="E189" s="388" t="s">
        <v>438</v>
      </c>
      <c r="F189" s="473"/>
      <c r="G189" s="386" t="s">
        <v>48</v>
      </c>
      <c r="H189" s="400" t="str">
        <f t="shared" si="14"/>
        <v>BB01-2</v>
      </c>
      <c r="I189" s="390">
        <v>2</v>
      </c>
      <c r="J189" s="473"/>
      <c r="K189" s="413">
        <v>1</v>
      </c>
      <c r="L189" s="572" t="s">
        <v>193</v>
      </c>
      <c r="M189" s="395"/>
      <c r="N189" s="395"/>
    </row>
    <row r="190" spans="1:46" s="407" customFormat="1" ht="12" customHeight="1" outlineLevel="2">
      <c r="A190" s="415"/>
      <c r="B190" s="549"/>
      <c r="C190" s="387"/>
      <c r="D190" s="462" t="s">
        <v>439</v>
      </c>
      <c r="E190" s="388" t="s">
        <v>440</v>
      </c>
      <c r="F190" s="473"/>
      <c r="G190" s="386" t="s">
        <v>48</v>
      </c>
      <c r="H190" s="400" t="str">
        <f t="shared" si="14"/>
        <v>BB01-2</v>
      </c>
      <c r="I190" s="390">
        <v>2</v>
      </c>
      <c r="J190" s="473"/>
      <c r="K190" s="413">
        <v>1</v>
      </c>
      <c r="L190" s="572" t="s">
        <v>193</v>
      </c>
      <c r="M190" s="395"/>
      <c r="N190" s="395"/>
    </row>
    <row r="191" spans="1:46" s="407" customFormat="1" ht="12" customHeight="1" outlineLevel="2">
      <c r="A191" s="415"/>
      <c r="B191" s="549"/>
      <c r="C191" s="387"/>
      <c r="D191" s="462" t="s">
        <v>441</v>
      </c>
      <c r="E191" s="388" t="s">
        <v>442</v>
      </c>
      <c r="F191" s="473"/>
      <c r="G191" s="386" t="s">
        <v>48</v>
      </c>
      <c r="H191" s="400" t="str">
        <f t="shared" si="14"/>
        <v>BB01-2</v>
      </c>
      <c r="I191" s="390">
        <v>2</v>
      </c>
      <c r="J191" s="473"/>
      <c r="K191" s="413">
        <v>1</v>
      </c>
      <c r="L191" s="572" t="s">
        <v>193</v>
      </c>
      <c r="M191" s="395"/>
      <c r="N191" s="395"/>
    </row>
    <row r="192" spans="1:46" s="407" customFormat="1" ht="12" customHeight="1" outlineLevel="2">
      <c r="A192" s="415"/>
      <c r="B192" s="549"/>
      <c r="C192" s="387"/>
      <c r="D192" s="462" t="s">
        <v>443</v>
      </c>
      <c r="E192" s="388" t="s">
        <v>444</v>
      </c>
      <c r="F192" s="473"/>
      <c r="G192" s="386" t="s">
        <v>48</v>
      </c>
      <c r="H192" s="400" t="str">
        <f t="shared" si="14"/>
        <v>BB01-2</v>
      </c>
      <c r="I192" s="390">
        <v>2</v>
      </c>
      <c r="J192" s="473"/>
      <c r="K192" s="413">
        <v>1</v>
      </c>
      <c r="L192" s="572" t="s">
        <v>193</v>
      </c>
      <c r="M192" s="395"/>
      <c r="N192" s="395"/>
    </row>
    <row r="193" spans="1:21" s="407" customFormat="1" ht="12" customHeight="1" outlineLevel="2">
      <c r="A193" s="415"/>
      <c r="B193" s="549"/>
      <c r="C193" s="387"/>
      <c r="D193" s="462" t="s">
        <v>445</v>
      </c>
      <c r="E193" s="388" t="s">
        <v>446</v>
      </c>
      <c r="F193" s="473"/>
      <c r="G193" s="386" t="s">
        <v>48</v>
      </c>
      <c r="H193" s="400" t="str">
        <f t="shared" si="14"/>
        <v>BB01-2</v>
      </c>
      <c r="I193" s="390">
        <v>2</v>
      </c>
      <c r="J193" s="473"/>
      <c r="K193" s="413">
        <v>1</v>
      </c>
      <c r="L193" s="572" t="s">
        <v>193</v>
      </c>
      <c r="M193" s="395"/>
      <c r="N193" s="395"/>
    </row>
    <row r="194" spans="1:21" s="407" customFormat="1" ht="12" customHeight="1" outlineLevel="2">
      <c r="A194" s="415"/>
      <c r="B194" s="549"/>
      <c r="C194" s="387"/>
      <c r="D194" s="462" t="s">
        <v>447</v>
      </c>
      <c r="E194" s="388" t="s">
        <v>448</v>
      </c>
      <c r="F194" s="473"/>
      <c r="G194" s="386" t="s">
        <v>48</v>
      </c>
      <c r="H194" s="400" t="str">
        <f t="shared" si="14"/>
        <v>BB01-2</v>
      </c>
      <c r="I194" s="390">
        <v>2</v>
      </c>
      <c r="J194" s="473"/>
      <c r="K194" s="413">
        <v>1</v>
      </c>
      <c r="L194" s="572" t="s">
        <v>193</v>
      </c>
      <c r="M194" s="395"/>
      <c r="N194" s="395"/>
    </row>
    <row r="195" spans="1:21" s="407" customFormat="1" ht="12" customHeight="1" outlineLevel="2">
      <c r="A195" s="415"/>
      <c r="B195" s="549"/>
      <c r="C195" s="387"/>
      <c r="D195" s="462" t="s">
        <v>449</v>
      </c>
      <c r="E195" s="388" t="s">
        <v>450</v>
      </c>
      <c r="F195" s="473"/>
      <c r="G195" s="386" t="s">
        <v>48</v>
      </c>
      <c r="H195" s="400" t="str">
        <f t="shared" si="14"/>
        <v>BB01-2</v>
      </c>
      <c r="I195" s="390">
        <v>2</v>
      </c>
      <c r="J195" s="473"/>
      <c r="K195" s="413">
        <v>1</v>
      </c>
      <c r="L195" s="572" t="s">
        <v>193</v>
      </c>
      <c r="M195" s="395"/>
      <c r="N195" s="395"/>
    </row>
    <row r="196" spans="1:21" s="407" customFormat="1" ht="12" customHeight="1" outlineLevel="2">
      <c r="A196" s="415"/>
      <c r="B196" s="549"/>
      <c r="C196" s="387"/>
      <c r="D196" s="462" t="s">
        <v>451</v>
      </c>
      <c r="E196" s="388" t="s">
        <v>452</v>
      </c>
      <c r="F196" s="473"/>
      <c r="G196" s="386" t="s">
        <v>48</v>
      </c>
      <c r="H196" s="400" t="str">
        <f t="shared" si="14"/>
        <v>BB01-2</v>
      </c>
      <c r="I196" s="390">
        <v>2</v>
      </c>
      <c r="J196" s="473"/>
      <c r="K196" s="413">
        <v>1</v>
      </c>
      <c r="L196" s="572" t="s">
        <v>193</v>
      </c>
      <c r="M196" s="395"/>
      <c r="N196" s="395"/>
    </row>
    <row r="197" spans="1:21" s="407" customFormat="1" ht="12" customHeight="1" outlineLevel="2">
      <c r="A197" s="415"/>
      <c r="B197" s="549"/>
      <c r="C197" s="387"/>
      <c r="D197" s="462" t="s">
        <v>453</v>
      </c>
      <c r="E197" s="388" t="s">
        <v>454</v>
      </c>
      <c r="F197" s="473"/>
      <c r="G197" s="386" t="s">
        <v>48</v>
      </c>
      <c r="H197" s="400" t="str">
        <f t="shared" si="14"/>
        <v>BB01-2</v>
      </c>
      <c r="I197" s="390">
        <v>2</v>
      </c>
      <c r="J197" s="473"/>
      <c r="K197" s="413">
        <v>1</v>
      </c>
      <c r="L197" s="572" t="s">
        <v>193</v>
      </c>
      <c r="M197" s="395"/>
      <c r="N197" s="395"/>
    </row>
    <row r="198" spans="1:21" s="407" customFormat="1" ht="12" customHeight="1" outlineLevel="2">
      <c r="A198" s="415"/>
      <c r="B198" s="549"/>
      <c r="C198" s="387"/>
      <c r="D198" s="462" t="s">
        <v>455</v>
      </c>
      <c r="E198" s="388" t="s">
        <v>456</v>
      </c>
      <c r="F198" s="473"/>
      <c r="G198" s="386" t="s">
        <v>48</v>
      </c>
      <c r="H198" s="400" t="str">
        <f t="shared" si="14"/>
        <v>BB01-2</v>
      </c>
      <c r="I198" s="390">
        <v>2</v>
      </c>
      <c r="J198" s="473"/>
      <c r="K198" s="413">
        <v>1</v>
      </c>
      <c r="L198" s="572" t="s">
        <v>193</v>
      </c>
      <c r="M198" s="395"/>
      <c r="N198" s="395"/>
    </row>
    <row r="199" spans="1:21" s="407" customFormat="1" ht="12" customHeight="1" outlineLevel="2">
      <c r="A199" s="415"/>
      <c r="B199" s="549"/>
      <c r="C199" s="387"/>
      <c r="D199" s="462" t="s">
        <v>457</v>
      </c>
      <c r="E199" s="388" t="s">
        <v>458</v>
      </c>
      <c r="F199" s="473"/>
      <c r="G199" s="386" t="s">
        <v>48</v>
      </c>
      <c r="H199" s="400" t="str">
        <f t="shared" si="14"/>
        <v>BB01-2</v>
      </c>
      <c r="I199" s="390">
        <v>2</v>
      </c>
      <c r="J199" s="473"/>
      <c r="K199" s="413">
        <v>1</v>
      </c>
      <c r="L199" s="572" t="s">
        <v>193</v>
      </c>
      <c r="M199" s="395"/>
      <c r="N199" s="395"/>
    </row>
    <row r="200" spans="1:21" s="407" customFormat="1" ht="12" customHeight="1" outlineLevel="2">
      <c r="A200" s="415"/>
      <c r="B200" s="549"/>
      <c r="C200" s="387"/>
      <c r="D200" s="462" t="s">
        <v>459</v>
      </c>
      <c r="E200" s="388" t="s">
        <v>460</v>
      </c>
      <c r="F200" s="473"/>
      <c r="G200" s="386" t="s">
        <v>48</v>
      </c>
      <c r="H200" s="400" t="str">
        <f t="shared" si="14"/>
        <v>BB01-2</v>
      </c>
      <c r="I200" s="390">
        <v>2</v>
      </c>
      <c r="J200" s="473"/>
      <c r="K200" s="413">
        <v>1</v>
      </c>
      <c r="L200" s="572" t="s">
        <v>193</v>
      </c>
      <c r="M200" s="395"/>
      <c r="N200" s="395"/>
    </row>
    <row r="201" spans="1:21" ht="3" customHeight="1" outlineLevel="1">
      <c r="A201" s="548"/>
      <c r="B201" s="552"/>
      <c r="K201" s="408"/>
      <c r="L201" s="408"/>
    </row>
    <row r="202" spans="1:21" outlineLevel="1">
      <c r="A202" s="460" t="s">
        <v>152</v>
      </c>
      <c r="B202" s="460" t="s">
        <v>55</v>
      </c>
      <c r="C202" s="460"/>
      <c r="D202" s="460"/>
      <c r="E202" s="460"/>
      <c r="G202" s="460"/>
      <c r="H202" s="460"/>
      <c r="I202" s="460"/>
      <c r="K202" s="408"/>
      <c r="L202" s="408"/>
    </row>
    <row r="203" spans="1:21" s="407" customFormat="1" ht="12" customHeight="1" outlineLevel="2">
      <c r="A203" s="415"/>
      <c r="B203" s="549"/>
      <c r="C203" s="387"/>
      <c r="D203" s="462"/>
      <c r="E203" s="388" t="s">
        <v>228</v>
      </c>
      <c r="F203" s="473"/>
      <c r="G203" s="386" t="s">
        <v>48</v>
      </c>
      <c r="H203" s="400" t="str">
        <f t="shared" ref="H203" si="15">CONCATENATE(G203,"-",I203)</f>
        <v>BB01-3</v>
      </c>
      <c r="I203" s="390">
        <v>3</v>
      </c>
      <c r="J203" s="473"/>
      <c r="K203" s="395">
        <v>1</v>
      </c>
      <c r="L203" s="572" t="s">
        <v>193</v>
      </c>
      <c r="M203" s="395"/>
      <c r="N203" s="395"/>
      <c r="R203" s="395"/>
      <c r="U203" s="395"/>
    </row>
    <row r="204" spans="1:21" s="407" customFormat="1" ht="12" customHeight="1" outlineLevel="2">
      <c r="A204" s="415"/>
      <c r="B204" s="549"/>
      <c r="C204" s="387"/>
      <c r="D204" s="462" t="s">
        <v>461</v>
      </c>
      <c r="E204" s="388" t="s">
        <v>462</v>
      </c>
      <c r="F204" s="473"/>
      <c r="G204" s="386" t="s">
        <v>48</v>
      </c>
      <c r="H204" s="400" t="str">
        <f t="shared" ref="H204:H267" si="16">CONCATENATE(G204,"-",I204)</f>
        <v>BB01-3</v>
      </c>
      <c r="I204" s="390">
        <v>3</v>
      </c>
      <c r="J204" s="473"/>
      <c r="K204" s="413">
        <v>1</v>
      </c>
      <c r="L204" s="572" t="s">
        <v>193</v>
      </c>
      <c r="M204" s="395"/>
      <c r="N204" s="395"/>
      <c r="R204" s="395"/>
      <c r="U204" s="395"/>
    </row>
    <row r="205" spans="1:21" s="407" customFormat="1" ht="12" customHeight="1" outlineLevel="2">
      <c r="A205" s="415"/>
      <c r="B205" s="549"/>
      <c r="C205" s="387"/>
      <c r="D205" s="462" t="s">
        <v>463</v>
      </c>
      <c r="E205" s="388" t="s">
        <v>464</v>
      </c>
      <c r="F205" s="473"/>
      <c r="G205" s="386" t="s">
        <v>48</v>
      </c>
      <c r="H205" s="400" t="str">
        <f t="shared" si="16"/>
        <v>BB01-3</v>
      </c>
      <c r="I205" s="390">
        <v>3</v>
      </c>
      <c r="J205" s="473"/>
      <c r="K205" s="413">
        <v>1</v>
      </c>
      <c r="L205" s="572" t="s">
        <v>193</v>
      </c>
      <c r="M205" s="395"/>
      <c r="N205" s="395"/>
      <c r="R205" s="395"/>
      <c r="U205" s="395"/>
    </row>
    <row r="206" spans="1:21" s="407" customFormat="1" ht="12" customHeight="1" outlineLevel="2">
      <c r="A206" s="415"/>
      <c r="B206" s="549"/>
      <c r="C206" s="387"/>
      <c r="D206" s="462" t="s">
        <v>465</v>
      </c>
      <c r="E206" s="388" t="s">
        <v>466</v>
      </c>
      <c r="F206" s="473"/>
      <c r="G206" s="386" t="s">
        <v>48</v>
      </c>
      <c r="H206" s="400" t="str">
        <f t="shared" si="16"/>
        <v>BB01-3</v>
      </c>
      <c r="I206" s="390">
        <v>3</v>
      </c>
      <c r="J206" s="473"/>
      <c r="K206" s="413">
        <v>1</v>
      </c>
      <c r="L206" s="572" t="s">
        <v>193</v>
      </c>
      <c r="M206" s="395"/>
      <c r="N206" s="395"/>
      <c r="R206" s="395"/>
      <c r="U206" s="395"/>
    </row>
    <row r="207" spans="1:21" s="407" customFormat="1" ht="12" customHeight="1" outlineLevel="2">
      <c r="A207" s="415"/>
      <c r="B207" s="549"/>
      <c r="C207" s="387"/>
      <c r="D207" s="462" t="s">
        <v>467</v>
      </c>
      <c r="E207" s="388" t="s">
        <v>468</v>
      </c>
      <c r="F207" s="473"/>
      <c r="G207" s="386" t="s">
        <v>48</v>
      </c>
      <c r="H207" s="400" t="str">
        <f t="shared" si="16"/>
        <v>BB01-3</v>
      </c>
      <c r="I207" s="390">
        <v>3</v>
      </c>
      <c r="J207" s="473"/>
      <c r="K207" s="413">
        <v>1</v>
      </c>
      <c r="L207" s="572" t="s">
        <v>193</v>
      </c>
      <c r="M207" s="395"/>
      <c r="N207" s="395"/>
      <c r="R207" s="395"/>
      <c r="U207" s="395"/>
    </row>
    <row r="208" spans="1:21" s="407" customFormat="1" ht="12" customHeight="1" outlineLevel="2">
      <c r="A208" s="415"/>
      <c r="B208" s="549"/>
      <c r="C208" s="387"/>
      <c r="D208" s="462" t="s">
        <v>469</v>
      </c>
      <c r="E208" s="388" t="s">
        <v>470</v>
      </c>
      <c r="F208" s="473"/>
      <c r="G208" s="386" t="s">
        <v>48</v>
      </c>
      <c r="H208" s="400" t="str">
        <f t="shared" si="16"/>
        <v>BB01-3</v>
      </c>
      <c r="I208" s="390">
        <v>3</v>
      </c>
      <c r="J208" s="473"/>
      <c r="K208" s="413">
        <v>1</v>
      </c>
      <c r="L208" s="572" t="s">
        <v>193</v>
      </c>
      <c r="M208" s="395"/>
      <c r="N208" s="395"/>
      <c r="R208" s="395"/>
      <c r="U208" s="395"/>
    </row>
    <row r="209" spans="1:21" s="407" customFormat="1" ht="12" customHeight="1" outlineLevel="2">
      <c r="A209" s="415"/>
      <c r="B209" s="549"/>
      <c r="C209" s="387"/>
      <c r="D209" s="462" t="s">
        <v>471</v>
      </c>
      <c r="E209" s="388" t="s">
        <v>472</v>
      </c>
      <c r="F209" s="473"/>
      <c r="G209" s="386" t="s">
        <v>48</v>
      </c>
      <c r="H209" s="400" t="str">
        <f t="shared" si="16"/>
        <v>BB01-3</v>
      </c>
      <c r="I209" s="390">
        <v>3</v>
      </c>
      <c r="J209" s="473"/>
      <c r="K209" s="413">
        <v>1</v>
      </c>
      <c r="L209" s="572" t="s">
        <v>193</v>
      </c>
      <c r="M209" s="395"/>
      <c r="N209" s="395"/>
      <c r="R209" s="395"/>
      <c r="U209" s="395"/>
    </row>
    <row r="210" spans="1:21" s="407" customFormat="1" ht="12" customHeight="1" outlineLevel="2">
      <c r="A210" s="415"/>
      <c r="B210" s="549"/>
      <c r="C210" s="387"/>
      <c r="D210" s="462" t="s">
        <v>473</v>
      </c>
      <c r="E210" s="388" t="s">
        <v>474</v>
      </c>
      <c r="F210" s="473"/>
      <c r="G210" s="386" t="s">
        <v>48</v>
      </c>
      <c r="H210" s="400" t="str">
        <f t="shared" si="16"/>
        <v>BB01-3</v>
      </c>
      <c r="I210" s="390">
        <v>3</v>
      </c>
      <c r="J210" s="473"/>
      <c r="K210" s="413">
        <v>1</v>
      </c>
      <c r="L210" s="572" t="s">
        <v>193</v>
      </c>
      <c r="M210" s="395"/>
      <c r="N210" s="395"/>
      <c r="R210" s="395"/>
      <c r="U210" s="395"/>
    </row>
    <row r="211" spans="1:21" s="407" customFormat="1" ht="12" customHeight="1" outlineLevel="2">
      <c r="A211" s="415"/>
      <c r="B211" s="549"/>
      <c r="C211" s="387"/>
      <c r="D211" s="462" t="s">
        <v>475</v>
      </c>
      <c r="E211" s="388" t="s">
        <v>476</v>
      </c>
      <c r="F211" s="473"/>
      <c r="G211" s="386" t="s">
        <v>48</v>
      </c>
      <c r="H211" s="400" t="str">
        <f t="shared" si="16"/>
        <v>BB01-3</v>
      </c>
      <c r="I211" s="390">
        <v>3</v>
      </c>
      <c r="J211" s="473"/>
      <c r="K211" s="413">
        <v>1</v>
      </c>
      <c r="L211" s="572" t="s">
        <v>193</v>
      </c>
      <c r="M211" s="395"/>
      <c r="N211" s="395"/>
      <c r="R211" s="395"/>
      <c r="U211" s="395"/>
    </row>
    <row r="212" spans="1:21" s="407" customFormat="1" ht="12" customHeight="1" outlineLevel="2">
      <c r="A212" s="415"/>
      <c r="B212" s="549"/>
      <c r="C212" s="387"/>
      <c r="D212" s="462" t="s">
        <v>477</v>
      </c>
      <c r="E212" s="388" t="s">
        <v>478</v>
      </c>
      <c r="F212" s="473"/>
      <c r="G212" s="386" t="s">
        <v>48</v>
      </c>
      <c r="H212" s="400" t="str">
        <f t="shared" si="16"/>
        <v>BB01-3</v>
      </c>
      <c r="I212" s="390">
        <v>3</v>
      </c>
      <c r="J212" s="473"/>
      <c r="K212" s="413">
        <v>1</v>
      </c>
      <c r="L212" s="572" t="s">
        <v>193</v>
      </c>
      <c r="M212" s="395"/>
      <c r="N212" s="395"/>
      <c r="R212" s="395"/>
      <c r="U212" s="395"/>
    </row>
    <row r="213" spans="1:21" s="407" customFormat="1" ht="12" customHeight="1" outlineLevel="2">
      <c r="A213" s="415"/>
      <c r="B213" s="549"/>
      <c r="C213" s="387"/>
      <c r="D213" s="462" t="s">
        <v>479</v>
      </c>
      <c r="E213" s="388" t="s">
        <v>480</v>
      </c>
      <c r="F213" s="473"/>
      <c r="G213" s="386" t="s">
        <v>48</v>
      </c>
      <c r="H213" s="400" t="str">
        <f t="shared" si="16"/>
        <v>BB01-3</v>
      </c>
      <c r="I213" s="390">
        <v>3</v>
      </c>
      <c r="J213" s="473"/>
      <c r="K213" s="413">
        <v>1</v>
      </c>
      <c r="L213" s="572" t="s">
        <v>193</v>
      </c>
      <c r="M213" s="395"/>
      <c r="N213" s="395"/>
      <c r="R213" s="395"/>
      <c r="U213" s="395"/>
    </row>
    <row r="214" spans="1:21" s="407" customFormat="1" ht="12" customHeight="1" outlineLevel="2">
      <c r="A214" s="415"/>
      <c r="B214" s="549"/>
      <c r="C214" s="387"/>
      <c r="D214" s="462" t="s">
        <v>481</v>
      </c>
      <c r="E214" s="388" t="s">
        <v>482</v>
      </c>
      <c r="F214" s="473"/>
      <c r="G214" s="386" t="s">
        <v>48</v>
      </c>
      <c r="H214" s="400" t="str">
        <f t="shared" si="16"/>
        <v>BB01-3</v>
      </c>
      <c r="I214" s="390">
        <v>3</v>
      </c>
      <c r="J214" s="473"/>
      <c r="K214" s="413">
        <v>1</v>
      </c>
      <c r="L214" s="572" t="s">
        <v>193</v>
      </c>
      <c r="M214" s="395"/>
      <c r="N214" s="395"/>
      <c r="R214" s="395"/>
      <c r="U214" s="395"/>
    </row>
    <row r="215" spans="1:21" s="407" customFormat="1" ht="12" customHeight="1" outlineLevel="2">
      <c r="A215" s="415"/>
      <c r="B215" s="549"/>
      <c r="C215" s="387"/>
      <c r="D215" s="462" t="s">
        <v>483</v>
      </c>
      <c r="E215" s="388" t="s">
        <v>484</v>
      </c>
      <c r="F215" s="473"/>
      <c r="G215" s="386" t="s">
        <v>48</v>
      </c>
      <c r="H215" s="400" t="str">
        <f t="shared" si="16"/>
        <v>BB01-3</v>
      </c>
      <c r="I215" s="390">
        <v>3</v>
      </c>
      <c r="J215" s="473"/>
      <c r="K215" s="413">
        <v>1</v>
      </c>
      <c r="L215" s="572" t="s">
        <v>193</v>
      </c>
      <c r="M215" s="395"/>
      <c r="N215" s="395"/>
      <c r="R215" s="395"/>
      <c r="U215" s="395"/>
    </row>
    <row r="216" spans="1:21" s="407" customFormat="1" ht="12" customHeight="1" outlineLevel="2">
      <c r="A216" s="415"/>
      <c r="B216" s="549"/>
      <c r="C216" s="387"/>
      <c r="D216" s="462" t="s">
        <v>485</v>
      </c>
      <c r="E216" s="388" t="s">
        <v>486</v>
      </c>
      <c r="F216" s="473"/>
      <c r="G216" s="386" t="s">
        <v>48</v>
      </c>
      <c r="H216" s="400" t="str">
        <f t="shared" si="16"/>
        <v>BB01-3</v>
      </c>
      <c r="I216" s="390">
        <v>3</v>
      </c>
      <c r="J216" s="473"/>
      <c r="K216" s="413">
        <v>1</v>
      </c>
      <c r="L216" s="572" t="s">
        <v>193</v>
      </c>
      <c r="M216" s="395"/>
      <c r="N216" s="395"/>
      <c r="R216" s="395"/>
      <c r="U216" s="395"/>
    </row>
    <row r="217" spans="1:21" s="407" customFormat="1" ht="12" customHeight="1" outlineLevel="2">
      <c r="A217" s="415"/>
      <c r="B217" s="549"/>
      <c r="C217" s="387"/>
      <c r="D217" s="462" t="s">
        <v>421</v>
      </c>
      <c r="E217" s="388" t="s">
        <v>487</v>
      </c>
      <c r="F217" s="473"/>
      <c r="G217" s="386" t="s">
        <v>48</v>
      </c>
      <c r="H217" s="400" t="str">
        <f t="shared" si="16"/>
        <v>BB01-3</v>
      </c>
      <c r="I217" s="390">
        <v>3</v>
      </c>
      <c r="J217" s="473"/>
      <c r="K217" s="395">
        <v>1</v>
      </c>
      <c r="L217" s="572" t="s">
        <v>193</v>
      </c>
      <c r="M217" s="395"/>
      <c r="N217" s="395"/>
      <c r="R217" s="395"/>
      <c r="U217" s="395"/>
    </row>
    <row r="218" spans="1:21" s="407" customFormat="1" ht="12" customHeight="1" outlineLevel="2">
      <c r="A218" s="415"/>
      <c r="B218" s="549"/>
      <c r="C218" s="387"/>
      <c r="D218" s="462" t="s">
        <v>488</v>
      </c>
      <c r="E218" s="388" t="s">
        <v>489</v>
      </c>
      <c r="F218" s="473"/>
      <c r="G218" s="386" t="s">
        <v>48</v>
      </c>
      <c r="H218" s="400" t="str">
        <f t="shared" si="16"/>
        <v>BB01-3</v>
      </c>
      <c r="I218" s="390">
        <v>3</v>
      </c>
      <c r="J218" s="473"/>
      <c r="K218" s="395">
        <v>1</v>
      </c>
      <c r="L218" s="572" t="s">
        <v>193</v>
      </c>
      <c r="M218" s="395"/>
      <c r="N218" s="395"/>
      <c r="R218" s="395"/>
      <c r="U218" s="395"/>
    </row>
    <row r="219" spans="1:21" s="407" customFormat="1" ht="12" customHeight="1" outlineLevel="2">
      <c r="A219" s="415"/>
      <c r="B219" s="549"/>
      <c r="C219" s="387"/>
      <c r="D219" s="462" t="s">
        <v>490</v>
      </c>
      <c r="E219" s="388" t="s">
        <v>491</v>
      </c>
      <c r="F219" s="473"/>
      <c r="G219" s="386" t="s">
        <v>48</v>
      </c>
      <c r="H219" s="400" t="str">
        <f t="shared" si="16"/>
        <v>BB01-3</v>
      </c>
      <c r="I219" s="390">
        <v>3</v>
      </c>
      <c r="J219" s="473"/>
      <c r="K219" s="395">
        <v>1</v>
      </c>
      <c r="L219" s="572" t="s">
        <v>193</v>
      </c>
      <c r="M219" s="395"/>
      <c r="N219" s="395"/>
      <c r="R219" s="395"/>
      <c r="U219" s="395"/>
    </row>
    <row r="220" spans="1:21" s="407" customFormat="1" ht="12" customHeight="1" outlineLevel="2">
      <c r="A220" s="415"/>
      <c r="B220" s="549"/>
      <c r="C220" s="387"/>
      <c r="D220" s="462" t="s">
        <v>423</v>
      </c>
      <c r="E220" s="388" t="s">
        <v>492</v>
      </c>
      <c r="F220" s="473"/>
      <c r="G220" s="386" t="s">
        <v>48</v>
      </c>
      <c r="H220" s="400" t="str">
        <f t="shared" si="16"/>
        <v>BB01-3</v>
      </c>
      <c r="I220" s="390">
        <v>3</v>
      </c>
      <c r="J220" s="473"/>
      <c r="K220" s="395">
        <v>1</v>
      </c>
      <c r="L220" s="572" t="s">
        <v>193</v>
      </c>
      <c r="M220" s="395"/>
      <c r="N220" s="395"/>
      <c r="R220" s="395"/>
      <c r="U220" s="395"/>
    </row>
    <row r="221" spans="1:21" s="407" customFormat="1" ht="12" customHeight="1" outlineLevel="2">
      <c r="A221" s="415"/>
      <c r="B221" s="549"/>
      <c r="C221" s="387"/>
      <c r="D221" s="462" t="s">
        <v>425</v>
      </c>
      <c r="E221" s="388" t="s">
        <v>493</v>
      </c>
      <c r="F221" s="473"/>
      <c r="G221" s="386" t="s">
        <v>48</v>
      </c>
      <c r="H221" s="400" t="str">
        <f t="shared" si="16"/>
        <v>BB01-3</v>
      </c>
      <c r="I221" s="390">
        <v>3</v>
      </c>
      <c r="J221" s="473"/>
      <c r="K221" s="395">
        <v>1</v>
      </c>
      <c r="L221" s="572" t="s">
        <v>193</v>
      </c>
      <c r="M221" s="395"/>
      <c r="N221" s="395"/>
      <c r="R221" s="395"/>
      <c r="U221" s="395"/>
    </row>
    <row r="222" spans="1:21" s="407" customFormat="1" ht="12" customHeight="1" outlineLevel="2">
      <c r="A222" s="415"/>
      <c r="B222" s="549"/>
      <c r="C222" s="387"/>
      <c r="D222" s="462" t="s">
        <v>427</v>
      </c>
      <c r="E222" s="388" t="s">
        <v>494</v>
      </c>
      <c r="F222" s="473"/>
      <c r="G222" s="386" t="s">
        <v>48</v>
      </c>
      <c r="H222" s="400" t="str">
        <f t="shared" si="16"/>
        <v>BB01-3</v>
      </c>
      <c r="I222" s="390">
        <v>3</v>
      </c>
      <c r="J222" s="473"/>
      <c r="K222" s="395">
        <v>1</v>
      </c>
      <c r="L222" s="572" t="s">
        <v>193</v>
      </c>
      <c r="M222" s="395"/>
      <c r="N222" s="395"/>
      <c r="R222" s="395"/>
      <c r="U222" s="395"/>
    </row>
    <row r="223" spans="1:21" s="407" customFormat="1" ht="12" customHeight="1" outlineLevel="2">
      <c r="A223" s="415"/>
      <c r="B223" s="549"/>
      <c r="C223" s="387"/>
      <c r="D223" s="462" t="s">
        <v>495</v>
      </c>
      <c r="E223" s="388" t="s">
        <v>496</v>
      </c>
      <c r="F223" s="473"/>
      <c r="G223" s="386" t="s">
        <v>48</v>
      </c>
      <c r="H223" s="400" t="str">
        <f t="shared" si="16"/>
        <v>BB01-3</v>
      </c>
      <c r="I223" s="390">
        <v>3</v>
      </c>
      <c r="J223" s="473"/>
      <c r="K223" s="395">
        <v>1</v>
      </c>
      <c r="L223" s="572" t="s">
        <v>193</v>
      </c>
      <c r="M223" s="395"/>
      <c r="N223" s="395"/>
      <c r="R223" s="395"/>
      <c r="U223" s="395"/>
    </row>
    <row r="224" spans="1:21" s="407" customFormat="1" ht="12" customHeight="1" outlineLevel="2">
      <c r="A224" s="415"/>
      <c r="B224" s="549"/>
      <c r="C224" s="387"/>
      <c r="D224" s="462" t="s">
        <v>497</v>
      </c>
      <c r="E224" s="388" t="s">
        <v>498</v>
      </c>
      <c r="F224" s="473"/>
      <c r="G224" s="386" t="s">
        <v>48</v>
      </c>
      <c r="H224" s="400" t="str">
        <f t="shared" si="16"/>
        <v>BB01-3</v>
      </c>
      <c r="I224" s="390">
        <v>3</v>
      </c>
      <c r="J224" s="473"/>
      <c r="K224" s="395">
        <v>1</v>
      </c>
      <c r="L224" s="572" t="s">
        <v>193</v>
      </c>
      <c r="M224" s="395"/>
      <c r="N224" s="395"/>
      <c r="R224" s="395"/>
      <c r="U224" s="395"/>
    </row>
    <row r="225" spans="1:21" s="407" customFormat="1" ht="12" customHeight="1" outlineLevel="2">
      <c r="A225" s="415"/>
      <c r="B225" s="549"/>
      <c r="C225" s="387"/>
      <c r="D225" s="462" t="s">
        <v>499</v>
      </c>
      <c r="E225" s="388" t="s">
        <v>500</v>
      </c>
      <c r="F225" s="473"/>
      <c r="G225" s="386" t="s">
        <v>48</v>
      </c>
      <c r="H225" s="400" t="str">
        <f t="shared" si="16"/>
        <v>BB01-3</v>
      </c>
      <c r="I225" s="390">
        <v>3</v>
      </c>
      <c r="J225" s="473"/>
      <c r="K225" s="395">
        <v>1</v>
      </c>
      <c r="L225" s="572" t="s">
        <v>193</v>
      </c>
      <c r="M225" s="395"/>
      <c r="N225" s="395"/>
      <c r="R225" s="395"/>
      <c r="U225" s="395"/>
    </row>
    <row r="226" spans="1:21" s="407" customFormat="1" ht="12" customHeight="1" outlineLevel="2">
      <c r="A226" s="415"/>
      <c r="B226" s="549"/>
      <c r="C226" s="387"/>
      <c r="D226" s="462" t="s">
        <v>501</v>
      </c>
      <c r="E226" s="388" t="s">
        <v>502</v>
      </c>
      <c r="F226" s="473"/>
      <c r="G226" s="386" t="s">
        <v>48</v>
      </c>
      <c r="H226" s="400" t="str">
        <f t="shared" si="16"/>
        <v>BB01-3</v>
      </c>
      <c r="I226" s="390">
        <v>3</v>
      </c>
      <c r="J226" s="473"/>
      <c r="K226" s="395">
        <v>1</v>
      </c>
      <c r="L226" s="572" t="s">
        <v>193</v>
      </c>
      <c r="M226" s="395"/>
      <c r="N226" s="395"/>
      <c r="R226" s="395"/>
      <c r="U226" s="395"/>
    </row>
    <row r="227" spans="1:21" s="407" customFormat="1" ht="12" customHeight="1" outlineLevel="2">
      <c r="A227" s="415"/>
      <c r="B227" s="549"/>
      <c r="C227" s="387"/>
      <c r="D227" s="462" t="s">
        <v>503</v>
      </c>
      <c r="E227" s="388" t="s">
        <v>504</v>
      </c>
      <c r="F227" s="473"/>
      <c r="G227" s="386" t="s">
        <v>48</v>
      </c>
      <c r="H227" s="400" t="str">
        <f t="shared" si="16"/>
        <v>BB01-3</v>
      </c>
      <c r="I227" s="390">
        <v>3</v>
      </c>
      <c r="J227" s="473"/>
      <c r="K227" s="395">
        <v>1</v>
      </c>
      <c r="L227" s="572" t="s">
        <v>193</v>
      </c>
      <c r="M227" s="395"/>
      <c r="N227" s="395"/>
      <c r="R227" s="395"/>
      <c r="U227" s="395"/>
    </row>
    <row r="228" spans="1:21" s="407" customFormat="1" ht="12" customHeight="1" outlineLevel="2">
      <c r="A228" s="415"/>
      <c r="B228" s="549"/>
      <c r="C228" s="387"/>
      <c r="D228" s="462" t="s">
        <v>505</v>
      </c>
      <c r="E228" s="388" t="s">
        <v>506</v>
      </c>
      <c r="F228" s="473"/>
      <c r="G228" s="386" t="s">
        <v>48</v>
      </c>
      <c r="H228" s="400" t="str">
        <f t="shared" si="16"/>
        <v>BB01-3</v>
      </c>
      <c r="I228" s="390">
        <v>3</v>
      </c>
      <c r="J228" s="473"/>
      <c r="K228" s="395">
        <v>1</v>
      </c>
      <c r="L228" s="572" t="s">
        <v>193</v>
      </c>
      <c r="M228" s="395"/>
      <c r="N228" s="395"/>
      <c r="R228" s="395"/>
      <c r="U228" s="395"/>
    </row>
    <row r="229" spans="1:21" s="407" customFormat="1" ht="12" customHeight="1" outlineLevel="2">
      <c r="A229" s="415"/>
      <c r="B229" s="549"/>
      <c r="C229" s="387"/>
      <c r="D229" s="462" t="s">
        <v>507</v>
      </c>
      <c r="E229" s="388" t="s">
        <v>508</v>
      </c>
      <c r="F229" s="473"/>
      <c r="G229" s="386" t="s">
        <v>48</v>
      </c>
      <c r="H229" s="400" t="str">
        <f t="shared" si="16"/>
        <v>BB01-3</v>
      </c>
      <c r="I229" s="390">
        <v>3</v>
      </c>
      <c r="J229" s="473"/>
      <c r="K229" s="413">
        <v>1</v>
      </c>
      <c r="L229" s="572" t="s">
        <v>193</v>
      </c>
      <c r="M229" s="395"/>
      <c r="N229" s="395"/>
      <c r="R229" s="395"/>
      <c r="U229" s="395"/>
    </row>
    <row r="230" spans="1:21" s="407" customFormat="1" ht="12" customHeight="1" outlineLevel="2">
      <c r="A230" s="415"/>
      <c r="B230" s="549"/>
      <c r="C230" s="387"/>
      <c r="D230" s="462" t="s">
        <v>509</v>
      </c>
      <c r="E230" s="388" t="s">
        <v>510</v>
      </c>
      <c r="F230" s="473"/>
      <c r="G230" s="386" t="s">
        <v>48</v>
      </c>
      <c r="H230" s="400" t="str">
        <f t="shared" si="16"/>
        <v>BB01-3</v>
      </c>
      <c r="I230" s="390">
        <v>3</v>
      </c>
      <c r="J230" s="473"/>
      <c r="K230" s="413">
        <v>1</v>
      </c>
      <c r="L230" s="572" t="s">
        <v>193</v>
      </c>
      <c r="M230" s="395"/>
      <c r="N230" s="395"/>
      <c r="R230" s="395"/>
      <c r="U230" s="395"/>
    </row>
    <row r="231" spans="1:21" s="407" customFormat="1" ht="12" customHeight="1" outlineLevel="2">
      <c r="A231" s="415"/>
      <c r="B231" s="549"/>
      <c r="C231" s="387"/>
      <c r="D231" s="462" t="s">
        <v>511</v>
      </c>
      <c r="E231" s="388" t="s">
        <v>512</v>
      </c>
      <c r="F231" s="473"/>
      <c r="G231" s="386" t="s">
        <v>48</v>
      </c>
      <c r="H231" s="400" t="str">
        <f t="shared" si="16"/>
        <v>BB01-3</v>
      </c>
      <c r="I231" s="390">
        <v>3</v>
      </c>
      <c r="J231" s="473"/>
      <c r="K231" s="413">
        <v>1</v>
      </c>
      <c r="L231" s="572" t="s">
        <v>193</v>
      </c>
      <c r="M231" s="395"/>
      <c r="N231" s="395"/>
      <c r="R231" s="395"/>
      <c r="U231" s="395"/>
    </row>
    <row r="232" spans="1:21" s="407" customFormat="1" ht="12" customHeight="1" outlineLevel="2">
      <c r="A232" s="415"/>
      <c r="B232" s="549"/>
      <c r="C232" s="387"/>
      <c r="D232" s="462" t="s">
        <v>513</v>
      </c>
      <c r="E232" s="388" t="s">
        <v>512</v>
      </c>
      <c r="F232" s="473"/>
      <c r="G232" s="386" t="s">
        <v>48</v>
      </c>
      <c r="H232" s="400" t="str">
        <f t="shared" si="16"/>
        <v>BB01-3</v>
      </c>
      <c r="I232" s="390">
        <v>3</v>
      </c>
      <c r="J232" s="473"/>
      <c r="K232" s="413">
        <v>1</v>
      </c>
      <c r="L232" s="572" t="s">
        <v>193</v>
      </c>
      <c r="M232" s="395"/>
      <c r="N232" s="395"/>
      <c r="R232" s="395"/>
      <c r="U232" s="395"/>
    </row>
    <row r="233" spans="1:21" s="407" customFormat="1" ht="12" customHeight="1" outlineLevel="2">
      <c r="A233" s="415"/>
      <c r="B233" s="549"/>
      <c r="C233" s="387"/>
      <c r="D233" s="462" t="s">
        <v>514</v>
      </c>
      <c r="E233" s="388" t="s">
        <v>515</v>
      </c>
      <c r="F233" s="473"/>
      <c r="G233" s="386" t="s">
        <v>48</v>
      </c>
      <c r="H233" s="400" t="str">
        <f t="shared" si="16"/>
        <v>BB01-3</v>
      </c>
      <c r="I233" s="390">
        <v>3</v>
      </c>
      <c r="J233" s="473"/>
      <c r="K233" s="413">
        <v>1</v>
      </c>
      <c r="L233" s="572" t="s">
        <v>193</v>
      </c>
      <c r="M233" s="395"/>
      <c r="N233" s="395"/>
      <c r="R233" s="395"/>
      <c r="U233" s="395"/>
    </row>
    <row r="234" spans="1:21" s="407" customFormat="1" ht="12" customHeight="1" outlineLevel="2">
      <c r="A234" s="415"/>
      <c r="B234" s="549"/>
      <c r="C234" s="387"/>
      <c r="D234" s="462" t="s">
        <v>516</v>
      </c>
      <c r="E234" s="388" t="s">
        <v>517</v>
      </c>
      <c r="F234" s="473"/>
      <c r="G234" s="386" t="s">
        <v>48</v>
      </c>
      <c r="H234" s="400" t="str">
        <f t="shared" si="16"/>
        <v>BB01-3</v>
      </c>
      <c r="I234" s="390">
        <v>3</v>
      </c>
      <c r="J234" s="473"/>
      <c r="K234" s="413">
        <v>1</v>
      </c>
      <c r="L234" s="572" t="s">
        <v>193</v>
      </c>
      <c r="M234" s="395"/>
      <c r="N234" s="395"/>
      <c r="R234" s="395"/>
      <c r="U234" s="395"/>
    </row>
    <row r="235" spans="1:21" s="407" customFormat="1" ht="12" customHeight="1" outlineLevel="2">
      <c r="A235" s="415"/>
      <c r="B235" s="549"/>
      <c r="C235" s="387"/>
      <c r="D235" s="462" t="s">
        <v>518</v>
      </c>
      <c r="E235" s="388" t="s">
        <v>519</v>
      </c>
      <c r="F235" s="473"/>
      <c r="G235" s="386" t="s">
        <v>48</v>
      </c>
      <c r="H235" s="400" t="str">
        <f t="shared" si="16"/>
        <v>BB01-3</v>
      </c>
      <c r="I235" s="390">
        <v>3</v>
      </c>
      <c r="J235" s="473"/>
      <c r="K235" s="413">
        <v>1</v>
      </c>
      <c r="L235" s="572" t="s">
        <v>193</v>
      </c>
      <c r="M235" s="395"/>
      <c r="N235" s="395"/>
      <c r="R235" s="395"/>
      <c r="U235" s="395"/>
    </row>
    <row r="236" spans="1:21" s="407" customFormat="1" ht="12" customHeight="1" outlineLevel="2">
      <c r="A236" s="415"/>
      <c r="B236" s="549"/>
      <c r="C236" s="387"/>
      <c r="D236" s="462" t="s">
        <v>520</v>
      </c>
      <c r="E236" s="388" t="s">
        <v>521</v>
      </c>
      <c r="F236" s="473"/>
      <c r="G236" s="386" t="s">
        <v>48</v>
      </c>
      <c r="H236" s="400" t="str">
        <f t="shared" si="16"/>
        <v>BB01-3</v>
      </c>
      <c r="I236" s="390">
        <v>3</v>
      </c>
      <c r="J236" s="473"/>
      <c r="K236" s="413">
        <v>1</v>
      </c>
      <c r="L236" s="572" t="s">
        <v>193</v>
      </c>
      <c r="M236" s="395"/>
      <c r="N236" s="395"/>
      <c r="R236" s="395"/>
      <c r="U236" s="395"/>
    </row>
    <row r="237" spans="1:21" s="407" customFormat="1" ht="12" customHeight="1" outlineLevel="2">
      <c r="A237" s="415"/>
      <c r="B237" s="549"/>
      <c r="C237" s="387"/>
      <c r="D237" s="462" t="s">
        <v>522</v>
      </c>
      <c r="E237" s="388" t="s">
        <v>523</v>
      </c>
      <c r="F237" s="473"/>
      <c r="G237" s="386" t="s">
        <v>48</v>
      </c>
      <c r="H237" s="400" t="str">
        <f t="shared" si="16"/>
        <v>BB01-3</v>
      </c>
      <c r="I237" s="390">
        <v>3</v>
      </c>
      <c r="J237" s="473"/>
      <c r="K237" s="413">
        <v>1</v>
      </c>
      <c r="L237" s="572" t="s">
        <v>193</v>
      </c>
      <c r="M237" s="395"/>
      <c r="N237" s="395"/>
      <c r="R237" s="395"/>
      <c r="U237" s="395"/>
    </row>
    <row r="238" spans="1:21" s="407" customFormat="1" ht="12" customHeight="1" outlineLevel="2">
      <c r="A238" s="415"/>
      <c r="B238" s="549"/>
      <c r="C238" s="387"/>
      <c r="D238" s="462" t="s">
        <v>524</v>
      </c>
      <c r="E238" s="388" t="s">
        <v>525</v>
      </c>
      <c r="F238" s="473"/>
      <c r="G238" s="386" t="s">
        <v>48</v>
      </c>
      <c r="H238" s="400" t="str">
        <f t="shared" si="16"/>
        <v>BB01-3</v>
      </c>
      <c r="I238" s="390">
        <v>3</v>
      </c>
      <c r="J238" s="473"/>
      <c r="K238" s="413">
        <v>1</v>
      </c>
      <c r="L238" s="572" t="s">
        <v>193</v>
      </c>
      <c r="M238" s="395"/>
      <c r="N238" s="395"/>
      <c r="R238" s="395"/>
      <c r="U238" s="395"/>
    </row>
    <row r="239" spans="1:21" s="407" customFormat="1" ht="12" customHeight="1" outlineLevel="2">
      <c r="A239" s="415"/>
      <c r="B239" s="549"/>
      <c r="C239" s="387"/>
      <c r="D239" s="462" t="s">
        <v>526</v>
      </c>
      <c r="E239" s="388" t="s">
        <v>527</v>
      </c>
      <c r="F239" s="473"/>
      <c r="G239" s="386" t="s">
        <v>48</v>
      </c>
      <c r="H239" s="400" t="str">
        <f t="shared" si="16"/>
        <v>BB01-3</v>
      </c>
      <c r="I239" s="390">
        <v>3</v>
      </c>
      <c r="J239" s="473"/>
      <c r="K239" s="413">
        <v>1</v>
      </c>
      <c r="L239" s="572" t="s">
        <v>193</v>
      </c>
      <c r="M239" s="395"/>
      <c r="N239" s="395"/>
      <c r="R239" s="395"/>
      <c r="U239" s="395"/>
    </row>
    <row r="240" spans="1:21" s="407" customFormat="1" ht="12" customHeight="1" outlineLevel="2">
      <c r="A240" s="415"/>
      <c r="B240" s="549"/>
      <c r="C240" s="387"/>
      <c r="D240" s="462" t="s">
        <v>528</v>
      </c>
      <c r="E240" s="388" t="s">
        <v>529</v>
      </c>
      <c r="F240" s="473"/>
      <c r="G240" s="386" t="s">
        <v>48</v>
      </c>
      <c r="H240" s="400" t="str">
        <f t="shared" si="16"/>
        <v>BB01-3</v>
      </c>
      <c r="I240" s="390">
        <v>3</v>
      </c>
      <c r="J240" s="473"/>
      <c r="K240" s="413">
        <v>1</v>
      </c>
      <c r="L240" s="572" t="s">
        <v>193</v>
      </c>
      <c r="M240" s="395"/>
      <c r="N240" s="395"/>
      <c r="R240" s="395"/>
      <c r="U240" s="395"/>
    </row>
    <row r="241" spans="1:21" s="407" customFormat="1" ht="12" customHeight="1" outlineLevel="2">
      <c r="A241" s="415"/>
      <c r="B241" s="549"/>
      <c r="C241" s="387"/>
      <c r="D241" s="462" t="s">
        <v>530</v>
      </c>
      <c r="E241" s="388" t="s">
        <v>531</v>
      </c>
      <c r="F241" s="473"/>
      <c r="G241" s="386" t="s">
        <v>48</v>
      </c>
      <c r="H241" s="400" t="str">
        <f t="shared" si="16"/>
        <v>BB01-3</v>
      </c>
      <c r="I241" s="390">
        <v>3</v>
      </c>
      <c r="J241" s="473"/>
      <c r="K241" s="413">
        <v>1</v>
      </c>
      <c r="L241" s="572" t="s">
        <v>193</v>
      </c>
      <c r="M241" s="395"/>
      <c r="N241" s="395"/>
      <c r="R241" s="395"/>
      <c r="U241" s="395"/>
    </row>
    <row r="242" spans="1:21" s="407" customFormat="1" ht="12" customHeight="1" outlineLevel="2">
      <c r="A242" s="415"/>
      <c r="B242" s="549"/>
      <c r="C242" s="387"/>
      <c r="D242" s="462" t="s">
        <v>532</v>
      </c>
      <c r="E242" s="388" t="s">
        <v>533</v>
      </c>
      <c r="F242" s="473"/>
      <c r="G242" s="386" t="s">
        <v>48</v>
      </c>
      <c r="H242" s="400" t="str">
        <f t="shared" si="16"/>
        <v>BB01-3</v>
      </c>
      <c r="I242" s="390">
        <v>3</v>
      </c>
      <c r="J242" s="473"/>
      <c r="K242" s="413">
        <v>1</v>
      </c>
      <c r="L242" s="572" t="s">
        <v>193</v>
      </c>
      <c r="M242" s="395"/>
      <c r="N242" s="395"/>
      <c r="R242" s="395"/>
      <c r="U242" s="395"/>
    </row>
    <row r="243" spans="1:21" s="407" customFormat="1" ht="12" customHeight="1" outlineLevel="2">
      <c r="A243" s="415"/>
      <c r="B243" s="549"/>
      <c r="C243" s="387"/>
      <c r="D243" s="462" t="s">
        <v>534</v>
      </c>
      <c r="E243" s="388" t="s">
        <v>535</v>
      </c>
      <c r="F243" s="473"/>
      <c r="G243" s="386" t="s">
        <v>48</v>
      </c>
      <c r="H243" s="400" t="str">
        <f t="shared" si="16"/>
        <v>BB01-3</v>
      </c>
      <c r="I243" s="390">
        <v>3</v>
      </c>
      <c r="J243" s="473"/>
      <c r="K243" s="413">
        <v>1</v>
      </c>
      <c r="L243" s="572" t="s">
        <v>193</v>
      </c>
      <c r="M243" s="395"/>
      <c r="N243" s="395"/>
      <c r="R243" s="395"/>
      <c r="U243" s="395"/>
    </row>
    <row r="244" spans="1:21" s="407" customFormat="1" ht="12" customHeight="1" outlineLevel="2">
      <c r="A244" s="415"/>
      <c r="B244" s="549"/>
      <c r="C244" s="387"/>
      <c r="D244" s="462" t="s">
        <v>536</v>
      </c>
      <c r="E244" s="388" t="s">
        <v>537</v>
      </c>
      <c r="F244" s="473"/>
      <c r="G244" s="386" t="s">
        <v>48</v>
      </c>
      <c r="H244" s="400" t="str">
        <f t="shared" si="16"/>
        <v>BB01-3</v>
      </c>
      <c r="I244" s="390">
        <v>3</v>
      </c>
      <c r="J244" s="473"/>
      <c r="K244" s="413">
        <v>1</v>
      </c>
      <c r="L244" s="572" t="s">
        <v>193</v>
      </c>
      <c r="M244" s="395"/>
      <c r="N244" s="395"/>
      <c r="R244" s="395"/>
      <c r="U244" s="395"/>
    </row>
    <row r="245" spans="1:21" s="407" customFormat="1" ht="12" customHeight="1" outlineLevel="2">
      <c r="A245" s="415"/>
      <c r="B245" s="549"/>
      <c r="C245" s="387"/>
      <c r="D245" s="462" t="s">
        <v>538</v>
      </c>
      <c r="E245" s="388" t="s">
        <v>539</v>
      </c>
      <c r="F245" s="473"/>
      <c r="G245" s="386" t="s">
        <v>48</v>
      </c>
      <c r="H245" s="400" t="str">
        <f t="shared" si="16"/>
        <v>BB01-3</v>
      </c>
      <c r="I245" s="390">
        <v>3</v>
      </c>
      <c r="J245" s="473"/>
      <c r="K245" s="413">
        <v>1</v>
      </c>
      <c r="L245" s="572" t="s">
        <v>193</v>
      </c>
      <c r="M245" s="395"/>
      <c r="N245" s="395"/>
      <c r="R245" s="395"/>
      <c r="U245" s="395"/>
    </row>
    <row r="246" spans="1:21" s="407" customFormat="1" ht="12" customHeight="1" outlineLevel="2">
      <c r="A246" s="415"/>
      <c r="B246" s="549"/>
      <c r="C246" s="387"/>
      <c r="D246" s="462" t="s">
        <v>540</v>
      </c>
      <c r="E246" s="388" t="s">
        <v>541</v>
      </c>
      <c r="F246" s="473"/>
      <c r="G246" s="386" t="s">
        <v>48</v>
      </c>
      <c r="H246" s="400" t="str">
        <f t="shared" si="16"/>
        <v>BB01-3</v>
      </c>
      <c r="I246" s="390">
        <v>3</v>
      </c>
      <c r="J246" s="473"/>
      <c r="K246" s="413">
        <v>1</v>
      </c>
      <c r="L246" s="572" t="s">
        <v>193</v>
      </c>
      <c r="M246" s="395"/>
      <c r="N246" s="395"/>
      <c r="R246" s="395"/>
      <c r="U246" s="395"/>
    </row>
    <row r="247" spans="1:21" s="407" customFormat="1" ht="12" customHeight="1" outlineLevel="2">
      <c r="A247" s="415"/>
      <c r="B247" s="549"/>
      <c r="C247" s="387"/>
      <c r="D247" s="462" t="s">
        <v>542</v>
      </c>
      <c r="E247" s="388" t="s">
        <v>543</v>
      </c>
      <c r="F247" s="473"/>
      <c r="G247" s="386" t="s">
        <v>48</v>
      </c>
      <c r="H247" s="400" t="str">
        <f t="shared" si="16"/>
        <v>BB01-3</v>
      </c>
      <c r="I247" s="390">
        <v>3</v>
      </c>
      <c r="J247" s="473"/>
      <c r="K247" s="413">
        <v>1</v>
      </c>
      <c r="L247" s="572" t="s">
        <v>193</v>
      </c>
      <c r="M247" s="395"/>
      <c r="N247" s="395"/>
      <c r="R247" s="395"/>
      <c r="U247" s="395"/>
    </row>
    <row r="248" spans="1:21" s="407" customFormat="1" ht="12" customHeight="1" outlineLevel="2">
      <c r="A248" s="415"/>
      <c r="B248" s="549"/>
      <c r="C248" s="387"/>
      <c r="D248" s="462" t="s">
        <v>544</v>
      </c>
      <c r="E248" s="388" t="s">
        <v>545</v>
      </c>
      <c r="F248" s="473"/>
      <c r="G248" s="386" t="s">
        <v>48</v>
      </c>
      <c r="H248" s="400" t="str">
        <f t="shared" si="16"/>
        <v>BB01-3</v>
      </c>
      <c r="I248" s="390">
        <v>3</v>
      </c>
      <c r="J248" s="473"/>
      <c r="K248" s="413">
        <v>1</v>
      </c>
      <c r="L248" s="572" t="s">
        <v>193</v>
      </c>
      <c r="M248" s="395"/>
      <c r="N248" s="395"/>
      <c r="R248" s="395"/>
      <c r="U248" s="395"/>
    </row>
    <row r="249" spans="1:21" s="407" customFormat="1" ht="12" customHeight="1" outlineLevel="2">
      <c r="A249" s="415"/>
      <c r="B249" s="549"/>
      <c r="C249" s="387"/>
      <c r="D249" s="462" t="s">
        <v>546</v>
      </c>
      <c r="E249" s="388" t="s">
        <v>547</v>
      </c>
      <c r="F249" s="473"/>
      <c r="G249" s="386" t="s">
        <v>48</v>
      </c>
      <c r="H249" s="400" t="str">
        <f t="shared" si="16"/>
        <v>BB01-3</v>
      </c>
      <c r="I249" s="390">
        <v>3</v>
      </c>
      <c r="J249" s="473"/>
      <c r="K249" s="413">
        <v>1</v>
      </c>
      <c r="L249" s="572" t="s">
        <v>193</v>
      </c>
      <c r="M249" s="395"/>
      <c r="N249" s="395"/>
      <c r="R249" s="395"/>
      <c r="U249" s="395"/>
    </row>
    <row r="250" spans="1:21" s="407" customFormat="1" ht="12" customHeight="1" outlineLevel="2">
      <c r="A250" s="415"/>
      <c r="B250" s="549"/>
      <c r="C250" s="387"/>
      <c r="D250" s="462" t="s">
        <v>548</v>
      </c>
      <c r="E250" s="388" t="s">
        <v>549</v>
      </c>
      <c r="F250" s="473"/>
      <c r="G250" s="386" t="s">
        <v>48</v>
      </c>
      <c r="H250" s="400" t="str">
        <f t="shared" si="16"/>
        <v>BB01-3</v>
      </c>
      <c r="I250" s="390">
        <v>3</v>
      </c>
      <c r="J250" s="473"/>
      <c r="K250" s="413">
        <v>1</v>
      </c>
      <c r="L250" s="572" t="s">
        <v>193</v>
      </c>
      <c r="M250" s="395"/>
      <c r="N250" s="395"/>
      <c r="R250" s="395"/>
      <c r="U250" s="395"/>
    </row>
    <row r="251" spans="1:21" s="407" customFormat="1" ht="12" customHeight="1" outlineLevel="2">
      <c r="A251" s="415"/>
      <c r="B251" s="549"/>
      <c r="C251" s="387"/>
      <c r="D251" s="462" t="s">
        <v>550</v>
      </c>
      <c r="E251" s="388" t="s">
        <v>551</v>
      </c>
      <c r="F251" s="473"/>
      <c r="G251" s="386" t="s">
        <v>48</v>
      </c>
      <c r="H251" s="400" t="str">
        <f t="shared" si="16"/>
        <v>BB01-3</v>
      </c>
      <c r="I251" s="390">
        <v>3</v>
      </c>
      <c r="J251" s="473"/>
      <c r="K251" s="413">
        <v>1</v>
      </c>
      <c r="L251" s="572" t="s">
        <v>193</v>
      </c>
      <c r="M251" s="395"/>
      <c r="N251" s="395"/>
      <c r="R251" s="395"/>
      <c r="U251" s="395"/>
    </row>
    <row r="252" spans="1:21" s="407" customFormat="1" ht="12" customHeight="1" outlineLevel="2">
      <c r="A252" s="415"/>
      <c r="B252" s="549"/>
      <c r="C252" s="387"/>
      <c r="D252" s="462" t="s">
        <v>552</v>
      </c>
      <c r="E252" s="388" t="s">
        <v>553</v>
      </c>
      <c r="F252" s="473"/>
      <c r="G252" s="386" t="s">
        <v>48</v>
      </c>
      <c r="H252" s="400" t="str">
        <f t="shared" si="16"/>
        <v>BB01-3</v>
      </c>
      <c r="I252" s="390">
        <v>3</v>
      </c>
      <c r="J252" s="473"/>
      <c r="K252" s="413">
        <v>1</v>
      </c>
      <c r="L252" s="572" t="s">
        <v>193</v>
      </c>
      <c r="M252" s="395"/>
      <c r="N252" s="395"/>
      <c r="R252" s="395"/>
      <c r="U252" s="395"/>
    </row>
    <row r="253" spans="1:21" s="407" customFormat="1" ht="12" customHeight="1" outlineLevel="2">
      <c r="A253" s="415"/>
      <c r="B253" s="549"/>
      <c r="C253" s="387"/>
      <c r="D253" s="462" t="s">
        <v>554</v>
      </c>
      <c r="E253" s="388" t="s">
        <v>555</v>
      </c>
      <c r="F253" s="473"/>
      <c r="G253" s="386" t="s">
        <v>48</v>
      </c>
      <c r="H253" s="400" t="str">
        <f t="shared" si="16"/>
        <v>BB01-3</v>
      </c>
      <c r="I253" s="390">
        <v>3</v>
      </c>
      <c r="J253" s="473"/>
      <c r="K253" s="413">
        <v>1</v>
      </c>
      <c r="L253" s="572" t="s">
        <v>193</v>
      </c>
      <c r="M253" s="395"/>
      <c r="N253" s="395"/>
      <c r="R253" s="395"/>
      <c r="U253" s="395"/>
    </row>
    <row r="254" spans="1:21" s="407" customFormat="1" ht="12" customHeight="1" outlineLevel="2">
      <c r="A254" s="415"/>
      <c r="B254" s="549"/>
      <c r="C254" s="387"/>
      <c r="D254" s="462" t="s">
        <v>556</v>
      </c>
      <c r="E254" s="388" t="s">
        <v>557</v>
      </c>
      <c r="F254" s="473"/>
      <c r="G254" s="386" t="s">
        <v>48</v>
      </c>
      <c r="H254" s="400" t="str">
        <f t="shared" si="16"/>
        <v>BB01-3</v>
      </c>
      <c r="I254" s="390">
        <v>3</v>
      </c>
      <c r="J254" s="473"/>
      <c r="K254" s="413">
        <v>1</v>
      </c>
      <c r="L254" s="572" t="s">
        <v>193</v>
      </c>
      <c r="M254" s="395"/>
      <c r="N254" s="395"/>
      <c r="R254" s="395"/>
      <c r="U254" s="395"/>
    </row>
    <row r="255" spans="1:21" s="407" customFormat="1" ht="12" customHeight="1" outlineLevel="2">
      <c r="A255" s="415"/>
      <c r="B255" s="549"/>
      <c r="C255" s="387"/>
      <c r="D255" s="462" t="s">
        <v>558</v>
      </c>
      <c r="E255" s="388" t="s">
        <v>559</v>
      </c>
      <c r="F255" s="473"/>
      <c r="G255" s="386" t="s">
        <v>48</v>
      </c>
      <c r="H255" s="400" t="str">
        <f t="shared" si="16"/>
        <v>BB01-3</v>
      </c>
      <c r="I255" s="390">
        <v>3</v>
      </c>
      <c r="J255" s="473"/>
      <c r="K255" s="413">
        <v>1</v>
      </c>
      <c r="L255" s="572" t="s">
        <v>193</v>
      </c>
      <c r="M255" s="395"/>
      <c r="N255" s="395"/>
      <c r="R255" s="395"/>
      <c r="U255" s="395"/>
    </row>
    <row r="256" spans="1:21" s="407" customFormat="1" ht="12" customHeight="1" outlineLevel="2">
      <c r="A256" s="415"/>
      <c r="B256" s="549"/>
      <c r="C256" s="387"/>
      <c r="D256" s="462" t="s">
        <v>560</v>
      </c>
      <c r="E256" s="388" t="s">
        <v>561</v>
      </c>
      <c r="F256" s="473"/>
      <c r="G256" s="386" t="s">
        <v>48</v>
      </c>
      <c r="H256" s="400" t="str">
        <f t="shared" si="16"/>
        <v>BB01-3</v>
      </c>
      <c r="I256" s="390">
        <v>3</v>
      </c>
      <c r="J256" s="473"/>
      <c r="K256" s="413">
        <v>1</v>
      </c>
      <c r="L256" s="572" t="s">
        <v>193</v>
      </c>
      <c r="M256" s="395"/>
      <c r="N256" s="395"/>
      <c r="R256" s="395"/>
      <c r="U256" s="395"/>
    </row>
    <row r="257" spans="1:21" s="407" customFormat="1" ht="12" customHeight="1" outlineLevel="2">
      <c r="A257" s="415"/>
      <c r="B257" s="549"/>
      <c r="C257" s="387"/>
      <c r="D257" s="462" t="s">
        <v>562</v>
      </c>
      <c r="E257" s="388" t="s">
        <v>563</v>
      </c>
      <c r="F257" s="473"/>
      <c r="G257" s="386" t="s">
        <v>48</v>
      </c>
      <c r="H257" s="400" t="str">
        <f t="shared" si="16"/>
        <v>BB01-3</v>
      </c>
      <c r="I257" s="390">
        <v>3</v>
      </c>
      <c r="J257" s="473"/>
      <c r="K257" s="413">
        <v>1</v>
      </c>
      <c r="L257" s="572" t="s">
        <v>193</v>
      </c>
      <c r="M257" s="395"/>
      <c r="N257" s="395"/>
      <c r="R257" s="395"/>
      <c r="U257" s="395"/>
    </row>
    <row r="258" spans="1:21" s="407" customFormat="1" ht="12" customHeight="1" outlineLevel="2">
      <c r="A258" s="415"/>
      <c r="B258" s="549"/>
      <c r="C258" s="387"/>
      <c r="D258" s="462" t="s">
        <v>564</v>
      </c>
      <c r="E258" s="388" t="s">
        <v>565</v>
      </c>
      <c r="F258" s="473"/>
      <c r="G258" s="386" t="s">
        <v>48</v>
      </c>
      <c r="H258" s="400" t="str">
        <f t="shared" si="16"/>
        <v>BB01-3</v>
      </c>
      <c r="I258" s="390">
        <v>3</v>
      </c>
      <c r="J258" s="473"/>
      <c r="K258" s="413">
        <v>1</v>
      </c>
      <c r="L258" s="572" t="s">
        <v>193</v>
      </c>
      <c r="M258" s="395"/>
      <c r="N258" s="395"/>
      <c r="R258" s="395"/>
      <c r="U258" s="395"/>
    </row>
    <row r="259" spans="1:21" s="407" customFormat="1" ht="12" customHeight="1" outlineLevel="2">
      <c r="A259" s="415"/>
      <c r="B259" s="549"/>
      <c r="C259" s="387"/>
      <c r="D259" s="462" t="s">
        <v>566</v>
      </c>
      <c r="E259" s="388" t="s">
        <v>567</v>
      </c>
      <c r="F259" s="473"/>
      <c r="G259" s="386" t="s">
        <v>48</v>
      </c>
      <c r="H259" s="400" t="str">
        <f t="shared" si="16"/>
        <v>BB01-3</v>
      </c>
      <c r="I259" s="390">
        <v>3</v>
      </c>
      <c r="J259" s="473"/>
      <c r="K259" s="413">
        <v>1</v>
      </c>
      <c r="L259" s="572" t="s">
        <v>193</v>
      </c>
      <c r="M259" s="395"/>
      <c r="N259" s="395"/>
      <c r="R259" s="395"/>
      <c r="U259" s="395"/>
    </row>
    <row r="260" spans="1:21" s="407" customFormat="1" ht="12" customHeight="1" outlineLevel="2">
      <c r="A260" s="415"/>
      <c r="B260" s="549"/>
      <c r="C260" s="387"/>
      <c r="D260" s="462" t="s">
        <v>568</v>
      </c>
      <c r="E260" s="388" t="s">
        <v>569</v>
      </c>
      <c r="F260" s="473"/>
      <c r="G260" s="386" t="s">
        <v>48</v>
      </c>
      <c r="H260" s="400" t="str">
        <f t="shared" si="16"/>
        <v>BB01-3</v>
      </c>
      <c r="I260" s="390">
        <v>3</v>
      </c>
      <c r="J260" s="473"/>
      <c r="K260" s="413">
        <v>1</v>
      </c>
      <c r="L260" s="572" t="s">
        <v>193</v>
      </c>
      <c r="M260" s="395"/>
      <c r="N260" s="395"/>
      <c r="R260" s="395"/>
      <c r="U260" s="395"/>
    </row>
    <row r="261" spans="1:21" s="407" customFormat="1" ht="12" customHeight="1" outlineLevel="2">
      <c r="A261" s="415"/>
      <c r="B261" s="549"/>
      <c r="C261" s="387"/>
      <c r="D261" s="462" t="s">
        <v>570</v>
      </c>
      <c r="E261" s="388" t="s">
        <v>571</v>
      </c>
      <c r="F261" s="473"/>
      <c r="G261" s="386" t="s">
        <v>48</v>
      </c>
      <c r="H261" s="400" t="str">
        <f t="shared" si="16"/>
        <v>BB01-3</v>
      </c>
      <c r="I261" s="390">
        <v>3</v>
      </c>
      <c r="J261" s="473"/>
      <c r="K261" s="413">
        <v>1</v>
      </c>
      <c r="L261" s="572" t="s">
        <v>193</v>
      </c>
      <c r="M261" s="395"/>
      <c r="N261" s="395"/>
      <c r="R261" s="395"/>
      <c r="U261" s="395"/>
    </row>
    <row r="262" spans="1:21" s="407" customFormat="1" ht="12" customHeight="1" outlineLevel="2">
      <c r="A262" s="415"/>
      <c r="B262" s="549"/>
      <c r="C262" s="387"/>
      <c r="D262" s="462" t="s">
        <v>572</v>
      </c>
      <c r="E262" s="388" t="s">
        <v>573</v>
      </c>
      <c r="F262" s="473"/>
      <c r="G262" s="386" t="s">
        <v>48</v>
      </c>
      <c r="H262" s="400" t="str">
        <f t="shared" si="16"/>
        <v>BB01-3</v>
      </c>
      <c r="I262" s="390">
        <v>3</v>
      </c>
      <c r="J262" s="473"/>
      <c r="K262" s="413">
        <v>1</v>
      </c>
      <c r="L262" s="572" t="s">
        <v>193</v>
      </c>
      <c r="M262" s="395"/>
      <c r="N262" s="395"/>
      <c r="R262" s="395"/>
      <c r="U262" s="395"/>
    </row>
    <row r="263" spans="1:21" s="407" customFormat="1" ht="12" customHeight="1" outlineLevel="2">
      <c r="A263" s="415"/>
      <c r="B263" s="549"/>
      <c r="C263" s="387"/>
      <c r="D263" s="462" t="s">
        <v>574</v>
      </c>
      <c r="E263" s="388" t="s">
        <v>575</v>
      </c>
      <c r="F263" s="473"/>
      <c r="G263" s="386" t="s">
        <v>48</v>
      </c>
      <c r="H263" s="400" t="str">
        <f t="shared" si="16"/>
        <v>BB01-3</v>
      </c>
      <c r="I263" s="390">
        <v>3</v>
      </c>
      <c r="J263" s="473"/>
      <c r="K263" s="413">
        <v>1</v>
      </c>
      <c r="L263" s="572" t="s">
        <v>193</v>
      </c>
      <c r="M263" s="395"/>
      <c r="N263" s="395"/>
      <c r="R263" s="395"/>
      <c r="U263" s="395"/>
    </row>
    <row r="264" spans="1:21" s="407" customFormat="1" ht="12" customHeight="1" outlineLevel="2">
      <c r="A264" s="415"/>
      <c r="B264" s="549"/>
      <c r="C264" s="387"/>
      <c r="D264" s="462" t="s">
        <v>576</v>
      </c>
      <c r="E264" s="388" t="s">
        <v>577</v>
      </c>
      <c r="F264" s="473"/>
      <c r="G264" s="386" t="s">
        <v>48</v>
      </c>
      <c r="H264" s="400" t="str">
        <f t="shared" si="16"/>
        <v>BB01-3</v>
      </c>
      <c r="I264" s="390">
        <v>3</v>
      </c>
      <c r="J264" s="473"/>
      <c r="K264" s="395">
        <v>1</v>
      </c>
      <c r="L264" s="572" t="s">
        <v>193</v>
      </c>
      <c r="M264" s="395"/>
      <c r="N264" s="395"/>
      <c r="R264" s="395"/>
      <c r="U264" s="395"/>
    </row>
    <row r="265" spans="1:21" s="407" customFormat="1" ht="12" customHeight="1" outlineLevel="2">
      <c r="A265" s="415"/>
      <c r="B265" s="549"/>
      <c r="C265" s="387"/>
      <c r="D265" s="462" t="s">
        <v>578</v>
      </c>
      <c r="E265" s="388" t="s">
        <v>579</v>
      </c>
      <c r="F265" s="473"/>
      <c r="G265" s="386" t="s">
        <v>48</v>
      </c>
      <c r="H265" s="400" t="str">
        <f t="shared" si="16"/>
        <v>BB01-3</v>
      </c>
      <c r="I265" s="390">
        <v>3</v>
      </c>
      <c r="J265" s="473"/>
      <c r="K265" s="395">
        <v>1</v>
      </c>
      <c r="L265" s="572" t="s">
        <v>193</v>
      </c>
      <c r="M265" s="395"/>
      <c r="N265" s="395"/>
      <c r="R265" s="395"/>
      <c r="U265" s="395"/>
    </row>
    <row r="266" spans="1:21" s="407" customFormat="1" ht="12" customHeight="1" outlineLevel="2">
      <c r="A266" s="415"/>
      <c r="B266" s="549"/>
      <c r="C266" s="387"/>
      <c r="D266" s="462" t="s">
        <v>580</v>
      </c>
      <c r="E266" s="388" t="s">
        <v>581</v>
      </c>
      <c r="F266" s="473"/>
      <c r="G266" s="386" t="s">
        <v>48</v>
      </c>
      <c r="H266" s="400" t="str">
        <f t="shared" si="16"/>
        <v>BB01-3</v>
      </c>
      <c r="I266" s="390">
        <v>3</v>
      </c>
      <c r="J266" s="473"/>
      <c r="K266" s="395">
        <v>1</v>
      </c>
      <c r="L266" s="572" t="s">
        <v>193</v>
      </c>
      <c r="M266" s="395"/>
      <c r="N266" s="395"/>
      <c r="R266" s="395"/>
      <c r="U266" s="395"/>
    </row>
    <row r="267" spans="1:21" s="407" customFormat="1" ht="12" customHeight="1" outlineLevel="2">
      <c r="A267" s="415"/>
      <c r="B267" s="549"/>
      <c r="C267" s="387"/>
      <c r="D267" s="462" t="s">
        <v>582</v>
      </c>
      <c r="E267" s="388" t="s">
        <v>583</v>
      </c>
      <c r="F267" s="473"/>
      <c r="G267" s="386" t="s">
        <v>48</v>
      </c>
      <c r="H267" s="400" t="str">
        <f t="shared" si="16"/>
        <v>BB01-3</v>
      </c>
      <c r="I267" s="390">
        <v>3</v>
      </c>
      <c r="J267" s="473"/>
      <c r="K267" s="395">
        <v>1</v>
      </c>
      <c r="L267" s="572" t="s">
        <v>193</v>
      </c>
      <c r="M267" s="395"/>
      <c r="N267" s="395"/>
      <c r="R267" s="395"/>
      <c r="U267" s="395"/>
    </row>
    <row r="268" spans="1:21" s="407" customFormat="1" ht="12" customHeight="1" outlineLevel="2">
      <c r="A268" s="415"/>
      <c r="B268" s="549"/>
      <c r="C268" s="387"/>
      <c r="D268" s="462" t="s">
        <v>584</v>
      </c>
      <c r="E268" s="388" t="s">
        <v>585</v>
      </c>
      <c r="F268" s="473"/>
      <c r="G268" s="386" t="s">
        <v>48</v>
      </c>
      <c r="H268" s="400" t="str">
        <f t="shared" ref="H268:H274" si="17">CONCATENATE(G268,"-",I268)</f>
        <v>BB01-3</v>
      </c>
      <c r="I268" s="390">
        <v>3</v>
      </c>
      <c r="J268" s="473"/>
      <c r="K268" s="395">
        <v>1</v>
      </c>
      <c r="L268" s="572" t="s">
        <v>193</v>
      </c>
      <c r="M268" s="395"/>
      <c r="N268" s="395"/>
      <c r="R268" s="395"/>
      <c r="U268" s="395"/>
    </row>
    <row r="269" spans="1:21" s="407" customFormat="1" ht="12" customHeight="1" outlineLevel="2">
      <c r="A269" s="415"/>
      <c r="B269" s="549"/>
      <c r="C269" s="387"/>
      <c r="D269" s="462" t="s">
        <v>586</v>
      </c>
      <c r="E269" s="388" t="s">
        <v>587</v>
      </c>
      <c r="F269" s="473"/>
      <c r="G269" s="386" t="s">
        <v>48</v>
      </c>
      <c r="H269" s="400" t="str">
        <f t="shared" si="17"/>
        <v>BB01-3</v>
      </c>
      <c r="I269" s="390">
        <v>3</v>
      </c>
      <c r="J269" s="473"/>
      <c r="K269" s="395">
        <v>1</v>
      </c>
      <c r="L269" s="572" t="s">
        <v>193</v>
      </c>
      <c r="M269" s="395"/>
      <c r="N269" s="395"/>
      <c r="R269" s="395"/>
      <c r="U269" s="395"/>
    </row>
    <row r="270" spans="1:21" s="407" customFormat="1" ht="12" customHeight="1" outlineLevel="2">
      <c r="A270" s="415"/>
      <c r="B270" s="549"/>
      <c r="C270" s="387"/>
      <c r="D270" s="462" t="s">
        <v>588</v>
      </c>
      <c r="E270" s="388" t="s">
        <v>589</v>
      </c>
      <c r="F270" s="473"/>
      <c r="G270" s="386" t="s">
        <v>48</v>
      </c>
      <c r="H270" s="400" t="str">
        <f t="shared" si="17"/>
        <v>BB01-3</v>
      </c>
      <c r="I270" s="390">
        <v>3</v>
      </c>
      <c r="J270" s="473"/>
      <c r="K270" s="395">
        <v>1</v>
      </c>
      <c r="L270" s="572" t="s">
        <v>193</v>
      </c>
      <c r="M270" s="395"/>
      <c r="N270" s="395"/>
      <c r="R270" s="395"/>
      <c r="U270" s="395"/>
    </row>
    <row r="271" spans="1:21" s="407" customFormat="1" ht="12" customHeight="1" outlineLevel="2">
      <c r="A271" s="415"/>
      <c r="B271" s="549"/>
      <c r="C271" s="387"/>
      <c r="D271" s="462" t="s">
        <v>590</v>
      </c>
      <c r="E271" s="388" t="s">
        <v>591</v>
      </c>
      <c r="F271" s="473"/>
      <c r="G271" s="386" t="s">
        <v>48</v>
      </c>
      <c r="H271" s="400" t="str">
        <f t="shared" si="17"/>
        <v>BB01-3</v>
      </c>
      <c r="I271" s="390">
        <v>3</v>
      </c>
      <c r="J271" s="473"/>
      <c r="K271" s="395">
        <v>1</v>
      </c>
      <c r="L271" s="572" t="s">
        <v>193</v>
      </c>
      <c r="M271" s="395"/>
      <c r="N271" s="395"/>
      <c r="R271" s="395"/>
      <c r="U271" s="395"/>
    </row>
    <row r="272" spans="1:21" s="407" customFormat="1" ht="12" customHeight="1" outlineLevel="2">
      <c r="A272" s="415"/>
      <c r="B272" s="549"/>
      <c r="C272" s="387"/>
      <c r="D272" s="462" t="s">
        <v>592</v>
      </c>
      <c r="E272" s="388" t="s">
        <v>593</v>
      </c>
      <c r="F272" s="473"/>
      <c r="G272" s="386" t="s">
        <v>48</v>
      </c>
      <c r="H272" s="400" t="str">
        <f t="shared" si="17"/>
        <v>BB01-3</v>
      </c>
      <c r="I272" s="390">
        <v>3</v>
      </c>
      <c r="J272" s="473"/>
      <c r="K272" s="395">
        <v>1</v>
      </c>
      <c r="L272" s="572" t="s">
        <v>193</v>
      </c>
      <c r="M272" s="395"/>
      <c r="N272" s="395"/>
      <c r="R272" s="395"/>
      <c r="U272" s="395"/>
    </row>
    <row r="273" spans="1:21" s="407" customFormat="1" ht="12" customHeight="1" outlineLevel="2">
      <c r="A273" s="415"/>
      <c r="B273" s="549"/>
      <c r="C273" s="387"/>
      <c r="D273" s="462" t="s">
        <v>594</v>
      </c>
      <c r="E273" s="388" t="s">
        <v>595</v>
      </c>
      <c r="F273" s="473"/>
      <c r="G273" s="386" t="s">
        <v>48</v>
      </c>
      <c r="H273" s="400" t="str">
        <f t="shared" si="17"/>
        <v>BB01-3</v>
      </c>
      <c r="I273" s="390">
        <v>3</v>
      </c>
      <c r="J273" s="473"/>
      <c r="K273" s="395">
        <v>1</v>
      </c>
      <c r="L273" s="572" t="s">
        <v>193</v>
      </c>
      <c r="M273" s="395"/>
      <c r="N273" s="395"/>
      <c r="R273" s="395"/>
      <c r="U273" s="395"/>
    </row>
    <row r="274" spans="1:21" s="407" customFormat="1" ht="12" customHeight="1" outlineLevel="2">
      <c r="A274" s="415"/>
      <c r="B274" s="549"/>
      <c r="C274" s="387"/>
      <c r="D274" s="462" t="s">
        <v>596</v>
      </c>
      <c r="E274" s="388" t="s">
        <v>597</v>
      </c>
      <c r="F274" s="473"/>
      <c r="G274" s="386" t="s">
        <v>48</v>
      </c>
      <c r="H274" s="400" t="str">
        <f t="shared" si="17"/>
        <v>BB01-3</v>
      </c>
      <c r="I274" s="390">
        <v>3</v>
      </c>
      <c r="J274" s="473"/>
      <c r="K274" s="395">
        <v>1</v>
      </c>
      <c r="L274" s="572" t="s">
        <v>193</v>
      </c>
      <c r="M274" s="395"/>
      <c r="N274" s="395"/>
      <c r="R274" s="395"/>
      <c r="U274" s="395"/>
    </row>
    <row r="275" spans="1:21" ht="3" customHeight="1" outlineLevel="1">
      <c r="A275" s="548"/>
      <c r="B275" s="552"/>
      <c r="K275" s="408"/>
      <c r="L275" s="408"/>
    </row>
    <row r="276" spans="1:21" outlineLevel="1">
      <c r="A276" s="460" t="s">
        <v>153</v>
      </c>
      <c r="B276" s="460" t="s">
        <v>154</v>
      </c>
      <c r="C276" s="460"/>
      <c r="D276" s="460"/>
      <c r="E276" s="460"/>
      <c r="G276" s="460"/>
      <c r="H276" s="460"/>
      <c r="I276" s="460"/>
      <c r="K276" s="408"/>
      <c r="L276" s="408"/>
    </row>
    <row r="277" spans="1:21" s="407" customFormat="1" ht="12" customHeight="1" outlineLevel="2">
      <c r="A277" s="415"/>
      <c r="B277" s="549"/>
      <c r="C277" s="387"/>
      <c r="D277" s="462"/>
      <c r="E277" s="388" t="s">
        <v>282</v>
      </c>
      <c r="F277" s="473"/>
      <c r="G277" s="386" t="s">
        <v>48</v>
      </c>
      <c r="H277" s="400" t="str">
        <f t="shared" ref="H277:H282" si="18">CONCATENATE(G277,"-",I277)</f>
        <v>BB01-4</v>
      </c>
      <c r="I277" s="390">
        <v>4</v>
      </c>
      <c r="J277" s="473"/>
      <c r="K277" s="413"/>
      <c r="L277" s="392"/>
      <c r="M277" s="395">
        <v>1</v>
      </c>
      <c r="N277" s="395">
        <v>1</v>
      </c>
    </row>
    <row r="278" spans="1:21" s="407" customFormat="1" ht="12" customHeight="1" outlineLevel="2">
      <c r="A278" s="415"/>
      <c r="B278" s="549"/>
      <c r="C278" s="387"/>
      <c r="D278" s="462" t="s">
        <v>598</v>
      </c>
      <c r="E278" s="388" t="s">
        <v>599</v>
      </c>
      <c r="F278" s="473"/>
      <c r="G278" s="386" t="s">
        <v>48</v>
      </c>
      <c r="H278" s="400" t="str">
        <f t="shared" si="18"/>
        <v>BB01-4</v>
      </c>
      <c r="I278" s="390">
        <v>4</v>
      </c>
      <c r="J278" s="473"/>
      <c r="K278" s="395">
        <v>1</v>
      </c>
      <c r="L278" s="572" t="s">
        <v>193</v>
      </c>
      <c r="M278" s="395"/>
      <c r="N278" s="395"/>
      <c r="R278" s="395"/>
    </row>
    <row r="279" spans="1:21" s="407" customFormat="1" ht="12" customHeight="1" outlineLevel="2">
      <c r="A279" s="415"/>
      <c r="B279" s="549"/>
      <c r="C279" s="387"/>
      <c r="D279" s="462" t="s">
        <v>600</v>
      </c>
      <c r="E279" s="388" t="s">
        <v>601</v>
      </c>
      <c r="F279" s="473"/>
      <c r="G279" s="386" t="s">
        <v>48</v>
      </c>
      <c r="H279" s="400" t="str">
        <f t="shared" ref="H279:H280" si="19">CONCATENATE(G279,"-",I279)</f>
        <v>BB01-4</v>
      </c>
      <c r="I279" s="390">
        <v>4</v>
      </c>
      <c r="J279" s="473"/>
      <c r="K279" s="395">
        <v>1</v>
      </c>
      <c r="L279" s="572" t="s">
        <v>193</v>
      </c>
      <c r="M279" s="395"/>
      <c r="N279" s="395"/>
      <c r="R279" s="395"/>
    </row>
    <row r="280" spans="1:21" s="407" customFormat="1" ht="12" customHeight="1" outlineLevel="2">
      <c r="A280" s="415"/>
      <c r="B280" s="549"/>
      <c r="C280" s="387"/>
      <c r="D280" s="462" t="s">
        <v>602</v>
      </c>
      <c r="E280" s="388" t="s">
        <v>603</v>
      </c>
      <c r="F280" s="473"/>
      <c r="G280" s="386" t="s">
        <v>48</v>
      </c>
      <c r="H280" s="400" t="str">
        <f t="shared" si="19"/>
        <v>BB01-4</v>
      </c>
      <c r="I280" s="390">
        <v>4</v>
      </c>
      <c r="J280" s="473"/>
      <c r="K280" s="395">
        <v>1</v>
      </c>
      <c r="L280" s="572" t="s">
        <v>193</v>
      </c>
      <c r="M280" s="395"/>
      <c r="N280" s="395"/>
      <c r="R280" s="395"/>
    </row>
    <row r="281" spans="1:21" s="407" customFormat="1" ht="12" customHeight="1" outlineLevel="2">
      <c r="A281" s="415"/>
      <c r="B281" s="549"/>
      <c r="C281" s="387"/>
      <c r="D281" s="462" t="s">
        <v>604</v>
      </c>
      <c r="E281" s="388" t="s">
        <v>605</v>
      </c>
      <c r="F281" s="473"/>
      <c r="G281" s="386" t="s">
        <v>48</v>
      </c>
      <c r="H281" s="400" t="str">
        <f t="shared" si="18"/>
        <v>BB01-4</v>
      </c>
      <c r="I281" s="390">
        <v>4</v>
      </c>
      <c r="J281" s="473"/>
      <c r="K281" s="395">
        <v>1</v>
      </c>
      <c r="L281" s="572" t="s">
        <v>193</v>
      </c>
      <c r="M281" s="395"/>
      <c r="N281" s="395"/>
      <c r="R281" s="395"/>
    </row>
    <row r="282" spans="1:21" s="407" customFormat="1" ht="12" customHeight="1" outlineLevel="2">
      <c r="A282" s="415"/>
      <c r="B282" s="549"/>
      <c r="C282" s="387"/>
      <c r="D282" s="462" t="s">
        <v>606</v>
      </c>
      <c r="E282" s="388" t="s">
        <v>607</v>
      </c>
      <c r="F282" s="473"/>
      <c r="G282" s="386" t="s">
        <v>48</v>
      </c>
      <c r="H282" s="400" t="str">
        <f t="shared" si="18"/>
        <v>BB01-4</v>
      </c>
      <c r="I282" s="390">
        <v>4</v>
      </c>
      <c r="J282" s="473"/>
      <c r="K282" s="395">
        <v>1</v>
      </c>
      <c r="L282" s="572" t="s">
        <v>193</v>
      </c>
      <c r="M282" s="395"/>
      <c r="N282" s="395"/>
      <c r="R282" s="395"/>
    </row>
    <row r="283" spans="1:21" ht="3" customHeight="1" outlineLevel="1">
      <c r="A283" s="548"/>
      <c r="B283" s="552"/>
      <c r="K283" s="408"/>
      <c r="L283" s="408"/>
    </row>
    <row r="284" spans="1:21" outlineLevel="1">
      <c r="A284" s="460" t="s">
        <v>155</v>
      </c>
      <c r="B284" s="460" t="s">
        <v>59</v>
      </c>
      <c r="C284" s="460"/>
      <c r="D284" s="460"/>
      <c r="E284" s="460"/>
      <c r="G284" s="460"/>
      <c r="H284" s="460"/>
      <c r="I284" s="460"/>
      <c r="K284" s="408"/>
      <c r="L284" s="408"/>
    </row>
    <row r="285" spans="1:21" s="407" customFormat="1" ht="12" customHeight="1" outlineLevel="2">
      <c r="A285" s="415"/>
      <c r="B285" s="549"/>
      <c r="C285" s="387"/>
      <c r="D285" s="462" t="s">
        <v>608</v>
      </c>
      <c r="E285" s="388" t="s">
        <v>609</v>
      </c>
      <c r="F285" s="473"/>
      <c r="G285" s="386" t="s">
        <v>48</v>
      </c>
      <c r="H285" s="400" t="str">
        <f t="shared" ref="H285" si="20">CONCATENATE(G285,"-",I285)</f>
        <v>BB01-5</v>
      </c>
      <c r="I285" s="390">
        <v>5</v>
      </c>
      <c r="J285" s="473"/>
      <c r="K285" s="395">
        <v>1</v>
      </c>
      <c r="L285" s="572" t="s">
        <v>610</v>
      </c>
      <c r="M285" s="395"/>
      <c r="N285" s="395"/>
      <c r="O285" s="395"/>
      <c r="R285" s="395"/>
      <c r="U285" s="395"/>
    </row>
    <row r="286" spans="1:21" ht="3" customHeight="1" outlineLevel="1">
      <c r="A286" s="548"/>
      <c r="B286" s="552"/>
      <c r="K286" s="408"/>
      <c r="L286" s="408"/>
      <c r="R286" s="420"/>
      <c r="U286" s="420"/>
    </row>
    <row r="287" spans="1:21" outlineLevel="1">
      <c r="A287" s="460" t="s">
        <v>156</v>
      </c>
      <c r="B287" s="460" t="s">
        <v>61</v>
      </c>
      <c r="C287" s="460"/>
      <c r="D287" s="460"/>
      <c r="E287" s="460"/>
      <c r="G287" s="460"/>
      <c r="H287" s="460"/>
      <c r="I287" s="460"/>
      <c r="K287" s="408"/>
      <c r="L287" s="408"/>
    </row>
    <row r="288" spans="1:21" s="407" customFormat="1" ht="12" customHeight="1" outlineLevel="2">
      <c r="A288" s="415"/>
      <c r="B288" s="549"/>
      <c r="C288" s="387"/>
      <c r="D288" s="462" t="s">
        <v>611</v>
      </c>
      <c r="E288" s="388" t="s">
        <v>612</v>
      </c>
      <c r="F288" s="473"/>
      <c r="G288" s="386" t="s">
        <v>48</v>
      </c>
      <c r="H288" s="400" t="str">
        <f t="shared" ref="H288:H296" si="21">CONCATENATE(G288,"-",I288)</f>
        <v>BB01-6</v>
      </c>
      <c r="I288" s="390">
        <v>6</v>
      </c>
      <c r="J288" s="473"/>
      <c r="K288" s="395">
        <v>1</v>
      </c>
      <c r="L288" s="572" t="s">
        <v>610</v>
      </c>
      <c r="M288" s="395"/>
      <c r="N288" s="395"/>
      <c r="O288" s="395"/>
      <c r="R288" s="395"/>
      <c r="U288" s="395"/>
    </row>
    <row r="289" spans="1:21" s="407" customFormat="1" ht="12" customHeight="1" outlineLevel="2">
      <c r="A289" s="415"/>
      <c r="B289" s="549"/>
      <c r="C289" s="387"/>
      <c r="D289" s="462" t="s">
        <v>613</v>
      </c>
      <c r="E289" s="388" t="s">
        <v>614</v>
      </c>
      <c r="F289" s="473"/>
      <c r="G289" s="386" t="s">
        <v>48</v>
      </c>
      <c r="H289" s="400" t="str">
        <f t="shared" si="21"/>
        <v>BB01-6</v>
      </c>
      <c r="I289" s="390">
        <v>6</v>
      </c>
      <c r="J289" s="473"/>
      <c r="K289" s="395">
        <v>1</v>
      </c>
      <c r="L289" s="572" t="s">
        <v>610</v>
      </c>
      <c r="M289" s="395"/>
      <c r="N289" s="395"/>
      <c r="O289" s="395"/>
      <c r="R289" s="395"/>
      <c r="U289" s="395"/>
    </row>
    <row r="290" spans="1:21" s="407" customFormat="1" ht="12" customHeight="1" outlineLevel="2">
      <c r="A290" s="415"/>
      <c r="B290" s="549"/>
      <c r="C290" s="387"/>
      <c r="D290" s="462" t="s">
        <v>615</v>
      </c>
      <c r="E290" s="388" t="s">
        <v>616</v>
      </c>
      <c r="F290" s="473"/>
      <c r="G290" s="386" t="s">
        <v>48</v>
      </c>
      <c r="H290" s="400" t="str">
        <f t="shared" si="21"/>
        <v>BB01-6</v>
      </c>
      <c r="I290" s="390">
        <v>6</v>
      </c>
      <c r="J290" s="473"/>
      <c r="K290" s="395">
        <v>1</v>
      </c>
      <c r="L290" s="572" t="s">
        <v>610</v>
      </c>
      <c r="M290" s="395"/>
      <c r="N290" s="395"/>
      <c r="O290" s="395"/>
      <c r="R290" s="395"/>
      <c r="U290" s="395"/>
    </row>
    <row r="291" spans="1:21" s="407" customFormat="1" ht="12" customHeight="1" outlineLevel="2">
      <c r="A291" s="415"/>
      <c r="B291" s="549"/>
      <c r="C291" s="387"/>
      <c r="D291" s="462" t="s">
        <v>617</v>
      </c>
      <c r="E291" s="388" t="s">
        <v>618</v>
      </c>
      <c r="F291" s="473"/>
      <c r="G291" s="386" t="s">
        <v>48</v>
      </c>
      <c r="H291" s="400" t="str">
        <f t="shared" ref="H291" si="22">CONCATENATE(G291,"-",I291)</f>
        <v>BB01-6</v>
      </c>
      <c r="I291" s="390">
        <v>6</v>
      </c>
      <c r="J291" s="473"/>
      <c r="K291" s="395">
        <v>1</v>
      </c>
      <c r="L291" s="572" t="s">
        <v>193</v>
      </c>
      <c r="M291" s="395"/>
      <c r="N291" s="395"/>
      <c r="O291" s="395"/>
      <c r="R291" s="395"/>
      <c r="U291" s="395"/>
    </row>
    <row r="292" spans="1:21" s="407" customFormat="1" ht="12" customHeight="1" outlineLevel="2">
      <c r="A292" s="415"/>
      <c r="B292" s="549"/>
      <c r="C292" s="387"/>
      <c r="D292" s="462" t="s">
        <v>619</v>
      </c>
      <c r="E292" s="388" t="s">
        <v>620</v>
      </c>
      <c r="F292" s="473"/>
      <c r="G292" s="386" t="s">
        <v>48</v>
      </c>
      <c r="H292" s="400" t="str">
        <f t="shared" si="21"/>
        <v>BB01-6</v>
      </c>
      <c r="I292" s="390">
        <v>6</v>
      </c>
      <c r="J292" s="473"/>
      <c r="K292" s="395">
        <v>1</v>
      </c>
      <c r="L292" s="572" t="s">
        <v>610</v>
      </c>
      <c r="M292" s="395"/>
      <c r="N292" s="395"/>
      <c r="O292" s="395"/>
      <c r="R292" s="395"/>
      <c r="U292" s="395"/>
    </row>
    <row r="293" spans="1:21" s="407" customFormat="1" ht="12" customHeight="1" outlineLevel="2">
      <c r="A293" s="415"/>
      <c r="B293" s="549"/>
      <c r="C293" s="387"/>
      <c r="D293" s="462" t="s">
        <v>621</v>
      </c>
      <c r="E293" s="388" t="s">
        <v>622</v>
      </c>
      <c r="F293" s="473"/>
      <c r="G293" s="386" t="s">
        <v>48</v>
      </c>
      <c r="H293" s="400" t="str">
        <f t="shared" si="21"/>
        <v>BB01-6</v>
      </c>
      <c r="I293" s="390">
        <v>6</v>
      </c>
      <c r="J293" s="473"/>
      <c r="K293" s="395">
        <v>1</v>
      </c>
      <c r="L293" s="572" t="s">
        <v>610</v>
      </c>
      <c r="M293" s="395"/>
      <c r="N293" s="395"/>
      <c r="O293" s="395"/>
      <c r="R293" s="395"/>
      <c r="U293" s="395"/>
    </row>
    <row r="294" spans="1:21" s="407" customFormat="1" ht="12" customHeight="1" outlineLevel="2">
      <c r="A294" s="415"/>
      <c r="B294" s="549"/>
      <c r="C294" s="387"/>
      <c r="D294" s="462" t="s">
        <v>623</v>
      </c>
      <c r="E294" s="388" t="s">
        <v>624</v>
      </c>
      <c r="F294" s="473"/>
      <c r="G294" s="386" t="s">
        <v>48</v>
      </c>
      <c r="H294" s="400" t="str">
        <f t="shared" si="21"/>
        <v>BB01-6</v>
      </c>
      <c r="I294" s="390">
        <v>6</v>
      </c>
      <c r="J294" s="473"/>
      <c r="K294" s="395">
        <v>1</v>
      </c>
      <c r="L294" s="572" t="s">
        <v>610</v>
      </c>
      <c r="M294" s="395"/>
      <c r="N294" s="395"/>
      <c r="O294" s="395"/>
      <c r="R294" s="395"/>
      <c r="U294" s="395"/>
    </row>
    <row r="295" spans="1:21" s="407" customFormat="1" ht="12" customHeight="1" outlineLevel="2">
      <c r="A295" s="415"/>
      <c r="B295" s="549"/>
      <c r="C295" s="387"/>
      <c r="D295" s="462" t="s">
        <v>625</v>
      </c>
      <c r="E295" s="388" t="s">
        <v>626</v>
      </c>
      <c r="F295" s="473"/>
      <c r="G295" s="386" t="s">
        <v>48</v>
      </c>
      <c r="H295" s="400" t="str">
        <f t="shared" si="21"/>
        <v>BB01-6</v>
      </c>
      <c r="I295" s="390">
        <v>6</v>
      </c>
      <c r="J295" s="473"/>
      <c r="K295" s="395">
        <v>1</v>
      </c>
      <c r="L295" s="572" t="s">
        <v>610</v>
      </c>
      <c r="M295" s="395"/>
      <c r="N295" s="395"/>
      <c r="O295" s="395"/>
      <c r="R295" s="395"/>
      <c r="U295" s="395"/>
    </row>
    <row r="296" spans="1:21" s="407" customFormat="1" ht="12" customHeight="1" outlineLevel="2">
      <c r="A296" s="415"/>
      <c r="B296" s="549"/>
      <c r="C296" s="387"/>
      <c r="D296" s="462" t="s">
        <v>627</v>
      </c>
      <c r="E296" s="388" t="s">
        <v>628</v>
      </c>
      <c r="F296" s="473"/>
      <c r="G296" s="386" t="s">
        <v>48</v>
      </c>
      <c r="H296" s="400" t="str">
        <f t="shared" si="21"/>
        <v>BB01-6</v>
      </c>
      <c r="I296" s="390">
        <v>6</v>
      </c>
      <c r="J296" s="473"/>
      <c r="K296" s="395">
        <v>1</v>
      </c>
      <c r="L296" s="572" t="s">
        <v>610</v>
      </c>
      <c r="M296" s="395"/>
      <c r="N296" s="395"/>
      <c r="O296" s="395"/>
      <c r="R296" s="395"/>
      <c r="U296" s="395"/>
    </row>
    <row r="297" spans="1:21" s="407" customFormat="1" ht="12" customHeight="1" outlineLevel="2">
      <c r="A297" s="415"/>
      <c r="B297" s="549"/>
      <c r="C297" s="387"/>
      <c r="D297" s="462" t="s">
        <v>629</v>
      </c>
      <c r="E297" s="388" t="s">
        <v>630</v>
      </c>
      <c r="F297" s="473"/>
      <c r="G297" s="386" t="s">
        <v>48</v>
      </c>
      <c r="H297" s="400" t="str">
        <f t="shared" ref="H297" si="23">CONCATENATE(G297,"-",I297)</f>
        <v>BB01-6</v>
      </c>
      <c r="I297" s="390">
        <v>6</v>
      </c>
      <c r="J297" s="473"/>
      <c r="K297" s="395">
        <v>1</v>
      </c>
      <c r="L297" s="572" t="s">
        <v>193</v>
      </c>
      <c r="M297" s="395"/>
      <c r="N297" s="395"/>
      <c r="O297" s="395"/>
      <c r="R297" s="395"/>
      <c r="U297" s="395"/>
    </row>
    <row r="298" spans="1:21" s="407" customFormat="1" ht="12" customHeight="1" outlineLevel="2">
      <c r="A298" s="415"/>
      <c r="B298" s="549"/>
      <c r="C298" s="387"/>
      <c r="D298" s="462" t="s">
        <v>631</v>
      </c>
      <c r="E298" s="388" t="s">
        <v>632</v>
      </c>
      <c r="F298" s="473"/>
      <c r="G298" s="386" t="s">
        <v>48</v>
      </c>
      <c r="H298" s="400" t="str">
        <f t="shared" ref="H298:H302" si="24">CONCATENATE(G298,"-",I298)</f>
        <v>BB01-6</v>
      </c>
      <c r="I298" s="390">
        <v>6</v>
      </c>
      <c r="J298" s="473"/>
      <c r="K298" s="395">
        <v>1</v>
      </c>
      <c r="L298" s="572" t="s">
        <v>193</v>
      </c>
      <c r="M298" s="395"/>
      <c r="N298" s="395"/>
      <c r="O298" s="395"/>
      <c r="R298" s="395"/>
      <c r="U298" s="395"/>
    </row>
    <row r="299" spans="1:21" s="407" customFormat="1" ht="12" customHeight="1" outlineLevel="2">
      <c r="A299" s="415"/>
      <c r="B299" s="549"/>
      <c r="C299" s="387"/>
      <c r="D299" s="462" t="s">
        <v>633</v>
      </c>
      <c r="E299" s="388" t="s">
        <v>634</v>
      </c>
      <c r="F299" s="473"/>
      <c r="G299" s="386" t="s">
        <v>48</v>
      </c>
      <c r="H299" s="400" t="str">
        <f t="shared" si="24"/>
        <v>BB01-6</v>
      </c>
      <c r="I299" s="390">
        <v>6</v>
      </c>
      <c r="J299" s="473"/>
      <c r="K299" s="395">
        <v>1</v>
      </c>
      <c r="L299" s="572" t="s">
        <v>193</v>
      </c>
      <c r="M299" s="395"/>
      <c r="N299" s="395"/>
      <c r="O299" s="395"/>
      <c r="R299" s="395"/>
      <c r="U299" s="395"/>
    </row>
    <row r="300" spans="1:21" s="407" customFormat="1" ht="12" customHeight="1" outlineLevel="2">
      <c r="A300" s="415"/>
      <c r="B300" s="549"/>
      <c r="C300" s="387"/>
      <c r="D300" s="462" t="s">
        <v>635</v>
      </c>
      <c r="E300" s="388" t="s">
        <v>636</v>
      </c>
      <c r="F300" s="473"/>
      <c r="G300" s="386" t="s">
        <v>48</v>
      </c>
      <c r="H300" s="400" t="str">
        <f t="shared" si="24"/>
        <v>BB01-6</v>
      </c>
      <c r="I300" s="390">
        <v>6</v>
      </c>
      <c r="J300" s="473"/>
      <c r="K300" s="395">
        <v>1</v>
      </c>
      <c r="L300" s="572" t="s">
        <v>193</v>
      </c>
      <c r="M300" s="395"/>
      <c r="N300" s="395"/>
      <c r="O300" s="395"/>
      <c r="R300" s="395"/>
      <c r="U300" s="395"/>
    </row>
    <row r="301" spans="1:21" s="407" customFormat="1" ht="12" customHeight="1" outlineLevel="2">
      <c r="A301" s="415"/>
      <c r="B301" s="549"/>
      <c r="C301" s="387"/>
      <c r="D301" s="462" t="s">
        <v>637</v>
      </c>
      <c r="E301" s="388" t="s">
        <v>638</v>
      </c>
      <c r="F301" s="473"/>
      <c r="G301" s="386" t="s">
        <v>48</v>
      </c>
      <c r="H301" s="400" t="str">
        <f t="shared" ref="H301" si="25">CONCATENATE(G301,"-",I301)</f>
        <v>BB01-6</v>
      </c>
      <c r="I301" s="390">
        <v>6</v>
      </c>
      <c r="J301" s="473"/>
      <c r="K301" s="395">
        <v>1</v>
      </c>
      <c r="L301" s="572" t="s">
        <v>193</v>
      </c>
      <c r="M301" s="395"/>
      <c r="N301" s="395"/>
      <c r="O301" s="395"/>
      <c r="R301" s="395"/>
      <c r="U301" s="395"/>
    </row>
    <row r="302" spans="1:21" s="407" customFormat="1" ht="12" customHeight="1" outlineLevel="2">
      <c r="A302" s="415"/>
      <c r="B302" s="549"/>
      <c r="C302" s="387"/>
      <c r="D302" s="462" t="s">
        <v>637</v>
      </c>
      <c r="E302" s="388" t="s">
        <v>639</v>
      </c>
      <c r="F302" s="473"/>
      <c r="G302" s="386" t="s">
        <v>48</v>
      </c>
      <c r="H302" s="400" t="str">
        <f t="shared" si="24"/>
        <v>BB01-6</v>
      </c>
      <c r="I302" s="390">
        <v>6</v>
      </c>
      <c r="J302" s="473"/>
      <c r="K302" s="395">
        <v>1</v>
      </c>
      <c r="L302" s="572" t="s">
        <v>193</v>
      </c>
      <c r="M302" s="395"/>
      <c r="N302" s="395"/>
      <c r="O302" s="395"/>
      <c r="R302" s="395"/>
      <c r="U302" s="395"/>
    </row>
    <row r="303" spans="1:21" ht="3" customHeight="1" outlineLevel="1">
      <c r="A303" s="548"/>
      <c r="B303" s="552"/>
      <c r="K303" s="408"/>
      <c r="L303" s="408"/>
    </row>
    <row r="304" spans="1:21" outlineLevel="1">
      <c r="A304" s="460" t="s">
        <v>157</v>
      </c>
      <c r="B304" s="460" t="s">
        <v>63</v>
      </c>
      <c r="C304" s="460"/>
      <c r="D304" s="460"/>
      <c r="E304" s="460"/>
      <c r="G304" s="460"/>
      <c r="H304" s="460"/>
      <c r="I304" s="460"/>
      <c r="K304" s="408"/>
      <c r="L304" s="408"/>
    </row>
    <row r="305" spans="1:21" s="407" customFormat="1" ht="12" customHeight="1" outlineLevel="2">
      <c r="A305" s="415"/>
      <c r="B305" s="549"/>
      <c r="C305" s="387"/>
      <c r="D305" s="462"/>
      <c r="E305" s="388" t="s">
        <v>230</v>
      </c>
      <c r="F305" s="473"/>
      <c r="G305" s="386" t="s">
        <v>48</v>
      </c>
      <c r="H305" s="400" t="str">
        <f>CONCATENATE(G305,"-",I305)</f>
        <v>BB01-7</v>
      </c>
      <c r="I305" s="390">
        <v>7</v>
      </c>
      <c r="J305" s="473"/>
      <c r="K305" s="413"/>
      <c r="L305" s="392"/>
      <c r="M305" s="395">
        <v>1</v>
      </c>
      <c r="N305" s="395">
        <v>1</v>
      </c>
      <c r="O305" s="395"/>
    </row>
    <row r="306" spans="1:21" s="407" customFormat="1" ht="12" customHeight="1" outlineLevel="2">
      <c r="A306" s="415"/>
      <c r="B306" s="549"/>
      <c r="C306" s="387"/>
      <c r="D306" s="462"/>
      <c r="E306" s="388" t="s">
        <v>269</v>
      </c>
      <c r="F306" s="473"/>
      <c r="G306" s="386" t="s">
        <v>48</v>
      </c>
      <c r="H306" s="400" t="str">
        <f>CONCATENATE(G306,"-",I306)</f>
        <v>BB01-7</v>
      </c>
      <c r="I306" s="390">
        <v>7</v>
      </c>
      <c r="J306" s="473"/>
      <c r="K306" s="413"/>
      <c r="L306" s="392"/>
      <c r="M306" s="395">
        <v>1</v>
      </c>
      <c r="N306" s="395">
        <v>1</v>
      </c>
      <c r="O306" s="395"/>
    </row>
    <row r="307" spans="1:21" s="407" customFormat="1" ht="12" customHeight="1" outlineLevel="2">
      <c r="A307" s="415"/>
      <c r="B307" s="549"/>
      <c r="C307" s="387"/>
      <c r="D307" s="462"/>
      <c r="E307" s="388" t="s">
        <v>272</v>
      </c>
      <c r="F307" s="473"/>
      <c r="G307" s="386" t="s">
        <v>48</v>
      </c>
      <c r="H307" s="400" t="str">
        <f>CONCATENATE(G307,"-",I307)</f>
        <v>BB01-7</v>
      </c>
      <c r="I307" s="390">
        <v>7</v>
      </c>
      <c r="J307" s="473"/>
      <c r="K307" s="413"/>
      <c r="L307" s="392"/>
      <c r="M307" s="395">
        <v>1</v>
      </c>
      <c r="N307" s="395">
        <v>1</v>
      </c>
      <c r="O307" s="395"/>
    </row>
    <row r="308" spans="1:21" s="407" customFormat="1" ht="12" customHeight="1" outlineLevel="2">
      <c r="A308" s="415"/>
      <c r="B308" s="549"/>
      <c r="C308" s="387"/>
      <c r="D308" s="462" t="s">
        <v>640</v>
      </c>
      <c r="E308" s="388" t="s">
        <v>641</v>
      </c>
      <c r="F308" s="473"/>
      <c r="G308" s="386" t="s">
        <v>48</v>
      </c>
      <c r="H308" s="400" t="str">
        <f t="shared" ref="H308:H309" si="26">CONCATENATE(G308,"-",I308)</f>
        <v>BB01-6</v>
      </c>
      <c r="I308" s="390">
        <v>6</v>
      </c>
      <c r="J308" s="473"/>
      <c r="K308" s="395">
        <v>1</v>
      </c>
      <c r="L308" s="572" t="s">
        <v>193</v>
      </c>
      <c r="M308" s="395"/>
      <c r="N308" s="395"/>
      <c r="O308" s="395"/>
      <c r="R308" s="395"/>
      <c r="U308" s="395"/>
    </row>
    <row r="309" spans="1:21" s="407" customFormat="1" ht="12" customHeight="1" outlineLevel="2">
      <c r="A309" s="415"/>
      <c r="B309" s="549"/>
      <c r="C309" s="387"/>
      <c r="D309" s="462" t="s">
        <v>642</v>
      </c>
      <c r="E309" s="388" t="s">
        <v>643</v>
      </c>
      <c r="F309" s="473"/>
      <c r="G309" s="386" t="s">
        <v>48</v>
      </c>
      <c r="H309" s="400" t="str">
        <f t="shared" si="26"/>
        <v>BB01-6</v>
      </c>
      <c r="I309" s="390">
        <v>6</v>
      </c>
      <c r="J309" s="473"/>
      <c r="K309" s="395">
        <v>1</v>
      </c>
      <c r="L309" s="572" t="s">
        <v>193</v>
      </c>
      <c r="M309" s="395"/>
      <c r="N309" s="395"/>
      <c r="O309" s="395"/>
      <c r="R309" s="395"/>
      <c r="U309" s="395"/>
    </row>
    <row r="310" spans="1:21" s="407" customFormat="1" ht="12" customHeight="1" outlineLevel="2">
      <c r="A310" s="415"/>
      <c r="B310" s="549"/>
      <c r="C310" s="387"/>
      <c r="D310" s="462" t="s">
        <v>644</v>
      </c>
      <c r="E310" s="388" t="s">
        <v>645</v>
      </c>
      <c r="F310" s="473"/>
      <c r="G310" s="386" t="s">
        <v>48</v>
      </c>
      <c r="H310" s="400" t="str">
        <f>CONCATENATE(G310,"-",I310)</f>
        <v>BB01-6</v>
      </c>
      <c r="I310" s="390">
        <v>6</v>
      </c>
      <c r="J310" s="473"/>
      <c r="K310" s="395">
        <v>1</v>
      </c>
      <c r="L310" s="572" t="s">
        <v>193</v>
      </c>
      <c r="M310" s="395"/>
      <c r="N310" s="395"/>
      <c r="O310" s="395"/>
      <c r="R310" s="395"/>
      <c r="U310" s="395"/>
    </row>
    <row r="311" spans="1:21" s="407" customFormat="1" ht="12" customHeight="1" outlineLevel="2">
      <c r="A311" s="415"/>
      <c r="B311" s="549"/>
      <c r="C311" s="387"/>
      <c r="D311" s="462" t="s">
        <v>646</v>
      </c>
      <c r="E311" s="388" t="s">
        <v>647</v>
      </c>
      <c r="F311" s="473"/>
      <c r="G311" s="386" t="s">
        <v>48</v>
      </c>
      <c r="H311" s="400" t="str">
        <f t="shared" ref="H311" si="27">CONCATENATE(G311,"-",I311)</f>
        <v>BB01-6</v>
      </c>
      <c r="I311" s="390">
        <v>6</v>
      </c>
      <c r="J311" s="473"/>
      <c r="K311" s="395">
        <v>1</v>
      </c>
      <c r="L311" s="572" t="s">
        <v>193</v>
      </c>
      <c r="M311" s="395"/>
      <c r="N311" s="395"/>
      <c r="O311" s="395"/>
      <c r="R311" s="395"/>
      <c r="U311" s="395"/>
    </row>
    <row r="312" spans="1:21" s="407" customFormat="1" ht="12" customHeight="1" outlineLevel="2">
      <c r="A312" s="415"/>
      <c r="B312" s="549"/>
      <c r="C312" s="387"/>
      <c r="D312" s="462" t="s">
        <v>648</v>
      </c>
      <c r="E312" s="388" t="s">
        <v>649</v>
      </c>
      <c r="F312" s="473"/>
      <c r="G312" s="386" t="s">
        <v>48</v>
      </c>
      <c r="H312" s="400" t="str">
        <f t="shared" ref="H312:H348" si="28">CONCATENATE(G312,"-",I312)</f>
        <v>BB01-6</v>
      </c>
      <c r="I312" s="390">
        <v>6</v>
      </c>
      <c r="J312" s="473"/>
      <c r="K312" s="395">
        <v>1</v>
      </c>
      <c r="L312" s="572" t="s">
        <v>193</v>
      </c>
      <c r="M312" s="395"/>
      <c r="N312" s="395"/>
      <c r="O312" s="395"/>
      <c r="R312" s="395"/>
      <c r="U312" s="395"/>
    </row>
    <row r="313" spans="1:21" s="407" customFormat="1" ht="12" customHeight="1" outlineLevel="2">
      <c r="A313" s="415"/>
      <c r="B313" s="549"/>
      <c r="C313" s="387"/>
      <c r="D313" s="462" t="s">
        <v>650</v>
      </c>
      <c r="E313" s="388" t="s">
        <v>651</v>
      </c>
      <c r="F313" s="473"/>
      <c r="G313" s="386" t="s">
        <v>48</v>
      </c>
      <c r="H313" s="400" t="str">
        <f t="shared" si="28"/>
        <v>BB01-6</v>
      </c>
      <c r="I313" s="390">
        <v>6</v>
      </c>
      <c r="J313" s="473"/>
      <c r="K313" s="395">
        <v>1</v>
      </c>
      <c r="L313" s="572" t="s">
        <v>193</v>
      </c>
      <c r="M313" s="395"/>
      <c r="N313" s="395"/>
      <c r="O313" s="395"/>
      <c r="R313" s="395"/>
      <c r="U313" s="395"/>
    </row>
    <row r="314" spans="1:21" s="407" customFormat="1" ht="12" customHeight="1" outlineLevel="2">
      <c r="A314" s="415"/>
      <c r="B314" s="549"/>
      <c r="C314" s="387"/>
      <c r="D314" s="462" t="s">
        <v>652</v>
      </c>
      <c r="E314" s="388" t="s">
        <v>653</v>
      </c>
      <c r="F314" s="473"/>
      <c r="G314" s="386" t="s">
        <v>48</v>
      </c>
      <c r="H314" s="400" t="str">
        <f t="shared" si="28"/>
        <v>BB01-6</v>
      </c>
      <c r="I314" s="390">
        <v>6</v>
      </c>
      <c r="J314" s="473"/>
      <c r="K314" s="395">
        <v>1</v>
      </c>
      <c r="L314" s="572" t="s">
        <v>193</v>
      </c>
      <c r="M314" s="395"/>
      <c r="N314" s="395"/>
      <c r="O314" s="395"/>
      <c r="R314" s="395"/>
      <c r="U314" s="395"/>
    </row>
    <row r="315" spans="1:21" s="407" customFormat="1" ht="12" customHeight="1" outlineLevel="2">
      <c r="A315" s="415"/>
      <c r="B315" s="549"/>
      <c r="C315" s="387"/>
      <c r="D315" s="462" t="s">
        <v>654</v>
      </c>
      <c r="E315" s="388" t="s">
        <v>655</v>
      </c>
      <c r="F315" s="473"/>
      <c r="G315" s="386" t="s">
        <v>48</v>
      </c>
      <c r="H315" s="400" t="str">
        <f t="shared" si="28"/>
        <v>BB01-6</v>
      </c>
      <c r="I315" s="390">
        <v>6</v>
      </c>
      <c r="J315" s="473"/>
      <c r="K315" s="395">
        <v>1</v>
      </c>
      <c r="L315" s="572" t="s">
        <v>193</v>
      </c>
      <c r="M315" s="395"/>
      <c r="N315" s="395"/>
      <c r="O315" s="395"/>
      <c r="R315" s="395"/>
      <c r="U315" s="395"/>
    </row>
    <row r="316" spans="1:21" s="407" customFormat="1" ht="12" customHeight="1" outlineLevel="2">
      <c r="A316" s="415"/>
      <c r="B316" s="549"/>
      <c r="C316" s="387"/>
      <c r="D316" s="462" t="s">
        <v>656</v>
      </c>
      <c r="E316" s="388" t="s">
        <v>657</v>
      </c>
      <c r="F316" s="473"/>
      <c r="G316" s="386" t="s">
        <v>48</v>
      </c>
      <c r="H316" s="400" t="str">
        <f t="shared" si="28"/>
        <v>BB01-6</v>
      </c>
      <c r="I316" s="390">
        <v>6</v>
      </c>
      <c r="J316" s="473"/>
      <c r="K316" s="395">
        <v>1</v>
      </c>
      <c r="L316" s="572" t="s">
        <v>193</v>
      </c>
      <c r="M316" s="395"/>
      <c r="N316" s="395"/>
      <c r="O316" s="395"/>
      <c r="R316" s="395"/>
      <c r="U316" s="395"/>
    </row>
    <row r="317" spans="1:21" s="407" customFormat="1" ht="12" customHeight="1" outlineLevel="2">
      <c r="A317" s="415"/>
      <c r="B317" s="549"/>
      <c r="C317" s="387"/>
      <c r="D317" s="462" t="s">
        <v>658</v>
      </c>
      <c r="E317" s="388" t="s">
        <v>659</v>
      </c>
      <c r="F317" s="473"/>
      <c r="G317" s="386" t="s">
        <v>48</v>
      </c>
      <c r="H317" s="400" t="str">
        <f t="shared" si="28"/>
        <v>BB01-6</v>
      </c>
      <c r="I317" s="390">
        <v>6</v>
      </c>
      <c r="J317" s="473"/>
      <c r="K317" s="395">
        <v>1</v>
      </c>
      <c r="L317" s="572" t="s">
        <v>193</v>
      </c>
      <c r="M317" s="395"/>
      <c r="N317" s="395"/>
      <c r="O317" s="395"/>
      <c r="R317" s="395"/>
      <c r="U317" s="395"/>
    </row>
    <row r="318" spans="1:21" s="407" customFormat="1" ht="12" customHeight="1" outlineLevel="2">
      <c r="A318" s="415"/>
      <c r="B318" s="549"/>
      <c r="C318" s="387"/>
      <c r="D318" s="462" t="s">
        <v>660</v>
      </c>
      <c r="E318" s="388" t="s">
        <v>661</v>
      </c>
      <c r="F318" s="473"/>
      <c r="G318" s="386" t="s">
        <v>48</v>
      </c>
      <c r="H318" s="400" t="str">
        <f t="shared" si="28"/>
        <v>BB01-6</v>
      </c>
      <c r="I318" s="390">
        <v>6</v>
      </c>
      <c r="J318" s="473"/>
      <c r="K318" s="395">
        <v>1</v>
      </c>
      <c r="L318" s="572" t="s">
        <v>193</v>
      </c>
      <c r="M318" s="395"/>
      <c r="N318" s="395"/>
      <c r="O318" s="395"/>
      <c r="R318" s="395"/>
      <c r="U318" s="395"/>
    </row>
    <row r="319" spans="1:21" s="407" customFormat="1" ht="12" customHeight="1" outlineLevel="2">
      <c r="A319" s="415"/>
      <c r="B319" s="549"/>
      <c r="C319" s="387"/>
      <c r="D319" s="462" t="s">
        <v>662</v>
      </c>
      <c r="E319" s="388" t="s">
        <v>663</v>
      </c>
      <c r="F319" s="473"/>
      <c r="G319" s="386" t="s">
        <v>48</v>
      </c>
      <c r="H319" s="400" t="str">
        <f t="shared" si="28"/>
        <v>BB01-6</v>
      </c>
      <c r="I319" s="390">
        <v>6</v>
      </c>
      <c r="J319" s="473"/>
      <c r="K319" s="395">
        <v>1</v>
      </c>
      <c r="L319" s="572" t="s">
        <v>193</v>
      </c>
      <c r="M319" s="395"/>
      <c r="N319" s="395"/>
      <c r="O319" s="395"/>
      <c r="R319" s="395"/>
      <c r="U319" s="395"/>
    </row>
    <row r="320" spans="1:21" s="407" customFormat="1" ht="12" customHeight="1" outlineLevel="2">
      <c r="A320" s="415"/>
      <c r="B320" s="549"/>
      <c r="C320" s="387"/>
      <c r="D320" s="462" t="s">
        <v>664</v>
      </c>
      <c r="E320" s="388" t="s">
        <v>665</v>
      </c>
      <c r="F320" s="473"/>
      <c r="G320" s="386" t="s">
        <v>48</v>
      </c>
      <c r="H320" s="400" t="str">
        <f t="shared" ref="H320:H326" si="29">CONCATENATE(G320,"-",I320)</f>
        <v>BB01-6</v>
      </c>
      <c r="I320" s="390">
        <v>6</v>
      </c>
      <c r="J320" s="473"/>
      <c r="K320" s="395"/>
      <c r="L320" s="572" t="s">
        <v>193</v>
      </c>
      <c r="M320" s="395">
        <v>1</v>
      </c>
      <c r="N320" s="395">
        <v>1</v>
      </c>
      <c r="O320" s="395"/>
      <c r="R320" s="395">
        <v>1</v>
      </c>
      <c r="T320" s="395">
        <v>1</v>
      </c>
      <c r="U320" s="395"/>
    </row>
    <row r="321" spans="1:21" s="407" customFormat="1" ht="12" customHeight="1" outlineLevel="2">
      <c r="A321" s="415"/>
      <c r="B321" s="549"/>
      <c r="C321" s="387"/>
      <c r="D321" s="462" t="s">
        <v>666</v>
      </c>
      <c r="E321" s="388" t="s">
        <v>667</v>
      </c>
      <c r="F321" s="473"/>
      <c r="G321" s="386" t="s">
        <v>48</v>
      </c>
      <c r="H321" s="400" t="str">
        <f t="shared" si="29"/>
        <v>BB01-6</v>
      </c>
      <c r="I321" s="390">
        <v>6</v>
      </c>
      <c r="J321" s="473"/>
      <c r="K321" s="395"/>
      <c r="L321" s="572" t="s">
        <v>193</v>
      </c>
      <c r="M321" s="395">
        <v>1</v>
      </c>
      <c r="N321" s="395">
        <v>1</v>
      </c>
      <c r="O321" s="395"/>
      <c r="R321" s="395">
        <v>1</v>
      </c>
      <c r="T321" s="395">
        <v>1</v>
      </c>
      <c r="U321" s="395"/>
    </row>
    <row r="322" spans="1:21" s="407" customFormat="1" ht="12" customHeight="1" outlineLevel="2">
      <c r="A322" s="415"/>
      <c r="B322" s="549"/>
      <c r="C322" s="387"/>
      <c r="D322" s="462" t="s">
        <v>668</v>
      </c>
      <c r="E322" s="388" t="s">
        <v>669</v>
      </c>
      <c r="F322" s="473"/>
      <c r="G322" s="386" t="s">
        <v>48</v>
      </c>
      <c r="H322" s="400" t="str">
        <f t="shared" si="29"/>
        <v>BB01-6</v>
      </c>
      <c r="I322" s="390">
        <v>6</v>
      </c>
      <c r="J322" s="473"/>
      <c r="K322" s="395"/>
      <c r="L322" s="572" t="s">
        <v>193</v>
      </c>
      <c r="M322" s="395">
        <v>1</v>
      </c>
      <c r="N322" s="395">
        <v>1</v>
      </c>
      <c r="O322" s="395"/>
      <c r="R322" s="395">
        <v>1</v>
      </c>
      <c r="T322" s="395">
        <v>1</v>
      </c>
      <c r="U322" s="395"/>
    </row>
    <row r="323" spans="1:21" s="407" customFormat="1" ht="12" customHeight="1" outlineLevel="2">
      <c r="A323" s="415"/>
      <c r="B323" s="549"/>
      <c r="C323" s="387"/>
      <c r="D323" s="462" t="s">
        <v>670</v>
      </c>
      <c r="E323" s="388" t="s">
        <v>671</v>
      </c>
      <c r="F323" s="473"/>
      <c r="G323" s="386" t="s">
        <v>48</v>
      </c>
      <c r="H323" s="400" t="str">
        <f t="shared" si="29"/>
        <v>BB01-6</v>
      </c>
      <c r="I323" s="390">
        <v>6</v>
      </c>
      <c r="J323" s="473"/>
      <c r="K323" s="395"/>
      <c r="L323" s="572" t="s">
        <v>193</v>
      </c>
      <c r="M323" s="395">
        <v>1</v>
      </c>
      <c r="N323" s="395">
        <v>1</v>
      </c>
      <c r="O323" s="395"/>
      <c r="R323" s="395">
        <v>1</v>
      </c>
      <c r="T323" s="395">
        <v>1</v>
      </c>
      <c r="U323" s="395"/>
    </row>
    <row r="324" spans="1:21" s="407" customFormat="1" ht="12" customHeight="1" outlineLevel="2">
      <c r="A324" s="415"/>
      <c r="B324" s="549"/>
      <c r="C324" s="387"/>
      <c r="D324" s="462" t="s">
        <v>672</v>
      </c>
      <c r="E324" s="388" t="s">
        <v>673</v>
      </c>
      <c r="F324" s="473"/>
      <c r="G324" s="386" t="s">
        <v>48</v>
      </c>
      <c r="H324" s="400" t="str">
        <f t="shared" si="29"/>
        <v>BB01-6</v>
      </c>
      <c r="I324" s="390">
        <v>6</v>
      </c>
      <c r="J324" s="473"/>
      <c r="K324" s="395"/>
      <c r="L324" s="572" t="s">
        <v>193</v>
      </c>
      <c r="M324" s="395">
        <v>1</v>
      </c>
      <c r="N324" s="395">
        <v>1</v>
      </c>
      <c r="O324" s="395"/>
      <c r="R324" s="395">
        <v>1</v>
      </c>
      <c r="T324" s="395">
        <v>1</v>
      </c>
      <c r="U324" s="395"/>
    </row>
    <row r="325" spans="1:21" s="407" customFormat="1" ht="12" customHeight="1" outlineLevel="2">
      <c r="A325" s="415"/>
      <c r="B325" s="549"/>
      <c r="C325" s="387"/>
      <c r="D325" s="462" t="s">
        <v>674</v>
      </c>
      <c r="E325" s="388" t="s">
        <v>675</v>
      </c>
      <c r="F325" s="473"/>
      <c r="G325" s="386" t="s">
        <v>48</v>
      </c>
      <c r="H325" s="400" t="str">
        <f t="shared" si="29"/>
        <v>BB01-6</v>
      </c>
      <c r="I325" s="390">
        <v>6</v>
      </c>
      <c r="J325" s="473"/>
      <c r="K325" s="395"/>
      <c r="L325" s="572" t="s">
        <v>193</v>
      </c>
      <c r="M325" s="395">
        <v>1</v>
      </c>
      <c r="N325" s="395">
        <v>1</v>
      </c>
      <c r="O325" s="395"/>
      <c r="R325" s="395">
        <v>1</v>
      </c>
      <c r="T325" s="395">
        <v>1</v>
      </c>
      <c r="U325" s="395"/>
    </row>
    <row r="326" spans="1:21" s="407" customFormat="1" ht="12" customHeight="1" outlineLevel="2">
      <c r="A326" s="415"/>
      <c r="B326" s="549"/>
      <c r="C326" s="387"/>
      <c r="D326" s="462" t="s">
        <v>676</v>
      </c>
      <c r="E326" s="388" t="s">
        <v>677</v>
      </c>
      <c r="F326" s="473"/>
      <c r="G326" s="386" t="s">
        <v>48</v>
      </c>
      <c r="H326" s="400" t="str">
        <f t="shared" si="29"/>
        <v>BB01-6</v>
      </c>
      <c r="I326" s="390">
        <v>6</v>
      </c>
      <c r="J326" s="473"/>
      <c r="K326" s="395"/>
      <c r="L326" s="572" t="s">
        <v>193</v>
      </c>
      <c r="M326" s="395">
        <v>1</v>
      </c>
      <c r="N326" s="395">
        <v>1</v>
      </c>
      <c r="O326" s="395"/>
      <c r="R326" s="395">
        <v>1</v>
      </c>
      <c r="T326" s="395">
        <v>1</v>
      </c>
      <c r="U326" s="395"/>
    </row>
    <row r="327" spans="1:21" s="407" customFormat="1" ht="12" customHeight="1" outlineLevel="2">
      <c r="A327" s="415"/>
      <c r="B327" s="549"/>
      <c r="C327" s="387"/>
      <c r="D327" s="462" t="s">
        <v>678</v>
      </c>
      <c r="E327" s="388" t="s">
        <v>679</v>
      </c>
      <c r="F327" s="473"/>
      <c r="G327" s="386" t="s">
        <v>48</v>
      </c>
      <c r="H327" s="400" t="str">
        <f t="shared" si="28"/>
        <v>BB01-6</v>
      </c>
      <c r="I327" s="390">
        <v>6</v>
      </c>
      <c r="J327" s="473"/>
      <c r="K327" s="395">
        <v>1</v>
      </c>
      <c r="L327" s="572" t="s">
        <v>193</v>
      </c>
      <c r="M327" s="395"/>
      <c r="N327" s="395"/>
      <c r="O327" s="395"/>
      <c r="R327" s="395"/>
      <c r="U327" s="395"/>
    </row>
    <row r="328" spans="1:21" s="407" customFormat="1" ht="12" customHeight="1" outlineLevel="2">
      <c r="A328" s="415"/>
      <c r="B328" s="549"/>
      <c r="C328" s="387"/>
      <c r="D328" s="462" t="s">
        <v>680</v>
      </c>
      <c r="E328" s="388" t="s">
        <v>681</v>
      </c>
      <c r="F328" s="473"/>
      <c r="G328" s="386" t="s">
        <v>48</v>
      </c>
      <c r="H328" s="400" t="str">
        <f t="shared" si="28"/>
        <v>BB01-6</v>
      </c>
      <c r="I328" s="390">
        <v>6</v>
      </c>
      <c r="J328" s="473"/>
      <c r="K328" s="395">
        <v>1</v>
      </c>
      <c r="L328" s="572" t="s">
        <v>193</v>
      </c>
      <c r="M328" s="395"/>
      <c r="N328" s="395"/>
      <c r="O328" s="395"/>
      <c r="R328" s="395"/>
      <c r="U328" s="395"/>
    </row>
    <row r="329" spans="1:21" s="407" customFormat="1" ht="12" customHeight="1" outlineLevel="2">
      <c r="A329" s="415"/>
      <c r="B329" s="549"/>
      <c r="C329" s="387"/>
      <c r="D329" s="462" t="s">
        <v>682</v>
      </c>
      <c r="E329" s="388" t="s">
        <v>683</v>
      </c>
      <c r="F329" s="473"/>
      <c r="G329" s="386" t="s">
        <v>48</v>
      </c>
      <c r="H329" s="400" t="str">
        <f t="shared" si="28"/>
        <v>BB01-6</v>
      </c>
      <c r="I329" s="390">
        <v>6</v>
      </c>
      <c r="J329" s="473"/>
      <c r="K329" s="395">
        <v>1</v>
      </c>
      <c r="L329" s="572" t="s">
        <v>193</v>
      </c>
      <c r="M329" s="395"/>
      <c r="N329" s="395"/>
      <c r="O329" s="395"/>
      <c r="R329" s="395"/>
      <c r="U329" s="395"/>
    </row>
    <row r="330" spans="1:21" s="407" customFormat="1" ht="12" customHeight="1" outlineLevel="2">
      <c r="A330" s="415"/>
      <c r="B330" s="549"/>
      <c r="C330" s="387"/>
      <c r="D330" s="462" t="s">
        <v>684</v>
      </c>
      <c r="E330" s="388" t="s">
        <v>685</v>
      </c>
      <c r="F330" s="473"/>
      <c r="G330" s="386" t="s">
        <v>48</v>
      </c>
      <c r="H330" s="400" t="str">
        <f t="shared" si="28"/>
        <v>BB01-6</v>
      </c>
      <c r="I330" s="390">
        <v>6</v>
      </c>
      <c r="J330" s="473"/>
      <c r="K330" s="395">
        <v>1</v>
      </c>
      <c r="L330" s="572" t="s">
        <v>193</v>
      </c>
      <c r="M330" s="395"/>
      <c r="N330" s="395"/>
      <c r="O330" s="395"/>
      <c r="R330" s="395"/>
      <c r="U330" s="395"/>
    </row>
    <row r="331" spans="1:21" s="407" customFormat="1" ht="12" customHeight="1" outlineLevel="2">
      <c r="A331" s="415"/>
      <c r="B331" s="549"/>
      <c r="C331" s="387"/>
      <c r="D331" s="462" t="s">
        <v>686</v>
      </c>
      <c r="E331" s="388" t="s">
        <v>687</v>
      </c>
      <c r="F331" s="473"/>
      <c r="G331" s="386" t="s">
        <v>48</v>
      </c>
      <c r="H331" s="400" t="str">
        <f t="shared" si="28"/>
        <v>BB01-6</v>
      </c>
      <c r="I331" s="390">
        <v>6</v>
      </c>
      <c r="J331" s="473"/>
      <c r="K331" s="395">
        <v>1</v>
      </c>
      <c r="L331" s="572" t="s">
        <v>193</v>
      </c>
      <c r="M331" s="395"/>
      <c r="N331" s="395"/>
      <c r="O331" s="395"/>
      <c r="R331" s="395"/>
      <c r="U331" s="395"/>
    </row>
    <row r="332" spans="1:21" s="407" customFormat="1" ht="12" customHeight="1" outlineLevel="2">
      <c r="A332" s="415"/>
      <c r="B332" s="549"/>
      <c r="C332" s="387"/>
      <c r="D332" s="462" t="s">
        <v>688</v>
      </c>
      <c r="E332" s="388" t="s">
        <v>689</v>
      </c>
      <c r="F332" s="473"/>
      <c r="G332" s="386" t="s">
        <v>48</v>
      </c>
      <c r="H332" s="400" t="str">
        <f t="shared" si="28"/>
        <v>BB01-6</v>
      </c>
      <c r="I332" s="390">
        <v>6</v>
      </c>
      <c r="J332" s="473"/>
      <c r="K332" s="395">
        <v>1</v>
      </c>
      <c r="L332" s="572" t="s">
        <v>193</v>
      </c>
      <c r="M332" s="395"/>
      <c r="N332" s="395"/>
      <c r="O332" s="395"/>
      <c r="R332" s="395"/>
      <c r="U332" s="395"/>
    </row>
    <row r="333" spans="1:21" s="407" customFormat="1" ht="12" customHeight="1" outlineLevel="2">
      <c r="A333" s="415"/>
      <c r="B333" s="549"/>
      <c r="C333" s="387"/>
      <c r="D333" s="462" t="s">
        <v>690</v>
      </c>
      <c r="E333" s="388" t="s">
        <v>691</v>
      </c>
      <c r="F333" s="473"/>
      <c r="G333" s="386" t="s">
        <v>48</v>
      </c>
      <c r="H333" s="400" t="str">
        <f t="shared" si="28"/>
        <v>BB01-6</v>
      </c>
      <c r="I333" s="390">
        <v>6</v>
      </c>
      <c r="J333" s="473"/>
      <c r="K333" s="395">
        <v>1</v>
      </c>
      <c r="L333" s="572" t="s">
        <v>193</v>
      </c>
      <c r="M333" s="395"/>
      <c r="N333" s="395"/>
      <c r="O333" s="395"/>
      <c r="R333" s="395"/>
      <c r="U333" s="395"/>
    </row>
    <row r="334" spans="1:21" s="407" customFormat="1" ht="12" customHeight="1" outlineLevel="2">
      <c r="A334" s="415"/>
      <c r="B334" s="549"/>
      <c r="C334" s="387"/>
      <c r="D334" s="462" t="s">
        <v>692</v>
      </c>
      <c r="E334" s="388" t="s">
        <v>693</v>
      </c>
      <c r="F334" s="473"/>
      <c r="G334" s="386" t="s">
        <v>48</v>
      </c>
      <c r="H334" s="400" t="str">
        <f t="shared" si="28"/>
        <v>BB01-6</v>
      </c>
      <c r="I334" s="390">
        <v>6</v>
      </c>
      <c r="J334" s="473"/>
      <c r="K334" s="395">
        <v>1</v>
      </c>
      <c r="L334" s="572" t="s">
        <v>193</v>
      </c>
      <c r="M334" s="395"/>
      <c r="N334" s="395"/>
      <c r="O334" s="395"/>
      <c r="R334" s="395"/>
      <c r="U334" s="395"/>
    </row>
    <row r="335" spans="1:21" s="407" customFormat="1" ht="12" customHeight="1" outlineLevel="2">
      <c r="A335" s="415"/>
      <c r="B335" s="549"/>
      <c r="C335" s="387"/>
      <c r="D335" s="462" t="s">
        <v>694</v>
      </c>
      <c r="E335" s="388" t="s">
        <v>695</v>
      </c>
      <c r="F335" s="473"/>
      <c r="G335" s="386" t="s">
        <v>48</v>
      </c>
      <c r="H335" s="400" t="str">
        <f t="shared" si="28"/>
        <v>BB01-6</v>
      </c>
      <c r="I335" s="390">
        <v>6</v>
      </c>
      <c r="J335" s="473"/>
      <c r="K335" s="395">
        <v>1</v>
      </c>
      <c r="L335" s="572" t="s">
        <v>193</v>
      </c>
      <c r="M335" s="395"/>
      <c r="N335" s="395"/>
      <c r="O335" s="395"/>
      <c r="R335" s="395"/>
      <c r="U335" s="395"/>
    </row>
    <row r="336" spans="1:21" s="407" customFormat="1" ht="12" customHeight="1" outlineLevel="2">
      <c r="A336" s="415"/>
      <c r="B336" s="549"/>
      <c r="C336" s="387"/>
      <c r="D336" s="462" t="s">
        <v>696</v>
      </c>
      <c r="E336" s="388" t="s">
        <v>697</v>
      </c>
      <c r="F336" s="473"/>
      <c r="G336" s="386" t="s">
        <v>48</v>
      </c>
      <c r="H336" s="400" t="str">
        <f t="shared" si="28"/>
        <v>BB01-7</v>
      </c>
      <c r="I336" s="390">
        <v>7</v>
      </c>
      <c r="J336" s="473"/>
      <c r="K336" s="395">
        <v>1</v>
      </c>
      <c r="L336" s="572" t="s">
        <v>193</v>
      </c>
      <c r="M336" s="395"/>
      <c r="N336" s="395"/>
      <c r="O336" s="395"/>
      <c r="R336" s="395"/>
      <c r="U336" s="395"/>
    </row>
    <row r="337" spans="1:21" s="407" customFormat="1" ht="12" customHeight="1" outlineLevel="2">
      <c r="A337" s="415"/>
      <c r="B337" s="549"/>
      <c r="C337" s="387"/>
      <c r="D337" s="462" t="s">
        <v>698</v>
      </c>
      <c r="E337" s="388" t="s">
        <v>699</v>
      </c>
      <c r="F337" s="473"/>
      <c r="G337" s="386" t="s">
        <v>48</v>
      </c>
      <c r="H337" s="400" t="str">
        <f t="shared" si="28"/>
        <v>BB01-7</v>
      </c>
      <c r="I337" s="390">
        <v>7</v>
      </c>
      <c r="J337" s="473"/>
      <c r="K337" s="395">
        <v>1</v>
      </c>
      <c r="L337" s="572" t="s">
        <v>193</v>
      </c>
      <c r="M337" s="395"/>
      <c r="N337" s="395"/>
      <c r="O337" s="395"/>
      <c r="R337" s="395"/>
      <c r="U337" s="395"/>
    </row>
    <row r="338" spans="1:21" s="407" customFormat="1" ht="12" customHeight="1" outlineLevel="2">
      <c r="A338" s="415"/>
      <c r="B338" s="549"/>
      <c r="C338" s="387"/>
      <c r="D338" s="462" t="s">
        <v>700</v>
      </c>
      <c r="E338" s="388" t="s">
        <v>701</v>
      </c>
      <c r="F338" s="473"/>
      <c r="G338" s="386" t="s">
        <v>48</v>
      </c>
      <c r="H338" s="400" t="str">
        <f t="shared" si="28"/>
        <v>BB01-7</v>
      </c>
      <c r="I338" s="390">
        <v>7</v>
      </c>
      <c r="J338" s="473"/>
      <c r="K338" s="395">
        <v>1</v>
      </c>
      <c r="L338" s="572" t="s">
        <v>193</v>
      </c>
      <c r="M338" s="395"/>
      <c r="N338" s="395"/>
      <c r="O338" s="395"/>
      <c r="R338" s="395"/>
      <c r="U338" s="395"/>
    </row>
    <row r="339" spans="1:21" s="407" customFormat="1" ht="12" customHeight="1" outlineLevel="2">
      <c r="A339" s="415"/>
      <c r="B339" s="549"/>
      <c r="C339" s="387"/>
      <c r="D339" s="462" t="s">
        <v>702</v>
      </c>
      <c r="E339" s="388" t="s">
        <v>703</v>
      </c>
      <c r="F339" s="473"/>
      <c r="G339" s="386" t="s">
        <v>48</v>
      </c>
      <c r="H339" s="400" t="str">
        <f t="shared" si="28"/>
        <v>BB01-7</v>
      </c>
      <c r="I339" s="390">
        <v>7</v>
      </c>
      <c r="J339" s="473"/>
      <c r="K339" s="395">
        <v>1</v>
      </c>
      <c r="L339" s="572" t="s">
        <v>193</v>
      </c>
      <c r="M339" s="395"/>
      <c r="N339" s="395"/>
      <c r="O339" s="395"/>
      <c r="R339" s="395"/>
      <c r="U339" s="395"/>
    </row>
    <row r="340" spans="1:21" s="407" customFormat="1" ht="12" customHeight="1" outlineLevel="2">
      <c r="A340" s="415"/>
      <c r="B340" s="549"/>
      <c r="C340" s="387"/>
      <c r="D340" s="462" t="s">
        <v>704</v>
      </c>
      <c r="E340" s="388" t="s">
        <v>705</v>
      </c>
      <c r="F340" s="473"/>
      <c r="G340" s="386" t="s">
        <v>48</v>
      </c>
      <c r="H340" s="400" t="str">
        <f t="shared" si="28"/>
        <v>BB01-7</v>
      </c>
      <c r="I340" s="390">
        <v>7</v>
      </c>
      <c r="J340" s="473"/>
      <c r="K340" s="395">
        <v>1</v>
      </c>
      <c r="L340" s="572" t="s">
        <v>193</v>
      </c>
      <c r="M340" s="395"/>
      <c r="N340" s="395"/>
      <c r="O340" s="395"/>
      <c r="R340" s="395"/>
      <c r="U340" s="395"/>
    </row>
    <row r="341" spans="1:21" s="407" customFormat="1" ht="12" customHeight="1" outlineLevel="2">
      <c r="A341" s="415"/>
      <c r="B341" s="549"/>
      <c r="C341" s="387"/>
      <c r="D341" s="462" t="s">
        <v>706</v>
      </c>
      <c r="E341" s="388" t="s">
        <v>707</v>
      </c>
      <c r="F341" s="473"/>
      <c r="G341" s="386" t="s">
        <v>48</v>
      </c>
      <c r="H341" s="400" t="str">
        <f t="shared" si="28"/>
        <v>BB01-7</v>
      </c>
      <c r="I341" s="390">
        <v>7</v>
      </c>
      <c r="J341" s="473"/>
      <c r="K341" s="395">
        <v>1</v>
      </c>
      <c r="L341" s="572" t="s">
        <v>193</v>
      </c>
      <c r="M341" s="395"/>
      <c r="N341" s="395"/>
      <c r="O341" s="395"/>
      <c r="R341" s="395"/>
      <c r="U341" s="395"/>
    </row>
    <row r="342" spans="1:21" s="407" customFormat="1" ht="12" customHeight="1" outlineLevel="2">
      <c r="A342" s="415"/>
      <c r="B342" s="549"/>
      <c r="C342" s="387"/>
      <c r="D342" s="462" t="s">
        <v>708</v>
      </c>
      <c r="E342" s="388" t="s">
        <v>709</v>
      </c>
      <c r="F342" s="473"/>
      <c r="G342" s="386" t="s">
        <v>48</v>
      </c>
      <c r="H342" s="400" t="str">
        <f t="shared" si="28"/>
        <v>BB01-7</v>
      </c>
      <c r="I342" s="390">
        <v>7</v>
      </c>
      <c r="J342" s="473"/>
      <c r="K342" s="395">
        <v>1</v>
      </c>
      <c r="L342" s="572" t="s">
        <v>193</v>
      </c>
      <c r="M342" s="395"/>
      <c r="N342" s="395"/>
      <c r="O342" s="395"/>
      <c r="R342" s="395"/>
      <c r="U342" s="395"/>
    </row>
    <row r="343" spans="1:21" s="407" customFormat="1" ht="12" customHeight="1" outlineLevel="2">
      <c r="A343" s="415"/>
      <c r="B343" s="549"/>
      <c r="C343" s="387"/>
      <c r="D343" s="462" t="s">
        <v>710</v>
      </c>
      <c r="E343" s="388" t="s">
        <v>711</v>
      </c>
      <c r="F343" s="473"/>
      <c r="G343" s="386" t="s">
        <v>48</v>
      </c>
      <c r="H343" s="400" t="str">
        <f t="shared" si="28"/>
        <v>BB01-7</v>
      </c>
      <c r="I343" s="390">
        <v>7</v>
      </c>
      <c r="J343" s="473"/>
      <c r="K343" s="395">
        <v>1</v>
      </c>
      <c r="L343" s="572" t="s">
        <v>193</v>
      </c>
      <c r="M343" s="395"/>
      <c r="N343" s="395"/>
      <c r="O343" s="395"/>
      <c r="R343" s="395"/>
      <c r="U343" s="395"/>
    </row>
    <row r="344" spans="1:21" s="407" customFormat="1" ht="12" customHeight="1" outlineLevel="2">
      <c r="A344" s="415"/>
      <c r="B344" s="549"/>
      <c r="C344" s="387"/>
      <c r="D344" s="462" t="s">
        <v>712</v>
      </c>
      <c r="E344" s="388" t="s">
        <v>713</v>
      </c>
      <c r="F344" s="473"/>
      <c r="G344" s="386" t="s">
        <v>48</v>
      </c>
      <c r="H344" s="400" t="str">
        <f t="shared" si="28"/>
        <v>BB01-7</v>
      </c>
      <c r="I344" s="390">
        <v>7</v>
      </c>
      <c r="J344" s="473"/>
      <c r="K344" s="395">
        <v>1</v>
      </c>
      <c r="L344" s="572" t="s">
        <v>193</v>
      </c>
      <c r="M344" s="395"/>
      <c r="N344" s="395"/>
      <c r="O344" s="395"/>
      <c r="R344" s="395"/>
      <c r="U344" s="395"/>
    </row>
    <row r="345" spans="1:21" s="407" customFormat="1" ht="12" customHeight="1" outlineLevel="2">
      <c r="A345" s="415"/>
      <c r="B345" s="549"/>
      <c r="C345" s="387"/>
      <c r="D345" s="462" t="s">
        <v>714</v>
      </c>
      <c r="E345" s="388" t="s">
        <v>715</v>
      </c>
      <c r="F345" s="473"/>
      <c r="G345" s="386" t="s">
        <v>48</v>
      </c>
      <c r="H345" s="400" t="str">
        <f t="shared" si="28"/>
        <v>BB01-7</v>
      </c>
      <c r="I345" s="390">
        <v>7</v>
      </c>
      <c r="J345" s="473"/>
      <c r="K345" s="395">
        <v>1</v>
      </c>
      <c r="L345" s="572" t="s">
        <v>193</v>
      </c>
      <c r="M345" s="395"/>
      <c r="N345" s="395"/>
      <c r="O345" s="395"/>
      <c r="R345" s="395"/>
      <c r="U345" s="395"/>
    </row>
    <row r="346" spans="1:21" s="407" customFormat="1" ht="12" customHeight="1" outlineLevel="2">
      <c r="A346" s="415"/>
      <c r="B346" s="549"/>
      <c r="C346" s="387"/>
      <c r="D346" s="462" t="s">
        <v>716</v>
      </c>
      <c r="E346" s="388" t="s">
        <v>717</v>
      </c>
      <c r="F346" s="473"/>
      <c r="G346" s="386" t="s">
        <v>48</v>
      </c>
      <c r="H346" s="400" t="str">
        <f t="shared" si="28"/>
        <v>BB01-7</v>
      </c>
      <c r="I346" s="390">
        <v>7</v>
      </c>
      <c r="J346" s="473"/>
      <c r="K346" s="395">
        <v>1</v>
      </c>
      <c r="L346" s="572" t="s">
        <v>193</v>
      </c>
      <c r="M346" s="395"/>
      <c r="N346" s="395"/>
      <c r="O346" s="395"/>
      <c r="R346" s="395"/>
      <c r="U346" s="395"/>
    </row>
    <row r="347" spans="1:21" s="407" customFormat="1" ht="12" customHeight="1" outlineLevel="2">
      <c r="A347" s="415"/>
      <c r="B347" s="549"/>
      <c r="C347" s="387"/>
      <c r="D347" s="462" t="s">
        <v>646</v>
      </c>
      <c r="E347" s="388" t="s">
        <v>647</v>
      </c>
      <c r="F347" s="473"/>
      <c r="G347" s="386" t="s">
        <v>48</v>
      </c>
      <c r="H347" s="400" t="str">
        <f t="shared" si="28"/>
        <v>BB01-7</v>
      </c>
      <c r="I347" s="390">
        <v>7</v>
      </c>
      <c r="J347" s="473"/>
      <c r="K347" s="395">
        <v>1</v>
      </c>
      <c r="L347" s="572" t="s">
        <v>193</v>
      </c>
      <c r="M347" s="395"/>
      <c r="N347" s="395"/>
      <c r="R347" s="395"/>
      <c r="U347" s="395"/>
    </row>
    <row r="348" spans="1:21" s="407" customFormat="1" ht="12" customHeight="1" outlineLevel="2">
      <c r="A348" s="415"/>
      <c r="B348" s="549"/>
      <c r="C348" s="387"/>
      <c r="D348" s="462" t="s">
        <v>718</v>
      </c>
      <c r="E348" s="388" t="s">
        <v>719</v>
      </c>
      <c r="F348" s="473"/>
      <c r="G348" s="386" t="s">
        <v>48</v>
      </c>
      <c r="H348" s="400" t="str">
        <f t="shared" si="28"/>
        <v>BB01-7</v>
      </c>
      <c r="I348" s="390">
        <v>7</v>
      </c>
      <c r="J348" s="473"/>
      <c r="K348" s="395">
        <v>1</v>
      </c>
      <c r="L348" s="572" t="s">
        <v>193</v>
      </c>
      <c r="M348" s="395"/>
      <c r="N348" s="395"/>
      <c r="O348" s="395"/>
      <c r="R348" s="395"/>
      <c r="U348" s="395"/>
    </row>
    <row r="349" spans="1:21" s="407" customFormat="1" ht="12" customHeight="1" outlineLevel="2">
      <c r="A349" s="415"/>
      <c r="B349" s="549"/>
      <c r="C349" s="387"/>
      <c r="D349" s="462" t="s">
        <v>720</v>
      </c>
      <c r="E349" s="388" t="s">
        <v>721</v>
      </c>
      <c r="F349" s="473"/>
      <c r="G349" s="386" t="s">
        <v>48</v>
      </c>
      <c r="H349" s="400" t="str">
        <f t="shared" ref="H349:H352" si="30">CONCATENATE(G349,"-",I349)</f>
        <v>BB01-7</v>
      </c>
      <c r="I349" s="390">
        <v>7</v>
      </c>
      <c r="J349" s="473"/>
      <c r="K349" s="395">
        <v>1</v>
      </c>
      <c r="L349" s="572" t="s">
        <v>193</v>
      </c>
      <c r="M349" s="395"/>
      <c r="N349" s="395"/>
      <c r="O349" s="395"/>
      <c r="R349" s="395"/>
      <c r="U349" s="395"/>
    </row>
    <row r="350" spans="1:21" s="407" customFormat="1" ht="12" customHeight="1" outlineLevel="2">
      <c r="A350" s="415"/>
      <c r="B350" s="549"/>
      <c r="C350" s="387"/>
      <c r="D350" s="462" t="s">
        <v>722</v>
      </c>
      <c r="E350" s="388" t="s">
        <v>723</v>
      </c>
      <c r="F350" s="473"/>
      <c r="G350" s="386" t="s">
        <v>48</v>
      </c>
      <c r="H350" s="400" t="str">
        <f t="shared" si="30"/>
        <v>BB01-7</v>
      </c>
      <c r="I350" s="390">
        <v>7</v>
      </c>
      <c r="J350" s="473"/>
      <c r="K350" s="413"/>
      <c r="L350" s="572" t="s">
        <v>193</v>
      </c>
      <c r="M350" s="575">
        <v>1</v>
      </c>
      <c r="N350" s="395">
        <v>1</v>
      </c>
      <c r="O350" s="395"/>
      <c r="R350" s="395">
        <v>1</v>
      </c>
      <c r="S350" s="395">
        <v>1</v>
      </c>
    </row>
    <row r="351" spans="1:21" s="407" customFormat="1" ht="12" customHeight="1" outlineLevel="2">
      <c r="A351" s="415"/>
      <c r="B351" s="549"/>
      <c r="C351" s="387"/>
      <c r="D351" s="462" t="s">
        <v>724</v>
      </c>
      <c r="E351" s="388" t="s">
        <v>725</v>
      </c>
      <c r="F351" s="473"/>
      <c r="G351" s="386" t="s">
        <v>48</v>
      </c>
      <c r="H351" s="400" t="str">
        <f t="shared" ref="H351" si="31">CONCATENATE(G351,"-",I351)</f>
        <v>BB01-7</v>
      </c>
      <c r="I351" s="390">
        <v>7</v>
      </c>
      <c r="J351" s="473"/>
      <c r="K351" s="413"/>
      <c r="L351" s="572" t="s">
        <v>193</v>
      </c>
      <c r="M351" s="575">
        <v>1</v>
      </c>
      <c r="N351" s="395">
        <v>1</v>
      </c>
      <c r="O351" s="395"/>
      <c r="R351" s="395">
        <v>1</v>
      </c>
      <c r="S351" s="395">
        <v>1</v>
      </c>
    </row>
    <row r="352" spans="1:21" s="407" customFormat="1" ht="12" customHeight="1" outlineLevel="2">
      <c r="A352" s="415"/>
      <c r="B352" s="549"/>
      <c r="C352" s="387"/>
      <c r="D352" s="462" t="s">
        <v>726</v>
      </c>
      <c r="E352" s="388" t="s">
        <v>727</v>
      </c>
      <c r="F352" s="473"/>
      <c r="G352" s="386" t="s">
        <v>48</v>
      </c>
      <c r="H352" s="400" t="str">
        <f t="shared" si="30"/>
        <v>BB01-7</v>
      </c>
      <c r="I352" s="390">
        <v>7</v>
      </c>
      <c r="J352" s="473"/>
      <c r="K352" s="413"/>
      <c r="L352" s="572" t="s">
        <v>193</v>
      </c>
      <c r="M352" s="575">
        <v>1</v>
      </c>
      <c r="N352" s="395">
        <v>1</v>
      </c>
      <c r="O352" s="395"/>
      <c r="R352" s="395">
        <v>1</v>
      </c>
      <c r="S352" s="395">
        <v>1</v>
      </c>
    </row>
    <row r="353" spans="1:19" s="407" customFormat="1" ht="12" customHeight="1" outlineLevel="2">
      <c r="A353" s="415"/>
      <c r="B353" s="549"/>
      <c r="C353" s="387"/>
      <c r="D353" s="462" t="s">
        <v>463</v>
      </c>
      <c r="E353" s="388" t="s">
        <v>728</v>
      </c>
      <c r="F353" s="473"/>
      <c r="G353" s="386" t="s">
        <v>48</v>
      </c>
      <c r="H353" s="400" t="str">
        <f t="shared" ref="H353:H366" si="32">CONCATENATE(G353,"-",I353)</f>
        <v>BB01-7</v>
      </c>
      <c r="I353" s="390">
        <v>7</v>
      </c>
      <c r="J353" s="473"/>
      <c r="K353" s="395">
        <v>1</v>
      </c>
      <c r="L353" s="572" t="s">
        <v>193</v>
      </c>
      <c r="M353" s="395"/>
      <c r="N353" s="395"/>
      <c r="O353" s="395"/>
    </row>
    <row r="354" spans="1:19" s="407" customFormat="1" ht="12" customHeight="1" outlineLevel="2">
      <c r="A354" s="415"/>
      <c r="B354" s="549"/>
      <c r="C354" s="387"/>
      <c r="D354" s="462" t="s">
        <v>729</v>
      </c>
      <c r="E354" s="388" t="s">
        <v>730</v>
      </c>
      <c r="F354" s="473"/>
      <c r="G354" s="386" t="s">
        <v>48</v>
      </c>
      <c r="H354" s="400" t="str">
        <f t="shared" si="32"/>
        <v>BB01-7</v>
      </c>
      <c r="I354" s="390">
        <v>7</v>
      </c>
      <c r="J354" s="473"/>
      <c r="K354" s="395">
        <v>1</v>
      </c>
      <c r="L354" s="572" t="s">
        <v>193</v>
      </c>
      <c r="M354" s="395"/>
      <c r="N354" s="395"/>
      <c r="O354" s="395"/>
    </row>
    <row r="355" spans="1:19" s="407" customFormat="1" ht="12" customHeight="1" outlineLevel="2">
      <c r="A355" s="415"/>
      <c r="B355" s="549"/>
      <c r="C355" s="387"/>
      <c r="D355" s="462" t="s">
        <v>731</v>
      </c>
      <c r="E355" s="388" t="s">
        <v>732</v>
      </c>
      <c r="F355" s="473"/>
      <c r="G355" s="386" t="s">
        <v>48</v>
      </c>
      <c r="H355" s="400" t="str">
        <f t="shared" si="32"/>
        <v>BB01-7</v>
      </c>
      <c r="I355" s="390">
        <v>7</v>
      </c>
      <c r="J355" s="473"/>
      <c r="K355" s="395"/>
      <c r="L355" s="572" t="s">
        <v>193</v>
      </c>
      <c r="M355" s="395">
        <v>1</v>
      </c>
      <c r="N355" s="395">
        <v>1</v>
      </c>
      <c r="O355" s="395"/>
      <c r="R355" s="395">
        <v>1</v>
      </c>
      <c r="S355" s="407">
        <v>1</v>
      </c>
    </row>
    <row r="356" spans="1:19" s="407" customFormat="1" ht="12" customHeight="1" outlineLevel="2">
      <c r="A356" s="415"/>
      <c r="B356" s="549"/>
      <c r="C356" s="387"/>
      <c r="D356" s="462" t="s">
        <v>733</v>
      </c>
      <c r="E356" s="388" t="s">
        <v>734</v>
      </c>
      <c r="F356" s="473"/>
      <c r="G356" s="386" t="s">
        <v>48</v>
      </c>
      <c r="H356" s="400" t="str">
        <f t="shared" ref="H356:H361" si="33">CONCATENATE(G356,"-",I356)</f>
        <v>BB01-7</v>
      </c>
      <c r="I356" s="390">
        <v>7</v>
      </c>
      <c r="J356" s="473"/>
      <c r="K356" s="395"/>
      <c r="L356" s="572" t="s">
        <v>193</v>
      </c>
      <c r="M356" s="395">
        <v>1</v>
      </c>
      <c r="N356" s="395">
        <v>1</v>
      </c>
      <c r="O356" s="395"/>
      <c r="R356" s="407">
        <v>1</v>
      </c>
      <c r="S356" s="407">
        <v>1</v>
      </c>
    </row>
    <row r="357" spans="1:19" s="407" customFormat="1" ht="12" customHeight="1" outlineLevel="2">
      <c r="A357" s="415"/>
      <c r="B357" s="549"/>
      <c r="C357" s="387"/>
      <c r="D357" s="462" t="s">
        <v>735</v>
      </c>
      <c r="E357" s="388" t="s">
        <v>736</v>
      </c>
      <c r="F357" s="473"/>
      <c r="G357" s="386" t="s">
        <v>48</v>
      </c>
      <c r="H357" s="400" t="str">
        <f t="shared" si="33"/>
        <v>BB01-7</v>
      </c>
      <c r="I357" s="390">
        <v>7</v>
      </c>
      <c r="J357" s="473"/>
      <c r="K357" s="395"/>
      <c r="L357" s="572" t="s">
        <v>193</v>
      </c>
      <c r="M357" s="395">
        <v>1</v>
      </c>
      <c r="N357" s="395">
        <v>1</v>
      </c>
      <c r="O357" s="395"/>
      <c r="R357" s="407">
        <v>1</v>
      </c>
      <c r="S357" s="407">
        <v>1</v>
      </c>
    </row>
    <row r="358" spans="1:19" s="407" customFormat="1" ht="12" customHeight="1" outlineLevel="2">
      <c r="A358" s="415"/>
      <c r="B358" s="549"/>
      <c r="C358" s="387"/>
      <c r="D358" s="462" t="s">
        <v>737</v>
      </c>
      <c r="E358" s="388" t="s">
        <v>738</v>
      </c>
      <c r="F358" s="473"/>
      <c r="G358" s="386" t="s">
        <v>48</v>
      </c>
      <c r="H358" s="400" t="str">
        <f t="shared" si="33"/>
        <v>BB01-7</v>
      </c>
      <c r="I358" s="390">
        <v>7</v>
      </c>
      <c r="J358" s="473"/>
      <c r="K358" s="395"/>
      <c r="L358" s="572" t="s">
        <v>193</v>
      </c>
      <c r="M358" s="395">
        <v>1</v>
      </c>
      <c r="N358" s="395">
        <v>1</v>
      </c>
      <c r="O358" s="395"/>
      <c r="R358" s="407">
        <v>1</v>
      </c>
      <c r="S358" s="407">
        <v>1</v>
      </c>
    </row>
    <row r="359" spans="1:19" s="407" customFormat="1" ht="12" customHeight="1" outlineLevel="2">
      <c r="A359" s="415"/>
      <c r="B359" s="549"/>
      <c r="C359" s="387"/>
      <c r="D359" s="462" t="s">
        <v>739</v>
      </c>
      <c r="E359" s="388" t="s">
        <v>740</v>
      </c>
      <c r="F359" s="473"/>
      <c r="G359" s="386" t="s">
        <v>48</v>
      </c>
      <c r="H359" s="400" t="str">
        <f t="shared" si="33"/>
        <v>BB01-7</v>
      </c>
      <c r="I359" s="390">
        <v>7</v>
      </c>
      <c r="J359" s="473"/>
      <c r="K359" s="395"/>
      <c r="L359" s="572" t="s">
        <v>193</v>
      </c>
      <c r="M359" s="395">
        <v>1</v>
      </c>
      <c r="N359" s="395">
        <v>1</v>
      </c>
      <c r="O359" s="395"/>
      <c r="R359" s="407">
        <v>1</v>
      </c>
      <c r="S359" s="407">
        <v>1</v>
      </c>
    </row>
    <row r="360" spans="1:19" s="407" customFormat="1" ht="12" customHeight="1" outlineLevel="2">
      <c r="A360" s="415"/>
      <c r="B360" s="549"/>
      <c r="C360" s="387"/>
      <c r="D360" s="462" t="s">
        <v>741</v>
      </c>
      <c r="E360" s="388" t="s">
        <v>742</v>
      </c>
      <c r="F360" s="473"/>
      <c r="G360" s="386" t="s">
        <v>48</v>
      </c>
      <c r="H360" s="400" t="str">
        <f t="shared" si="33"/>
        <v>BB01-7</v>
      </c>
      <c r="I360" s="390">
        <v>7</v>
      </c>
      <c r="J360" s="473"/>
      <c r="K360" s="395"/>
      <c r="L360" s="572" t="s">
        <v>193</v>
      </c>
      <c r="M360" s="395">
        <v>1</v>
      </c>
      <c r="N360" s="395">
        <v>1</v>
      </c>
      <c r="O360" s="395"/>
      <c r="R360" s="407">
        <v>1</v>
      </c>
      <c r="S360" s="407">
        <v>1</v>
      </c>
    </row>
    <row r="361" spans="1:19" s="407" customFormat="1" ht="12" customHeight="1" outlineLevel="2">
      <c r="A361" s="415"/>
      <c r="B361" s="549"/>
      <c r="C361" s="387"/>
      <c r="D361" s="462" t="s">
        <v>743</v>
      </c>
      <c r="E361" s="388" t="s">
        <v>744</v>
      </c>
      <c r="F361" s="473"/>
      <c r="G361" s="386" t="s">
        <v>48</v>
      </c>
      <c r="H361" s="400" t="str">
        <f t="shared" si="33"/>
        <v>BB01-7</v>
      </c>
      <c r="I361" s="390">
        <v>7</v>
      </c>
      <c r="J361" s="473"/>
      <c r="K361" s="395"/>
      <c r="L361" s="572" t="s">
        <v>193</v>
      </c>
      <c r="M361" s="395">
        <v>1</v>
      </c>
      <c r="N361" s="395">
        <v>1</v>
      </c>
      <c r="O361" s="395"/>
      <c r="R361" s="407">
        <v>1</v>
      </c>
      <c r="S361" s="407">
        <v>1</v>
      </c>
    </row>
    <row r="362" spans="1:19" s="407" customFormat="1" ht="12" customHeight="1" outlineLevel="2">
      <c r="A362" s="415"/>
      <c r="B362" s="549"/>
      <c r="C362" s="387"/>
      <c r="D362" s="462" t="s">
        <v>745</v>
      </c>
      <c r="E362" s="388" t="s">
        <v>746</v>
      </c>
      <c r="F362" s="473"/>
      <c r="G362" s="386" t="s">
        <v>48</v>
      </c>
      <c r="H362" s="400" t="str">
        <f>CONCATENATE(G362,"-",I362)</f>
        <v>BB01-7</v>
      </c>
      <c r="I362" s="390">
        <v>7</v>
      </c>
      <c r="J362" s="473"/>
      <c r="K362" s="395">
        <v>1</v>
      </c>
      <c r="L362" s="572" t="s">
        <v>193</v>
      </c>
      <c r="M362" s="395"/>
      <c r="N362" s="395"/>
      <c r="O362" s="395"/>
    </row>
    <row r="363" spans="1:19" s="407" customFormat="1" ht="12" customHeight="1" outlineLevel="2">
      <c r="A363" s="415"/>
      <c r="B363" s="549"/>
      <c r="C363" s="387"/>
      <c r="D363" s="462" t="s">
        <v>747</v>
      </c>
      <c r="E363" s="388" t="s">
        <v>748</v>
      </c>
      <c r="F363" s="473"/>
      <c r="G363" s="386" t="s">
        <v>48</v>
      </c>
      <c r="H363" s="400" t="str">
        <f t="shared" si="32"/>
        <v>BB01-7</v>
      </c>
      <c r="I363" s="390">
        <v>7</v>
      </c>
      <c r="J363" s="473"/>
      <c r="K363" s="395">
        <v>1</v>
      </c>
      <c r="L363" s="572" t="s">
        <v>193</v>
      </c>
      <c r="M363" s="395"/>
      <c r="N363" s="395"/>
      <c r="O363" s="395"/>
    </row>
    <row r="364" spans="1:19" s="407" customFormat="1" ht="12" customHeight="1" outlineLevel="2">
      <c r="A364" s="415"/>
      <c r="B364" s="549"/>
      <c r="C364" s="387"/>
      <c r="D364" s="462" t="s">
        <v>749</v>
      </c>
      <c r="E364" s="388" t="s">
        <v>750</v>
      </c>
      <c r="F364" s="473"/>
      <c r="G364" s="386" t="s">
        <v>48</v>
      </c>
      <c r="H364" s="400" t="str">
        <f t="shared" si="32"/>
        <v>BB01-7</v>
      </c>
      <c r="I364" s="390">
        <v>7</v>
      </c>
      <c r="J364" s="473"/>
      <c r="K364" s="395">
        <v>1</v>
      </c>
      <c r="L364" s="572" t="s">
        <v>193</v>
      </c>
      <c r="M364" s="395"/>
      <c r="N364" s="395"/>
      <c r="O364" s="395"/>
    </row>
    <row r="365" spans="1:19" s="407" customFormat="1" ht="12" customHeight="1" outlineLevel="2">
      <c r="A365" s="415"/>
      <c r="B365" s="549"/>
      <c r="C365" s="387"/>
      <c r="D365" s="462" t="s">
        <v>751</v>
      </c>
      <c r="E365" s="388" t="s">
        <v>752</v>
      </c>
      <c r="F365" s="473"/>
      <c r="G365" s="386" t="s">
        <v>48</v>
      </c>
      <c r="H365" s="400" t="str">
        <f t="shared" si="32"/>
        <v>BB01-7</v>
      </c>
      <c r="I365" s="390">
        <v>7</v>
      </c>
      <c r="J365" s="473"/>
      <c r="K365" s="395">
        <v>1</v>
      </c>
      <c r="L365" s="572" t="s">
        <v>193</v>
      </c>
      <c r="M365" s="395"/>
      <c r="N365" s="395"/>
      <c r="O365" s="395"/>
    </row>
    <row r="366" spans="1:19" s="407" customFormat="1" ht="12" customHeight="1" outlineLevel="2">
      <c r="A366" s="415"/>
      <c r="B366" s="549"/>
      <c r="C366" s="387"/>
      <c r="D366" s="462" t="s">
        <v>753</v>
      </c>
      <c r="E366" s="388" t="s">
        <v>754</v>
      </c>
      <c r="F366" s="473"/>
      <c r="G366" s="386" t="s">
        <v>48</v>
      </c>
      <c r="H366" s="400" t="str">
        <f t="shared" si="32"/>
        <v>BB01-7</v>
      </c>
      <c r="I366" s="390">
        <v>7</v>
      </c>
      <c r="J366" s="473"/>
      <c r="K366" s="395">
        <v>1</v>
      </c>
      <c r="L366" s="572" t="s">
        <v>193</v>
      </c>
      <c r="M366" s="395"/>
      <c r="N366" s="395"/>
      <c r="O366" s="395"/>
    </row>
    <row r="367" spans="1:19" ht="3" customHeight="1" outlineLevel="1">
      <c r="A367" s="548"/>
      <c r="B367" s="552"/>
      <c r="K367" s="408"/>
      <c r="L367" s="408"/>
    </row>
    <row r="368" spans="1:19" outlineLevel="1">
      <c r="A368" s="460" t="s">
        <v>158</v>
      </c>
      <c r="B368" s="460" t="s">
        <v>65</v>
      </c>
      <c r="C368" s="460"/>
      <c r="D368" s="460"/>
      <c r="E368" s="460"/>
      <c r="G368" s="460"/>
      <c r="H368" s="460"/>
      <c r="I368" s="460"/>
      <c r="K368" s="408"/>
      <c r="L368" s="408"/>
    </row>
    <row r="369" spans="1:15" s="407" customFormat="1" ht="12" customHeight="1" outlineLevel="2">
      <c r="A369" s="415"/>
      <c r="B369" s="549"/>
      <c r="C369" s="387"/>
      <c r="D369" s="462"/>
      <c r="E369" s="388" t="s">
        <v>282</v>
      </c>
      <c r="F369" s="473"/>
      <c r="G369" s="386" t="s">
        <v>48</v>
      </c>
      <c r="H369" s="400" t="str">
        <f t="shared" ref="H369:H371" si="34">CONCATENATE(G369,"-",I369)</f>
        <v>BB01-8</v>
      </c>
      <c r="I369" s="390">
        <v>8</v>
      </c>
      <c r="J369" s="473"/>
      <c r="K369" s="413"/>
      <c r="L369" s="392"/>
      <c r="M369" s="395">
        <v>1</v>
      </c>
      <c r="N369" s="395">
        <v>1</v>
      </c>
      <c r="O369" s="395"/>
    </row>
    <row r="370" spans="1:15" s="407" customFormat="1" ht="12" customHeight="1" outlineLevel="2">
      <c r="A370" s="415"/>
      <c r="B370" s="549"/>
      <c r="C370" s="387"/>
      <c r="D370" s="462"/>
      <c r="E370" s="388" t="s">
        <v>227</v>
      </c>
      <c r="F370" s="473"/>
      <c r="G370" s="386" t="s">
        <v>48</v>
      </c>
      <c r="H370" s="400" t="str">
        <f t="shared" si="34"/>
        <v>BB01-8</v>
      </c>
      <c r="I370" s="390">
        <v>8</v>
      </c>
      <c r="J370" s="473"/>
      <c r="K370" s="413"/>
      <c r="L370" s="392"/>
      <c r="M370" s="395">
        <v>1</v>
      </c>
      <c r="N370" s="395">
        <v>1</v>
      </c>
      <c r="O370" s="395"/>
    </row>
    <row r="371" spans="1:15" s="407" customFormat="1" ht="12" customHeight="1" outlineLevel="2">
      <c r="A371" s="415"/>
      <c r="B371" s="549"/>
      <c r="C371" s="387"/>
      <c r="D371" s="462"/>
      <c r="E371" s="388" t="s">
        <v>755</v>
      </c>
      <c r="F371" s="473"/>
      <c r="G371" s="386" t="s">
        <v>48</v>
      </c>
      <c r="H371" s="400" t="str">
        <f t="shared" si="34"/>
        <v>BB01-8</v>
      </c>
      <c r="I371" s="390">
        <v>8</v>
      </c>
      <c r="J371" s="473"/>
      <c r="K371" s="413"/>
      <c r="L371" s="392"/>
      <c r="M371" s="395">
        <v>1</v>
      </c>
      <c r="N371" s="395">
        <v>1</v>
      </c>
      <c r="O371" s="395"/>
    </row>
    <row r="372" spans="1:15" ht="3" customHeight="1" outlineLevel="1">
      <c r="A372" s="548"/>
      <c r="B372" s="552"/>
      <c r="K372" s="408"/>
      <c r="L372" s="408"/>
    </row>
    <row r="373" spans="1:15" outlineLevel="1">
      <c r="A373" s="460" t="s">
        <v>159</v>
      </c>
      <c r="B373" s="460" t="s">
        <v>67</v>
      </c>
      <c r="C373" s="460"/>
      <c r="D373" s="460"/>
      <c r="E373" s="460"/>
      <c r="G373" s="460"/>
      <c r="H373" s="460"/>
      <c r="I373" s="460"/>
      <c r="K373" s="408"/>
      <c r="L373" s="408"/>
    </row>
    <row r="374" spans="1:15" s="407" customFormat="1" ht="12" customHeight="1" outlineLevel="2">
      <c r="A374" s="415"/>
      <c r="B374" s="549"/>
      <c r="C374" s="387"/>
      <c r="D374" s="462"/>
      <c r="E374" s="388" t="s">
        <v>282</v>
      </c>
      <c r="F374" s="473"/>
      <c r="G374" s="386" t="s">
        <v>48</v>
      </c>
      <c r="H374" s="400" t="str">
        <f t="shared" ref="H374:H376" si="35">CONCATENATE(G374,"-",I374)</f>
        <v>BB01-9</v>
      </c>
      <c r="I374" s="390">
        <v>9</v>
      </c>
      <c r="J374" s="473"/>
      <c r="K374" s="413"/>
      <c r="L374" s="392"/>
      <c r="M374" s="395">
        <v>1</v>
      </c>
      <c r="N374" s="395">
        <v>1</v>
      </c>
      <c r="O374" s="395"/>
    </row>
    <row r="375" spans="1:15" s="407" customFormat="1" ht="12" customHeight="1" outlineLevel="2">
      <c r="A375" s="415"/>
      <c r="B375" s="549"/>
      <c r="C375" s="387"/>
      <c r="D375" s="462"/>
      <c r="E375" s="388" t="s">
        <v>227</v>
      </c>
      <c r="F375" s="473"/>
      <c r="G375" s="386" t="s">
        <v>48</v>
      </c>
      <c r="H375" s="400" t="str">
        <f t="shared" si="35"/>
        <v>BB01-9</v>
      </c>
      <c r="I375" s="390">
        <v>9</v>
      </c>
      <c r="J375" s="473"/>
      <c r="K375" s="413"/>
      <c r="L375" s="392"/>
      <c r="M375" s="395">
        <v>1</v>
      </c>
      <c r="N375" s="395">
        <v>1</v>
      </c>
      <c r="O375" s="395"/>
    </row>
    <row r="376" spans="1:15" s="407" customFormat="1" ht="12" customHeight="1" outlineLevel="2">
      <c r="A376" s="415"/>
      <c r="B376" s="549"/>
      <c r="C376" s="387"/>
      <c r="D376" s="462"/>
      <c r="E376" s="388" t="s">
        <v>755</v>
      </c>
      <c r="F376" s="473"/>
      <c r="G376" s="386" t="s">
        <v>48</v>
      </c>
      <c r="H376" s="400" t="str">
        <f t="shared" si="35"/>
        <v>BB01-9</v>
      </c>
      <c r="I376" s="390">
        <v>9</v>
      </c>
      <c r="J376" s="473"/>
      <c r="K376" s="413"/>
      <c r="L376" s="392"/>
      <c r="M376" s="395">
        <v>1</v>
      </c>
      <c r="N376" s="395">
        <v>1</v>
      </c>
      <c r="O376" s="395"/>
    </row>
    <row r="377" spans="1:15" ht="3" customHeight="1" outlineLevel="1">
      <c r="A377" s="548"/>
      <c r="B377" s="552"/>
      <c r="K377" s="408"/>
      <c r="L377" s="408"/>
    </row>
    <row r="378" spans="1:15" outlineLevel="1">
      <c r="A378" s="460" t="s">
        <v>160</v>
      </c>
      <c r="B378" s="460" t="s">
        <v>69</v>
      </c>
      <c r="C378" s="460"/>
      <c r="D378" s="460"/>
      <c r="E378" s="460"/>
      <c r="G378" s="460"/>
      <c r="H378" s="460"/>
      <c r="I378" s="460"/>
      <c r="K378" s="408"/>
      <c r="L378" s="408"/>
    </row>
    <row r="379" spans="1:15" s="407" customFormat="1" ht="12" customHeight="1" outlineLevel="2">
      <c r="A379" s="415"/>
      <c r="B379" s="549"/>
      <c r="C379" s="387"/>
      <c r="D379" s="462"/>
      <c r="E379" s="388" t="s">
        <v>228</v>
      </c>
      <c r="F379" s="473"/>
      <c r="G379" s="386" t="s">
        <v>48</v>
      </c>
      <c r="H379" s="400" t="str">
        <f t="shared" ref="H379:H393" si="36">CONCATENATE(G379,"-",I379)</f>
        <v>BB01-10</v>
      </c>
      <c r="I379" s="390">
        <v>10</v>
      </c>
      <c r="J379" s="473"/>
      <c r="K379" s="413"/>
      <c r="L379" s="392"/>
      <c r="M379" s="395">
        <v>1</v>
      </c>
      <c r="N379" s="395">
        <v>1</v>
      </c>
      <c r="O379" s="395"/>
    </row>
    <row r="380" spans="1:15" s="407" customFormat="1" ht="12" customHeight="1" outlineLevel="2">
      <c r="A380" s="415"/>
      <c r="B380" s="549"/>
      <c r="C380" s="387"/>
      <c r="D380" s="462"/>
      <c r="E380" s="388" t="s">
        <v>229</v>
      </c>
      <c r="F380" s="473"/>
      <c r="G380" s="386" t="s">
        <v>48</v>
      </c>
      <c r="H380" s="400" t="str">
        <f t="shared" si="36"/>
        <v>BB01-10</v>
      </c>
      <c r="I380" s="390">
        <v>10</v>
      </c>
      <c r="J380" s="473"/>
      <c r="K380" s="413"/>
      <c r="L380" s="392"/>
      <c r="M380" s="395">
        <v>1</v>
      </c>
      <c r="N380" s="395">
        <v>1</v>
      </c>
      <c r="O380" s="395"/>
    </row>
    <row r="381" spans="1:15" s="407" customFormat="1" ht="12" customHeight="1" outlineLevel="2">
      <c r="A381" s="415"/>
      <c r="B381" s="549"/>
      <c r="C381" s="387"/>
      <c r="D381" s="462"/>
      <c r="E381" s="388" t="s">
        <v>230</v>
      </c>
      <c r="F381" s="473"/>
      <c r="G381" s="386" t="s">
        <v>48</v>
      </c>
      <c r="H381" s="400" t="str">
        <f t="shared" si="36"/>
        <v>BB01-10</v>
      </c>
      <c r="I381" s="390">
        <v>10</v>
      </c>
      <c r="J381" s="473"/>
      <c r="K381" s="413"/>
      <c r="L381" s="392"/>
      <c r="M381" s="395">
        <v>1</v>
      </c>
      <c r="N381" s="395">
        <v>1</v>
      </c>
      <c r="O381" s="395"/>
    </row>
    <row r="382" spans="1:15" s="407" customFormat="1" ht="12" customHeight="1" outlineLevel="2">
      <c r="A382" s="415"/>
      <c r="B382" s="549"/>
      <c r="C382" s="387"/>
      <c r="D382" s="462"/>
      <c r="E382" s="388" t="s">
        <v>269</v>
      </c>
      <c r="F382" s="473"/>
      <c r="G382" s="386" t="s">
        <v>48</v>
      </c>
      <c r="H382" s="400" t="str">
        <f t="shared" si="36"/>
        <v>BB01-10</v>
      </c>
      <c r="I382" s="390">
        <v>10</v>
      </c>
      <c r="J382" s="473"/>
      <c r="K382" s="413"/>
      <c r="L382" s="392"/>
      <c r="M382" s="395">
        <v>1</v>
      </c>
      <c r="N382" s="395">
        <v>1</v>
      </c>
      <c r="O382" s="395"/>
    </row>
    <row r="383" spans="1:15" s="407" customFormat="1" ht="12" customHeight="1" outlineLevel="2">
      <c r="A383" s="415"/>
      <c r="B383" s="549"/>
      <c r="C383" s="387"/>
      <c r="D383" s="462"/>
      <c r="E383" s="388" t="s">
        <v>270</v>
      </c>
      <c r="F383" s="473"/>
      <c r="G383" s="386" t="s">
        <v>48</v>
      </c>
      <c r="H383" s="400" t="str">
        <f t="shared" si="36"/>
        <v>BB01-10</v>
      </c>
      <c r="I383" s="390">
        <v>10</v>
      </c>
      <c r="J383" s="473"/>
      <c r="K383" s="413"/>
      <c r="L383" s="392"/>
      <c r="M383" s="395">
        <v>1</v>
      </c>
      <c r="N383" s="395">
        <v>1</v>
      </c>
      <c r="O383" s="395"/>
    </row>
    <row r="384" spans="1:15" s="407" customFormat="1" ht="12" customHeight="1" outlineLevel="2">
      <c r="A384" s="415"/>
      <c r="B384" s="549"/>
      <c r="C384" s="387"/>
      <c r="D384" s="462"/>
      <c r="E384" s="388" t="s">
        <v>271</v>
      </c>
      <c r="F384" s="473"/>
      <c r="G384" s="386" t="s">
        <v>48</v>
      </c>
      <c r="H384" s="400" t="str">
        <f t="shared" si="36"/>
        <v>BB01-10</v>
      </c>
      <c r="I384" s="390">
        <v>10</v>
      </c>
      <c r="J384" s="473"/>
      <c r="K384" s="413"/>
      <c r="L384" s="392"/>
      <c r="M384" s="395">
        <v>1</v>
      </c>
      <c r="N384" s="395">
        <v>1</v>
      </c>
      <c r="O384" s="395"/>
    </row>
    <row r="385" spans="1:46" s="407" customFormat="1" ht="12" customHeight="1" outlineLevel="2">
      <c r="A385" s="415"/>
      <c r="B385" s="549"/>
      <c r="C385" s="387"/>
      <c r="D385" s="462"/>
      <c r="E385" s="388" t="s">
        <v>272</v>
      </c>
      <c r="F385" s="473"/>
      <c r="G385" s="386" t="s">
        <v>48</v>
      </c>
      <c r="H385" s="400" t="str">
        <f t="shared" si="36"/>
        <v>BB01-10</v>
      </c>
      <c r="I385" s="390">
        <v>10</v>
      </c>
      <c r="J385" s="473"/>
      <c r="K385" s="413"/>
      <c r="L385" s="392"/>
      <c r="M385" s="395">
        <v>1</v>
      </c>
      <c r="N385" s="395">
        <v>1</v>
      </c>
      <c r="O385" s="395"/>
    </row>
    <row r="386" spans="1:46" s="407" customFormat="1" ht="12" customHeight="1" outlineLevel="2">
      <c r="A386" s="415"/>
      <c r="B386" s="549"/>
      <c r="C386" s="387"/>
      <c r="D386" s="462"/>
      <c r="E386" s="388" t="s">
        <v>273</v>
      </c>
      <c r="F386" s="473"/>
      <c r="G386" s="386" t="s">
        <v>48</v>
      </c>
      <c r="H386" s="400" t="str">
        <f t="shared" si="36"/>
        <v>BB01-10</v>
      </c>
      <c r="I386" s="390">
        <v>10</v>
      </c>
      <c r="J386" s="473"/>
      <c r="K386" s="413"/>
      <c r="L386" s="392"/>
      <c r="M386" s="395">
        <v>1</v>
      </c>
      <c r="N386" s="395">
        <v>1</v>
      </c>
      <c r="O386" s="395"/>
    </row>
    <row r="387" spans="1:46" s="407" customFormat="1" ht="12" customHeight="1" outlineLevel="2">
      <c r="A387" s="415"/>
      <c r="B387" s="549"/>
      <c r="C387" s="387"/>
      <c r="D387" s="462"/>
      <c r="E387" s="388" t="s">
        <v>274</v>
      </c>
      <c r="F387" s="473"/>
      <c r="G387" s="386" t="s">
        <v>48</v>
      </c>
      <c r="H387" s="400" t="str">
        <f t="shared" si="36"/>
        <v>BB01-10</v>
      </c>
      <c r="I387" s="390">
        <v>10</v>
      </c>
      <c r="J387" s="473"/>
      <c r="K387" s="413"/>
      <c r="L387" s="392"/>
      <c r="M387" s="395">
        <v>1</v>
      </c>
      <c r="N387" s="395">
        <v>1</v>
      </c>
      <c r="O387" s="395"/>
    </row>
    <row r="388" spans="1:46" s="407" customFormat="1" ht="12" customHeight="1" outlineLevel="2">
      <c r="A388" s="415"/>
      <c r="B388" s="549"/>
      <c r="C388" s="387"/>
      <c r="D388" s="462"/>
      <c r="E388" s="388" t="s">
        <v>275</v>
      </c>
      <c r="F388" s="473"/>
      <c r="G388" s="386" t="s">
        <v>48</v>
      </c>
      <c r="H388" s="400" t="str">
        <f t="shared" si="36"/>
        <v>BB01-10</v>
      </c>
      <c r="I388" s="390">
        <v>10</v>
      </c>
      <c r="J388" s="473"/>
      <c r="K388" s="413"/>
      <c r="L388" s="392"/>
      <c r="M388" s="395">
        <v>1</v>
      </c>
      <c r="N388" s="395">
        <v>1</v>
      </c>
      <c r="O388" s="395"/>
    </row>
    <row r="389" spans="1:46" s="407" customFormat="1" ht="12" customHeight="1" outlineLevel="2">
      <c r="A389" s="415"/>
      <c r="B389" s="549"/>
      <c r="C389" s="387"/>
      <c r="D389" s="462"/>
      <c r="E389" s="388" t="s">
        <v>276</v>
      </c>
      <c r="F389" s="473"/>
      <c r="G389" s="386" t="s">
        <v>48</v>
      </c>
      <c r="H389" s="400" t="str">
        <f t="shared" si="36"/>
        <v>BB01-10</v>
      </c>
      <c r="I389" s="390">
        <v>10</v>
      </c>
      <c r="J389" s="473"/>
      <c r="K389" s="413"/>
      <c r="L389" s="392"/>
      <c r="M389" s="395">
        <v>1</v>
      </c>
      <c r="N389" s="395">
        <v>1</v>
      </c>
      <c r="O389" s="395"/>
    </row>
    <row r="390" spans="1:46" s="407" customFormat="1" ht="12" customHeight="1" outlineLevel="2">
      <c r="A390" s="415"/>
      <c r="B390" s="549"/>
      <c r="C390" s="387"/>
      <c r="D390" s="462"/>
      <c r="E390" s="388" t="s">
        <v>277</v>
      </c>
      <c r="F390" s="473"/>
      <c r="G390" s="386" t="s">
        <v>48</v>
      </c>
      <c r="H390" s="400" t="str">
        <f t="shared" si="36"/>
        <v>BB01-10</v>
      </c>
      <c r="I390" s="390">
        <v>10</v>
      </c>
      <c r="J390" s="473"/>
      <c r="K390" s="413"/>
      <c r="L390" s="392"/>
      <c r="M390" s="395">
        <v>1</v>
      </c>
      <c r="N390" s="395">
        <v>1</v>
      </c>
      <c r="O390" s="395"/>
    </row>
    <row r="391" spans="1:46" s="407" customFormat="1" ht="12" customHeight="1" outlineLevel="2">
      <c r="A391" s="415"/>
      <c r="B391" s="549"/>
      <c r="C391" s="387"/>
      <c r="D391" s="462"/>
      <c r="E391" s="388" t="s">
        <v>278</v>
      </c>
      <c r="F391" s="473"/>
      <c r="G391" s="386" t="s">
        <v>48</v>
      </c>
      <c r="H391" s="400" t="str">
        <f t="shared" si="36"/>
        <v>BB01-10</v>
      </c>
      <c r="I391" s="390">
        <v>10</v>
      </c>
      <c r="J391" s="473"/>
      <c r="K391" s="413"/>
      <c r="L391" s="392"/>
      <c r="M391" s="395">
        <v>1</v>
      </c>
      <c r="N391" s="395">
        <v>1</v>
      </c>
      <c r="O391" s="395"/>
    </row>
    <row r="392" spans="1:46" s="407" customFormat="1" ht="12" customHeight="1" outlineLevel="2">
      <c r="A392" s="415"/>
      <c r="B392" s="549"/>
      <c r="C392" s="387"/>
      <c r="D392" s="462"/>
      <c r="E392" s="388" t="s">
        <v>279</v>
      </c>
      <c r="F392" s="473"/>
      <c r="G392" s="386" t="s">
        <v>48</v>
      </c>
      <c r="H392" s="400" t="str">
        <f t="shared" si="36"/>
        <v>BB01-10</v>
      </c>
      <c r="I392" s="390">
        <v>10</v>
      </c>
      <c r="J392" s="473"/>
      <c r="K392" s="413"/>
      <c r="L392" s="392"/>
      <c r="M392" s="395">
        <v>1</v>
      </c>
      <c r="N392" s="395">
        <v>1</v>
      </c>
      <c r="O392" s="395"/>
    </row>
    <row r="393" spans="1:46" s="407" customFormat="1" ht="12" customHeight="1" outlineLevel="2">
      <c r="A393" s="415"/>
      <c r="B393" s="549"/>
      <c r="C393" s="387"/>
      <c r="D393" s="462"/>
      <c r="E393" s="388" t="s">
        <v>280</v>
      </c>
      <c r="F393" s="473"/>
      <c r="G393" s="386" t="s">
        <v>48</v>
      </c>
      <c r="H393" s="400" t="str">
        <f t="shared" si="36"/>
        <v>BB01-10</v>
      </c>
      <c r="I393" s="390">
        <v>10</v>
      </c>
      <c r="J393" s="473"/>
      <c r="K393" s="413"/>
      <c r="L393" s="392"/>
      <c r="M393" s="395">
        <v>1</v>
      </c>
      <c r="N393" s="395">
        <v>1</v>
      </c>
      <c r="O393" s="395"/>
    </row>
    <row r="394" spans="1:46" ht="3" customHeight="1">
      <c r="A394" s="548"/>
      <c r="B394" s="552"/>
      <c r="K394" s="408"/>
      <c r="L394" s="408"/>
    </row>
    <row r="395" spans="1:46" s="407" customFormat="1" ht="12" customHeight="1">
      <c r="A395" s="466" t="s">
        <v>81</v>
      </c>
      <c r="B395" s="550"/>
      <c r="C395" s="467"/>
      <c r="D395" s="468"/>
      <c r="E395" s="469"/>
      <c r="F395" s="472"/>
      <c r="G395" s="469"/>
      <c r="H395" s="469"/>
      <c r="I395" s="469"/>
      <c r="J395" s="472"/>
      <c r="K395" s="469"/>
      <c r="L395" s="469"/>
      <c r="M395" s="469"/>
      <c r="N395" s="469"/>
      <c r="O395" s="469"/>
      <c r="P395" s="469"/>
      <c r="Q395" s="469"/>
      <c r="R395" s="469"/>
      <c r="S395" s="469"/>
      <c r="T395" s="469"/>
      <c r="U395" s="469"/>
      <c r="V395" s="469"/>
      <c r="W395" s="469"/>
      <c r="X395" s="469"/>
      <c r="Y395" s="469"/>
      <c r="Z395" s="469"/>
      <c r="AA395" s="469"/>
      <c r="AB395" s="469"/>
      <c r="AC395" s="469"/>
      <c r="AD395" s="469"/>
      <c r="AE395" s="469"/>
      <c r="AF395" s="469"/>
      <c r="AG395" s="469"/>
      <c r="AH395" s="469"/>
      <c r="AI395" s="469"/>
      <c r="AJ395" s="469"/>
      <c r="AK395" s="469"/>
      <c r="AL395" s="469"/>
      <c r="AM395" s="469"/>
      <c r="AN395" s="469"/>
      <c r="AO395" s="469"/>
      <c r="AP395" s="469"/>
      <c r="AQ395" s="469"/>
      <c r="AR395" s="469"/>
      <c r="AS395" s="469"/>
      <c r="AT395" s="469"/>
    </row>
    <row r="396" spans="1:46" ht="3" customHeight="1" outlineLevel="1">
      <c r="A396" s="548"/>
      <c r="B396" s="552"/>
      <c r="K396" s="408"/>
      <c r="L396" s="408"/>
    </row>
    <row r="397" spans="1:46" outlineLevel="1">
      <c r="A397" s="460" t="s">
        <v>82</v>
      </c>
      <c r="B397" s="460" t="s">
        <v>83</v>
      </c>
      <c r="C397" s="460"/>
      <c r="D397" s="460"/>
      <c r="E397" s="460"/>
      <c r="G397" s="460"/>
      <c r="H397" s="460"/>
      <c r="I397" s="460"/>
      <c r="K397" s="408"/>
      <c r="L397" s="408"/>
    </row>
    <row r="398" spans="1:46" s="407" customFormat="1" ht="12" customHeight="1" outlineLevel="2">
      <c r="A398" s="415"/>
      <c r="B398" s="549"/>
      <c r="C398" s="387"/>
      <c r="D398" s="462" t="s">
        <v>756</v>
      </c>
      <c r="E398" s="388" t="s">
        <v>757</v>
      </c>
      <c r="F398" s="473"/>
      <c r="G398" s="386" t="s">
        <v>758</v>
      </c>
      <c r="H398" s="400" t="s">
        <v>82</v>
      </c>
      <c r="I398" s="390">
        <v>1</v>
      </c>
      <c r="J398" s="399"/>
      <c r="K398" s="397">
        <v>1</v>
      </c>
      <c r="L398" s="392"/>
      <c r="M398" s="395"/>
      <c r="N398" s="395"/>
      <c r="O398" s="395"/>
    </row>
    <row r="399" spans="1:46" s="407" customFormat="1" ht="12" customHeight="1" outlineLevel="2">
      <c r="A399" s="415"/>
      <c r="B399" s="549"/>
      <c r="C399" s="387"/>
      <c r="D399" s="462" t="s">
        <v>759</v>
      </c>
      <c r="E399" s="388" t="s">
        <v>760</v>
      </c>
      <c r="F399" s="473"/>
      <c r="G399" s="386" t="s">
        <v>758</v>
      </c>
      <c r="H399" s="400" t="s">
        <v>82</v>
      </c>
      <c r="I399" s="390">
        <v>1</v>
      </c>
      <c r="J399" s="399"/>
      <c r="K399" s="397">
        <v>1</v>
      </c>
      <c r="L399" s="392"/>
      <c r="M399" s="395"/>
      <c r="N399" s="395"/>
      <c r="O399" s="395"/>
    </row>
    <row r="400" spans="1:46" s="407" customFormat="1" ht="12" customHeight="1" outlineLevel="2">
      <c r="A400" s="415"/>
      <c r="B400" s="549"/>
      <c r="C400" s="387"/>
      <c r="D400" s="462" t="s">
        <v>761</v>
      </c>
      <c r="E400" s="388" t="s">
        <v>762</v>
      </c>
      <c r="F400" s="473"/>
      <c r="G400" s="386" t="s">
        <v>758</v>
      </c>
      <c r="H400" s="400" t="s">
        <v>82</v>
      </c>
      <c r="I400" s="390">
        <v>1</v>
      </c>
      <c r="J400" s="399"/>
      <c r="K400" s="397">
        <v>1</v>
      </c>
      <c r="L400" s="392"/>
      <c r="M400" s="395"/>
      <c r="N400" s="395"/>
      <c r="O400" s="395"/>
    </row>
    <row r="401" spans="1:15" s="407" customFormat="1" ht="12" customHeight="1" outlineLevel="2">
      <c r="A401" s="415"/>
      <c r="B401" s="549"/>
      <c r="C401" s="387"/>
      <c r="D401" s="462" t="s">
        <v>763</v>
      </c>
      <c r="E401" s="388" t="s">
        <v>764</v>
      </c>
      <c r="F401" s="473"/>
      <c r="G401" s="386" t="s">
        <v>758</v>
      </c>
      <c r="H401" s="400" t="s">
        <v>82</v>
      </c>
      <c r="I401" s="390">
        <v>1</v>
      </c>
      <c r="J401" s="399"/>
      <c r="K401" s="397">
        <v>1</v>
      </c>
      <c r="L401" s="392"/>
      <c r="M401" s="395"/>
      <c r="N401" s="395"/>
      <c r="O401" s="395"/>
    </row>
    <row r="402" spans="1:15" s="407" customFormat="1" ht="12" customHeight="1" outlineLevel="2">
      <c r="A402" s="415"/>
      <c r="B402" s="549"/>
      <c r="C402" s="387"/>
      <c r="D402" s="462" t="s">
        <v>765</v>
      </c>
      <c r="E402" s="388" t="s">
        <v>766</v>
      </c>
      <c r="F402" s="473"/>
      <c r="G402" s="386" t="s">
        <v>758</v>
      </c>
      <c r="H402" s="400" t="s">
        <v>82</v>
      </c>
      <c r="I402" s="390">
        <v>1</v>
      </c>
      <c r="J402" s="399"/>
      <c r="K402" s="397">
        <v>1</v>
      </c>
      <c r="L402" s="392"/>
      <c r="M402" s="395"/>
      <c r="N402" s="395"/>
      <c r="O402" s="395"/>
    </row>
    <row r="403" spans="1:15" s="407" customFormat="1" ht="12" customHeight="1" outlineLevel="2">
      <c r="A403" s="415"/>
      <c r="B403" s="549"/>
      <c r="C403" s="387"/>
      <c r="D403" s="462" t="s">
        <v>767</v>
      </c>
      <c r="E403" s="388" t="s">
        <v>768</v>
      </c>
      <c r="F403" s="473"/>
      <c r="G403" s="386" t="s">
        <v>758</v>
      </c>
      <c r="H403" s="400" t="s">
        <v>82</v>
      </c>
      <c r="I403" s="390">
        <v>1</v>
      </c>
      <c r="J403" s="399"/>
      <c r="K403" s="397">
        <v>1</v>
      </c>
      <c r="L403" s="392"/>
      <c r="M403" s="395"/>
      <c r="N403" s="395"/>
      <c r="O403" s="395"/>
    </row>
    <row r="404" spans="1:15" s="407" customFormat="1" ht="12" customHeight="1" outlineLevel="2">
      <c r="A404" s="415"/>
      <c r="B404" s="549"/>
      <c r="C404" s="387"/>
      <c r="D404" s="462" t="s">
        <v>769</v>
      </c>
      <c r="E404" s="388" t="s">
        <v>770</v>
      </c>
      <c r="F404" s="473"/>
      <c r="G404" s="386" t="s">
        <v>758</v>
      </c>
      <c r="H404" s="400" t="s">
        <v>82</v>
      </c>
      <c r="I404" s="390">
        <v>1</v>
      </c>
      <c r="J404" s="399"/>
      <c r="K404" s="397">
        <v>1</v>
      </c>
      <c r="L404" s="392"/>
      <c r="M404" s="395"/>
      <c r="N404" s="395"/>
      <c r="O404" s="395"/>
    </row>
    <row r="405" spans="1:15" s="407" customFormat="1" ht="12" customHeight="1" outlineLevel="2">
      <c r="A405" s="415"/>
      <c r="B405" s="549"/>
      <c r="C405" s="387"/>
      <c r="D405" s="462" t="s">
        <v>771</v>
      </c>
      <c r="E405" s="388" t="s">
        <v>772</v>
      </c>
      <c r="F405" s="473"/>
      <c r="G405" s="386" t="s">
        <v>758</v>
      </c>
      <c r="H405" s="400" t="s">
        <v>82</v>
      </c>
      <c r="I405" s="390">
        <v>1</v>
      </c>
      <c r="J405" s="399"/>
      <c r="K405" s="397">
        <v>1</v>
      </c>
      <c r="L405" s="392"/>
      <c r="M405" s="395"/>
      <c r="N405" s="395"/>
      <c r="O405" s="395"/>
    </row>
    <row r="406" spans="1:15" s="407" customFormat="1" ht="12" customHeight="1" outlineLevel="2">
      <c r="A406" s="415"/>
      <c r="B406" s="549"/>
      <c r="C406" s="387"/>
      <c r="D406" s="462" t="s">
        <v>773</v>
      </c>
      <c r="E406" s="388" t="s">
        <v>772</v>
      </c>
      <c r="F406" s="473"/>
      <c r="G406" s="386" t="s">
        <v>758</v>
      </c>
      <c r="H406" s="400" t="s">
        <v>82</v>
      </c>
      <c r="I406" s="390">
        <v>1</v>
      </c>
      <c r="J406" s="399"/>
      <c r="K406" s="397">
        <v>1</v>
      </c>
      <c r="L406" s="392"/>
      <c r="M406" s="395"/>
      <c r="N406" s="395"/>
      <c r="O406" s="395"/>
    </row>
    <row r="407" spans="1:15" s="407" customFormat="1" ht="12" customHeight="1" outlineLevel="2">
      <c r="A407" s="415"/>
      <c r="B407" s="549"/>
      <c r="C407" s="387"/>
      <c r="D407" s="462" t="s">
        <v>774</v>
      </c>
      <c r="E407" s="388" t="s">
        <v>775</v>
      </c>
      <c r="F407" s="473"/>
      <c r="G407" s="386" t="s">
        <v>758</v>
      </c>
      <c r="H407" s="400" t="s">
        <v>82</v>
      </c>
      <c r="I407" s="390">
        <v>1</v>
      </c>
      <c r="J407" s="399"/>
      <c r="K407" s="397">
        <v>1</v>
      </c>
      <c r="L407" s="392"/>
      <c r="M407" s="395"/>
      <c r="N407" s="395"/>
      <c r="O407" s="395"/>
    </row>
    <row r="408" spans="1:15" s="407" customFormat="1" ht="12" customHeight="1" outlineLevel="2">
      <c r="A408" s="415"/>
      <c r="B408" s="549"/>
      <c r="C408" s="387"/>
      <c r="D408" s="462" t="s">
        <v>776</v>
      </c>
      <c r="E408" s="388" t="s">
        <v>777</v>
      </c>
      <c r="F408" s="473"/>
      <c r="G408" s="386" t="s">
        <v>758</v>
      </c>
      <c r="H408" s="400" t="s">
        <v>82</v>
      </c>
      <c r="I408" s="390">
        <v>1</v>
      </c>
      <c r="J408" s="399"/>
      <c r="K408" s="397">
        <v>1</v>
      </c>
      <c r="L408" s="392"/>
      <c r="M408" s="395"/>
      <c r="N408" s="395"/>
      <c r="O408" s="395"/>
    </row>
    <row r="409" spans="1:15" s="407" customFormat="1" ht="12" customHeight="1" outlineLevel="2">
      <c r="A409" s="415"/>
      <c r="B409" s="549"/>
      <c r="C409" s="387"/>
      <c r="D409" s="462" t="s">
        <v>778</v>
      </c>
      <c r="E409" s="388" t="s">
        <v>779</v>
      </c>
      <c r="F409" s="473"/>
      <c r="G409" s="386" t="s">
        <v>758</v>
      </c>
      <c r="H409" s="400" t="s">
        <v>82</v>
      </c>
      <c r="I409" s="390">
        <v>1</v>
      </c>
      <c r="J409" s="399"/>
      <c r="K409" s="397">
        <v>1</v>
      </c>
      <c r="L409" s="392"/>
      <c r="M409" s="395"/>
      <c r="N409" s="395"/>
      <c r="O409" s="395"/>
    </row>
    <row r="410" spans="1:15" s="407" customFormat="1" ht="12" customHeight="1" outlineLevel="2">
      <c r="A410" s="415"/>
      <c r="B410" s="549"/>
      <c r="C410" s="387"/>
      <c r="D410" s="462" t="s">
        <v>780</v>
      </c>
      <c r="E410" s="388" t="s">
        <v>781</v>
      </c>
      <c r="F410" s="473"/>
      <c r="G410" s="386" t="s">
        <v>758</v>
      </c>
      <c r="H410" s="400" t="s">
        <v>82</v>
      </c>
      <c r="I410" s="390">
        <v>1</v>
      </c>
      <c r="J410" s="399"/>
      <c r="K410" s="397">
        <v>1</v>
      </c>
      <c r="L410" s="392"/>
      <c r="M410" s="395"/>
      <c r="N410" s="395"/>
      <c r="O410" s="395"/>
    </row>
    <row r="411" spans="1:15" s="407" customFormat="1" ht="12" customHeight="1" outlineLevel="2">
      <c r="A411" s="415"/>
      <c r="B411" s="549"/>
      <c r="C411" s="387"/>
      <c r="D411" s="462" t="s">
        <v>782</v>
      </c>
      <c r="E411" s="388" t="s">
        <v>783</v>
      </c>
      <c r="F411" s="473"/>
      <c r="G411" s="386" t="s">
        <v>758</v>
      </c>
      <c r="H411" s="400" t="s">
        <v>82</v>
      </c>
      <c r="I411" s="390">
        <v>1</v>
      </c>
      <c r="J411" s="399"/>
      <c r="K411" s="397">
        <v>1</v>
      </c>
      <c r="L411" s="392"/>
      <c r="M411" s="395"/>
      <c r="N411" s="395"/>
      <c r="O411" s="395"/>
    </row>
    <row r="412" spans="1:15" s="407" customFormat="1" ht="12" customHeight="1" outlineLevel="2">
      <c r="A412" s="415"/>
      <c r="B412" s="549"/>
      <c r="C412" s="387"/>
      <c r="D412" s="462" t="s">
        <v>784</v>
      </c>
      <c r="E412" s="388" t="s">
        <v>785</v>
      </c>
      <c r="F412" s="473"/>
      <c r="G412" s="386" t="s">
        <v>758</v>
      </c>
      <c r="H412" s="400" t="s">
        <v>82</v>
      </c>
      <c r="I412" s="390">
        <v>1</v>
      </c>
      <c r="J412" s="399"/>
      <c r="K412" s="397">
        <v>1</v>
      </c>
      <c r="L412" s="392"/>
      <c r="M412" s="395"/>
      <c r="N412" s="395"/>
      <c r="O412" s="395"/>
    </row>
    <row r="413" spans="1:15" s="407" customFormat="1" ht="12" customHeight="1" outlineLevel="2">
      <c r="A413" s="415"/>
      <c r="B413" s="549"/>
      <c r="C413" s="387"/>
      <c r="D413" s="462" t="s">
        <v>786</v>
      </c>
      <c r="E413" s="388" t="s">
        <v>787</v>
      </c>
      <c r="F413" s="473"/>
      <c r="G413" s="386" t="s">
        <v>758</v>
      </c>
      <c r="H413" s="400" t="s">
        <v>82</v>
      </c>
      <c r="I413" s="390">
        <v>1</v>
      </c>
      <c r="J413" s="399"/>
      <c r="K413" s="397">
        <v>1</v>
      </c>
      <c r="L413" s="392"/>
      <c r="M413" s="395"/>
      <c r="N413" s="395"/>
      <c r="O413" s="395"/>
    </row>
    <row r="414" spans="1:15" s="407" customFormat="1" ht="12" customHeight="1" outlineLevel="2">
      <c r="A414" s="415"/>
      <c r="B414" s="549"/>
      <c r="C414" s="387"/>
      <c r="D414" s="462" t="s">
        <v>788</v>
      </c>
      <c r="E414" s="388" t="s">
        <v>789</v>
      </c>
      <c r="F414" s="473"/>
      <c r="G414" s="386" t="s">
        <v>758</v>
      </c>
      <c r="H414" s="400" t="s">
        <v>82</v>
      </c>
      <c r="I414" s="390">
        <v>1</v>
      </c>
      <c r="J414" s="399"/>
      <c r="K414" s="397">
        <v>1</v>
      </c>
      <c r="L414" s="392"/>
      <c r="M414" s="395"/>
      <c r="N414" s="395"/>
      <c r="O414" s="395"/>
    </row>
    <row r="415" spans="1:15" s="407" customFormat="1" ht="12" customHeight="1" outlineLevel="2">
      <c r="A415" s="415"/>
      <c r="B415" s="549"/>
      <c r="C415" s="387"/>
      <c r="D415" s="462" t="s">
        <v>790</v>
      </c>
      <c r="E415" s="388" t="s">
        <v>791</v>
      </c>
      <c r="F415" s="473"/>
      <c r="G415" s="386" t="s">
        <v>758</v>
      </c>
      <c r="H415" s="400" t="s">
        <v>82</v>
      </c>
      <c r="I415" s="390">
        <v>1</v>
      </c>
      <c r="J415" s="399"/>
      <c r="K415" s="397">
        <v>1</v>
      </c>
      <c r="L415" s="392"/>
      <c r="M415" s="395"/>
      <c r="N415" s="395"/>
      <c r="O415" s="395"/>
    </row>
    <row r="416" spans="1:15" s="407" customFormat="1" ht="12" customHeight="1" outlineLevel="2">
      <c r="A416" s="415"/>
      <c r="B416" s="549"/>
      <c r="C416" s="387"/>
      <c r="D416" s="462" t="s">
        <v>792</v>
      </c>
      <c r="E416" s="388" t="s">
        <v>793</v>
      </c>
      <c r="F416" s="473"/>
      <c r="G416" s="386" t="s">
        <v>758</v>
      </c>
      <c r="H416" s="400" t="s">
        <v>82</v>
      </c>
      <c r="I416" s="390">
        <v>1</v>
      </c>
      <c r="J416" s="399"/>
      <c r="K416" s="397">
        <v>1</v>
      </c>
      <c r="L416" s="392"/>
      <c r="M416" s="395"/>
      <c r="N416" s="395"/>
      <c r="O416" s="395"/>
    </row>
    <row r="417" spans="1:15" s="407" customFormat="1" ht="12" customHeight="1" outlineLevel="2">
      <c r="A417" s="415"/>
      <c r="B417" s="549"/>
      <c r="C417" s="387"/>
      <c r="D417" s="462" t="s">
        <v>794</v>
      </c>
      <c r="E417" s="388" t="s">
        <v>795</v>
      </c>
      <c r="F417" s="473"/>
      <c r="G417" s="386" t="s">
        <v>758</v>
      </c>
      <c r="H417" s="400" t="s">
        <v>82</v>
      </c>
      <c r="I417" s="390">
        <v>1</v>
      </c>
      <c r="J417" s="399"/>
      <c r="K417" s="397">
        <v>1</v>
      </c>
      <c r="L417" s="392"/>
      <c r="M417" s="395"/>
      <c r="N417" s="395"/>
      <c r="O417" s="395"/>
    </row>
    <row r="418" spans="1:15" s="407" customFormat="1" ht="12" customHeight="1" outlineLevel="2">
      <c r="A418" s="415"/>
      <c r="B418" s="549"/>
      <c r="C418" s="387"/>
      <c r="D418" s="462" t="s">
        <v>796</v>
      </c>
      <c r="E418" s="388" t="s">
        <v>797</v>
      </c>
      <c r="F418" s="473"/>
      <c r="G418" s="386" t="s">
        <v>758</v>
      </c>
      <c r="H418" s="400" t="s">
        <v>82</v>
      </c>
      <c r="I418" s="390">
        <v>1</v>
      </c>
      <c r="J418" s="399"/>
      <c r="K418" s="397">
        <v>1</v>
      </c>
      <c r="L418" s="392"/>
      <c r="M418" s="395"/>
      <c r="N418" s="395"/>
      <c r="O418" s="395"/>
    </row>
    <row r="419" spans="1:15" s="407" customFormat="1" ht="12" customHeight="1" outlineLevel="2">
      <c r="A419" s="415"/>
      <c r="B419" s="549"/>
      <c r="C419" s="387"/>
      <c r="D419" s="462" t="s">
        <v>798</v>
      </c>
      <c r="E419" s="388" t="s">
        <v>799</v>
      </c>
      <c r="F419" s="473"/>
      <c r="G419" s="386" t="s">
        <v>758</v>
      </c>
      <c r="H419" s="400" t="s">
        <v>82</v>
      </c>
      <c r="I419" s="390">
        <v>1</v>
      </c>
      <c r="J419" s="399"/>
      <c r="K419" s="397">
        <v>1</v>
      </c>
      <c r="L419" s="392"/>
      <c r="M419" s="395"/>
      <c r="N419" s="395"/>
      <c r="O419" s="395"/>
    </row>
    <row r="420" spans="1:15" s="407" customFormat="1" ht="12" customHeight="1" outlineLevel="2">
      <c r="A420" s="415"/>
      <c r="B420" s="549"/>
      <c r="C420" s="387"/>
      <c r="D420" s="462" t="s">
        <v>800</v>
      </c>
      <c r="E420" s="388" t="s">
        <v>801</v>
      </c>
      <c r="F420" s="473"/>
      <c r="G420" s="386" t="s">
        <v>758</v>
      </c>
      <c r="H420" s="400" t="s">
        <v>82</v>
      </c>
      <c r="I420" s="390">
        <v>1</v>
      </c>
      <c r="J420" s="399"/>
      <c r="K420" s="397">
        <v>1</v>
      </c>
      <c r="L420" s="392"/>
      <c r="M420" s="395"/>
      <c r="N420" s="395"/>
      <c r="O420" s="395"/>
    </row>
    <row r="421" spans="1:15" s="407" customFormat="1" ht="12" customHeight="1" outlineLevel="2">
      <c r="A421" s="415"/>
      <c r="B421" s="549"/>
      <c r="C421" s="387"/>
      <c r="D421" s="462" t="s">
        <v>802</v>
      </c>
      <c r="E421" s="388" t="s">
        <v>803</v>
      </c>
      <c r="F421" s="473"/>
      <c r="G421" s="386" t="s">
        <v>758</v>
      </c>
      <c r="H421" s="400" t="s">
        <v>82</v>
      </c>
      <c r="I421" s="390">
        <v>1</v>
      </c>
      <c r="J421" s="399"/>
      <c r="K421" s="397">
        <v>1</v>
      </c>
      <c r="L421" s="392"/>
      <c r="M421" s="395"/>
      <c r="N421" s="395"/>
      <c r="O421" s="395"/>
    </row>
    <row r="422" spans="1:15" s="407" customFormat="1" ht="12" customHeight="1" outlineLevel="2">
      <c r="A422" s="415"/>
      <c r="B422" s="549"/>
      <c r="C422" s="387"/>
      <c r="D422" s="462" t="s">
        <v>804</v>
      </c>
      <c r="E422" s="388" t="s">
        <v>805</v>
      </c>
      <c r="F422" s="473"/>
      <c r="G422" s="386" t="s">
        <v>758</v>
      </c>
      <c r="H422" s="400" t="s">
        <v>82</v>
      </c>
      <c r="I422" s="390">
        <v>1</v>
      </c>
      <c r="J422" s="399"/>
      <c r="K422" s="397">
        <v>1</v>
      </c>
      <c r="L422" s="392"/>
      <c r="M422" s="395"/>
      <c r="N422" s="395"/>
      <c r="O422" s="395"/>
    </row>
    <row r="423" spans="1:15" s="407" customFormat="1" ht="12" customHeight="1" outlineLevel="2">
      <c r="A423" s="415"/>
      <c r="B423" s="549"/>
      <c r="C423" s="387"/>
      <c r="D423" s="462" t="s">
        <v>806</v>
      </c>
      <c r="E423" s="388" t="s">
        <v>807</v>
      </c>
      <c r="F423" s="473"/>
      <c r="G423" s="386" t="s">
        <v>758</v>
      </c>
      <c r="H423" s="400" t="s">
        <v>82</v>
      </c>
      <c r="I423" s="390">
        <v>1</v>
      </c>
      <c r="J423" s="399"/>
      <c r="K423" s="397">
        <v>1</v>
      </c>
      <c r="L423" s="392"/>
      <c r="M423" s="395"/>
      <c r="N423" s="395"/>
      <c r="O423" s="395"/>
    </row>
    <row r="424" spans="1:15" s="407" customFormat="1" ht="12" customHeight="1" outlineLevel="2">
      <c r="A424" s="415"/>
      <c r="B424" s="549"/>
      <c r="C424" s="387"/>
      <c r="D424" s="462" t="s">
        <v>808</v>
      </c>
      <c r="E424" s="388" t="s">
        <v>809</v>
      </c>
      <c r="F424" s="473"/>
      <c r="G424" s="386" t="s">
        <v>758</v>
      </c>
      <c r="H424" s="400" t="s">
        <v>82</v>
      </c>
      <c r="I424" s="390">
        <v>1</v>
      </c>
      <c r="J424" s="399"/>
      <c r="K424" s="397">
        <v>1</v>
      </c>
      <c r="L424" s="392"/>
      <c r="M424" s="395"/>
      <c r="N424" s="395"/>
      <c r="O424" s="395"/>
    </row>
    <row r="425" spans="1:15" s="407" customFormat="1" ht="12" customHeight="1" outlineLevel="2">
      <c r="A425" s="415"/>
      <c r="B425" s="549"/>
      <c r="C425" s="387"/>
      <c r="D425" s="462" t="s">
        <v>810</v>
      </c>
      <c r="E425" s="388" t="s">
        <v>809</v>
      </c>
      <c r="F425" s="473"/>
      <c r="G425" s="386" t="s">
        <v>758</v>
      </c>
      <c r="H425" s="400" t="s">
        <v>82</v>
      </c>
      <c r="I425" s="390">
        <v>1</v>
      </c>
      <c r="J425" s="399"/>
      <c r="K425" s="397">
        <v>1</v>
      </c>
      <c r="L425" s="392"/>
      <c r="M425" s="395"/>
      <c r="N425" s="395"/>
      <c r="O425" s="395"/>
    </row>
    <row r="426" spans="1:15" s="407" customFormat="1" ht="12" customHeight="1" outlineLevel="2">
      <c r="A426" s="415"/>
      <c r="B426" s="549"/>
      <c r="C426" s="387"/>
      <c r="D426" s="462" t="s">
        <v>811</v>
      </c>
      <c r="E426" s="388" t="s">
        <v>812</v>
      </c>
      <c r="F426" s="473"/>
      <c r="G426" s="386" t="s">
        <v>758</v>
      </c>
      <c r="H426" s="400" t="s">
        <v>82</v>
      </c>
      <c r="I426" s="390">
        <v>1</v>
      </c>
      <c r="J426" s="399"/>
      <c r="K426" s="397">
        <v>1</v>
      </c>
      <c r="L426" s="392"/>
      <c r="M426" s="395"/>
      <c r="N426" s="395"/>
      <c r="O426" s="395"/>
    </row>
    <row r="427" spans="1:15" s="407" customFormat="1" ht="12" customHeight="1" outlineLevel="2">
      <c r="A427" s="415"/>
      <c r="B427" s="549"/>
      <c r="C427" s="387"/>
      <c r="D427" s="462" t="s">
        <v>813</v>
      </c>
      <c r="E427" s="388" t="s">
        <v>814</v>
      </c>
      <c r="F427" s="473"/>
      <c r="G427" s="386" t="s">
        <v>758</v>
      </c>
      <c r="H427" s="400" t="s">
        <v>82</v>
      </c>
      <c r="I427" s="390">
        <v>1</v>
      </c>
      <c r="J427" s="399"/>
      <c r="K427" s="397">
        <v>1</v>
      </c>
      <c r="L427" s="392"/>
      <c r="M427" s="395"/>
      <c r="N427" s="395"/>
      <c r="O427" s="395"/>
    </row>
    <row r="428" spans="1:15" s="407" customFormat="1" ht="12" customHeight="1" outlineLevel="2">
      <c r="A428" s="415"/>
      <c r="B428" s="549"/>
      <c r="C428" s="387"/>
      <c r="D428" s="462" t="s">
        <v>815</v>
      </c>
      <c r="E428" s="388" t="s">
        <v>816</v>
      </c>
      <c r="F428" s="473"/>
      <c r="G428" s="386" t="s">
        <v>758</v>
      </c>
      <c r="H428" s="400" t="s">
        <v>82</v>
      </c>
      <c r="I428" s="390">
        <v>1</v>
      </c>
      <c r="J428" s="399"/>
      <c r="K428" s="397">
        <v>1</v>
      </c>
      <c r="L428" s="392"/>
      <c r="M428" s="395"/>
      <c r="N428" s="395"/>
      <c r="O428" s="395"/>
    </row>
    <row r="429" spans="1:15" s="407" customFormat="1" ht="12" customHeight="1" outlineLevel="2">
      <c r="A429" s="415"/>
      <c r="B429" s="549"/>
      <c r="C429" s="387"/>
      <c r="D429" s="462" t="s">
        <v>817</v>
      </c>
      <c r="E429" s="388" t="s">
        <v>818</v>
      </c>
      <c r="F429" s="473"/>
      <c r="G429" s="386" t="s">
        <v>758</v>
      </c>
      <c r="H429" s="400" t="s">
        <v>82</v>
      </c>
      <c r="I429" s="390">
        <v>1</v>
      </c>
      <c r="J429" s="399"/>
      <c r="K429" s="397">
        <v>1</v>
      </c>
      <c r="L429" s="392"/>
      <c r="M429" s="395"/>
      <c r="N429" s="395"/>
      <c r="O429" s="395"/>
    </row>
    <row r="430" spans="1:15" s="407" customFormat="1" ht="12" customHeight="1" outlineLevel="2">
      <c r="A430" s="415"/>
      <c r="B430" s="549"/>
      <c r="C430" s="387"/>
      <c r="D430" s="462" t="s">
        <v>819</v>
      </c>
      <c r="E430" s="388" t="s">
        <v>820</v>
      </c>
      <c r="F430" s="473"/>
      <c r="G430" s="386" t="s">
        <v>758</v>
      </c>
      <c r="H430" s="400" t="s">
        <v>82</v>
      </c>
      <c r="I430" s="390">
        <v>1</v>
      </c>
      <c r="J430" s="399"/>
      <c r="K430" s="397">
        <v>1</v>
      </c>
      <c r="L430" s="392"/>
      <c r="M430" s="395"/>
      <c r="N430" s="395"/>
      <c r="O430" s="395"/>
    </row>
    <row r="431" spans="1:15" s="407" customFormat="1" ht="12" customHeight="1" outlineLevel="2">
      <c r="A431" s="415"/>
      <c r="B431" s="549"/>
      <c r="C431" s="387"/>
      <c r="D431" s="462" t="s">
        <v>821</v>
      </c>
      <c r="E431" s="388" t="s">
        <v>822</v>
      </c>
      <c r="F431" s="473"/>
      <c r="G431" s="386" t="s">
        <v>758</v>
      </c>
      <c r="H431" s="400" t="s">
        <v>82</v>
      </c>
      <c r="I431" s="390">
        <v>1</v>
      </c>
      <c r="J431" s="399"/>
      <c r="K431" s="397">
        <v>1</v>
      </c>
      <c r="L431" s="392"/>
      <c r="M431" s="395"/>
      <c r="N431" s="395"/>
      <c r="O431" s="395"/>
    </row>
    <row r="432" spans="1:15" s="407" customFormat="1" ht="12" customHeight="1" outlineLevel="2">
      <c r="A432" s="415"/>
      <c r="B432" s="549"/>
      <c r="C432" s="387"/>
      <c r="D432" s="462" t="s">
        <v>823</v>
      </c>
      <c r="E432" s="388" t="s">
        <v>824</v>
      </c>
      <c r="F432" s="473"/>
      <c r="G432" s="386" t="s">
        <v>758</v>
      </c>
      <c r="H432" s="400" t="s">
        <v>82</v>
      </c>
      <c r="I432" s="390">
        <v>1</v>
      </c>
      <c r="J432" s="399"/>
      <c r="K432" s="397">
        <v>1</v>
      </c>
      <c r="L432" s="392"/>
      <c r="M432" s="395"/>
      <c r="N432" s="395"/>
      <c r="O432" s="395"/>
    </row>
    <row r="433" spans="1:15" s="407" customFormat="1" ht="12" customHeight="1" outlineLevel="2">
      <c r="A433" s="415"/>
      <c r="B433" s="549"/>
      <c r="C433" s="387"/>
      <c r="D433" s="462" t="s">
        <v>825</v>
      </c>
      <c r="E433" s="388" t="s">
        <v>826</v>
      </c>
      <c r="F433" s="473"/>
      <c r="G433" s="386" t="s">
        <v>758</v>
      </c>
      <c r="H433" s="400" t="s">
        <v>82</v>
      </c>
      <c r="I433" s="390">
        <v>1</v>
      </c>
      <c r="J433" s="399"/>
      <c r="K433" s="397">
        <v>1</v>
      </c>
      <c r="L433" s="392"/>
      <c r="M433" s="395"/>
      <c r="N433" s="395"/>
      <c r="O433" s="395"/>
    </row>
    <row r="434" spans="1:15" s="407" customFormat="1" ht="12" customHeight="1" outlineLevel="2">
      <c r="A434" s="415"/>
      <c r="B434" s="549"/>
      <c r="C434" s="387"/>
      <c r="D434" s="462" t="s">
        <v>827</v>
      </c>
      <c r="E434" s="388" t="s">
        <v>828</v>
      </c>
      <c r="F434" s="473"/>
      <c r="G434" s="386" t="s">
        <v>758</v>
      </c>
      <c r="H434" s="400" t="s">
        <v>82</v>
      </c>
      <c r="I434" s="390">
        <v>1</v>
      </c>
      <c r="J434" s="399"/>
      <c r="K434" s="397">
        <v>1</v>
      </c>
      <c r="L434" s="392"/>
      <c r="M434" s="395"/>
      <c r="N434" s="395"/>
      <c r="O434" s="395"/>
    </row>
    <row r="435" spans="1:15" s="407" customFormat="1" ht="12" customHeight="1" outlineLevel="2">
      <c r="A435" s="415"/>
      <c r="B435" s="549"/>
      <c r="C435" s="387"/>
      <c r="D435" s="462" t="s">
        <v>829</v>
      </c>
      <c r="E435" s="388" t="s">
        <v>830</v>
      </c>
      <c r="F435" s="473"/>
      <c r="G435" s="386" t="s">
        <v>758</v>
      </c>
      <c r="H435" s="400" t="s">
        <v>82</v>
      </c>
      <c r="I435" s="390">
        <v>1</v>
      </c>
      <c r="J435" s="399"/>
      <c r="K435" s="397">
        <v>1</v>
      </c>
      <c r="L435" s="392"/>
      <c r="M435" s="395"/>
      <c r="N435" s="395"/>
      <c r="O435" s="395"/>
    </row>
    <row r="436" spans="1:15" s="407" customFormat="1" ht="12" customHeight="1" outlineLevel="2">
      <c r="A436" s="415"/>
      <c r="B436" s="549"/>
      <c r="C436" s="387"/>
      <c r="D436" s="462" t="s">
        <v>831</v>
      </c>
      <c r="E436" s="388" t="s">
        <v>832</v>
      </c>
      <c r="F436" s="473"/>
      <c r="G436" s="386" t="s">
        <v>758</v>
      </c>
      <c r="H436" s="400" t="s">
        <v>82</v>
      </c>
      <c r="I436" s="390">
        <v>1</v>
      </c>
      <c r="J436" s="399"/>
      <c r="K436" s="397">
        <v>1</v>
      </c>
      <c r="L436" s="392"/>
      <c r="M436" s="395"/>
      <c r="N436" s="395"/>
      <c r="O436" s="395"/>
    </row>
    <row r="437" spans="1:15" s="407" customFormat="1" ht="12" customHeight="1" outlineLevel="2">
      <c r="A437" s="415"/>
      <c r="B437" s="549"/>
      <c r="C437" s="387"/>
      <c r="D437" s="462" t="s">
        <v>833</v>
      </c>
      <c r="E437" s="388" t="s">
        <v>834</v>
      </c>
      <c r="F437" s="473"/>
      <c r="G437" s="386" t="s">
        <v>758</v>
      </c>
      <c r="H437" s="400" t="s">
        <v>82</v>
      </c>
      <c r="I437" s="390">
        <v>1</v>
      </c>
      <c r="J437" s="399"/>
      <c r="K437" s="397">
        <v>1</v>
      </c>
      <c r="L437" s="392"/>
      <c r="M437" s="395"/>
      <c r="N437" s="395"/>
      <c r="O437" s="395"/>
    </row>
    <row r="438" spans="1:15" s="407" customFormat="1" ht="12" customHeight="1" outlineLevel="2">
      <c r="A438" s="415"/>
      <c r="B438" s="549"/>
      <c r="C438" s="387"/>
      <c r="D438" s="462" t="s">
        <v>835</v>
      </c>
      <c r="E438" s="388" t="s">
        <v>836</v>
      </c>
      <c r="F438" s="473"/>
      <c r="G438" s="386" t="s">
        <v>758</v>
      </c>
      <c r="H438" s="400" t="s">
        <v>82</v>
      </c>
      <c r="I438" s="390">
        <v>1</v>
      </c>
      <c r="J438" s="399"/>
      <c r="K438" s="397">
        <v>1</v>
      </c>
      <c r="L438" s="392"/>
      <c r="M438" s="395"/>
      <c r="N438" s="395"/>
      <c r="O438" s="395"/>
    </row>
    <row r="439" spans="1:15" s="407" customFormat="1" ht="12" customHeight="1" outlineLevel="2">
      <c r="A439" s="415"/>
      <c r="B439" s="549"/>
      <c r="C439" s="387"/>
      <c r="D439" s="462" t="s">
        <v>837</v>
      </c>
      <c r="E439" s="388" t="s">
        <v>838</v>
      </c>
      <c r="F439" s="473"/>
      <c r="G439" s="386" t="s">
        <v>758</v>
      </c>
      <c r="H439" s="400" t="s">
        <v>82</v>
      </c>
      <c r="I439" s="390">
        <v>1</v>
      </c>
      <c r="J439" s="399"/>
      <c r="K439" s="397">
        <v>1</v>
      </c>
      <c r="L439" s="392"/>
      <c r="M439" s="395"/>
      <c r="N439" s="395"/>
      <c r="O439" s="395"/>
    </row>
    <row r="440" spans="1:15" s="407" customFormat="1" ht="12" customHeight="1" outlineLevel="2">
      <c r="A440" s="415"/>
      <c r="B440" s="549"/>
      <c r="C440" s="387"/>
      <c r="D440" s="462" t="s">
        <v>839</v>
      </c>
      <c r="E440" s="388" t="s">
        <v>840</v>
      </c>
      <c r="F440" s="473"/>
      <c r="G440" s="386" t="s">
        <v>758</v>
      </c>
      <c r="H440" s="400" t="s">
        <v>82</v>
      </c>
      <c r="I440" s="390">
        <v>1</v>
      </c>
      <c r="J440" s="399"/>
      <c r="K440" s="397">
        <v>1</v>
      </c>
      <c r="L440" s="392"/>
      <c r="M440" s="395"/>
      <c r="N440" s="395"/>
      <c r="O440" s="395"/>
    </row>
    <row r="441" spans="1:15" s="407" customFormat="1" ht="12" customHeight="1" outlineLevel="2">
      <c r="A441" s="415"/>
      <c r="B441" s="549"/>
      <c r="C441" s="387"/>
      <c r="D441" s="462" t="s">
        <v>841</v>
      </c>
      <c r="E441" s="388" t="s">
        <v>842</v>
      </c>
      <c r="F441" s="473"/>
      <c r="G441" s="386" t="s">
        <v>758</v>
      </c>
      <c r="H441" s="400" t="s">
        <v>82</v>
      </c>
      <c r="I441" s="390">
        <v>1</v>
      </c>
      <c r="J441" s="399"/>
      <c r="K441" s="397">
        <v>1</v>
      </c>
      <c r="L441" s="392"/>
      <c r="M441" s="395"/>
      <c r="N441" s="395"/>
      <c r="O441" s="395"/>
    </row>
    <row r="442" spans="1:15" s="407" customFormat="1" ht="12" customHeight="1" outlineLevel="2">
      <c r="A442" s="415"/>
      <c r="B442" s="549"/>
      <c r="C442" s="387"/>
      <c r="D442" s="462" t="s">
        <v>843</v>
      </c>
      <c r="E442" s="388" t="s">
        <v>844</v>
      </c>
      <c r="F442" s="473"/>
      <c r="G442" s="386" t="s">
        <v>758</v>
      </c>
      <c r="H442" s="400" t="s">
        <v>82</v>
      </c>
      <c r="I442" s="390">
        <v>1</v>
      </c>
      <c r="J442" s="399"/>
      <c r="K442" s="397">
        <v>1</v>
      </c>
      <c r="L442" s="392"/>
      <c r="M442" s="395"/>
      <c r="N442" s="395"/>
      <c r="O442" s="395"/>
    </row>
    <row r="443" spans="1:15" s="407" customFormat="1" ht="12" customHeight="1" outlineLevel="2">
      <c r="A443" s="415"/>
      <c r="B443" s="549"/>
      <c r="C443" s="387"/>
      <c r="D443" s="462" t="s">
        <v>845</v>
      </c>
      <c r="E443" s="388" t="s">
        <v>846</v>
      </c>
      <c r="F443" s="473"/>
      <c r="G443" s="386" t="s">
        <v>758</v>
      </c>
      <c r="H443" s="400" t="s">
        <v>82</v>
      </c>
      <c r="I443" s="390">
        <v>1</v>
      </c>
      <c r="J443" s="399"/>
      <c r="K443" s="397">
        <v>1</v>
      </c>
      <c r="L443" s="392"/>
      <c r="M443" s="395"/>
      <c r="N443" s="395"/>
      <c r="O443" s="395"/>
    </row>
    <row r="444" spans="1:15" s="407" customFormat="1" ht="12" customHeight="1" outlineLevel="2">
      <c r="A444" s="415"/>
      <c r="B444" s="549"/>
      <c r="C444" s="387"/>
      <c r="D444" s="462" t="s">
        <v>847</v>
      </c>
      <c r="E444" s="388" t="s">
        <v>848</v>
      </c>
      <c r="F444" s="473"/>
      <c r="G444" s="386" t="s">
        <v>758</v>
      </c>
      <c r="H444" s="400" t="s">
        <v>82</v>
      </c>
      <c r="I444" s="390">
        <v>1</v>
      </c>
      <c r="J444" s="399"/>
      <c r="K444" s="397">
        <v>1</v>
      </c>
      <c r="L444" s="392"/>
      <c r="M444" s="395"/>
      <c r="N444" s="395"/>
      <c r="O444" s="395"/>
    </row>
    <row r="445" spans="1:15" s="407" customFormat="1" ht="12" customHeight="1" outlineLevel="2">
      <c r="A445" s="415"/>
      <c r="B445" s="549"/>
      <c r="C445" s="387"/>
      <c r="D445" s="462" t="s">
        <v>849</v>
      </c>
      <c r="E445" s="388" t="s">
        <v>850</v>
      </c>
      <c r="F445" s="473"/>
      <c r="G445" s="386" t="s">
        <v>758</v>
      </c>
      <c r="H445" s="400" t="s">
        <v>82</v>
      </c>
      <c r="I445" s="390">
        <v>1</v>
      </c>
      <c r="J445" s="399"/>
      <c r="K445" s="397">
        <v>1</v>
      </c>
      <c r="L445" s="392"/>
      <c r="M445" s="395"/>
      <c r="N445" s="395"/>
      <c r="O445" s="395"/>
    </row>
    <row r="446" spans="1:15" s="407" customFormat="1" ht="12" customHeight="1" outlineLevel="2">
      <c r="A446" s="415"/>
      <c r="B446" s="549"/>
      <c r="C446" s="387"/>
      <c r="D446" s="462" t="s">
        <v>851</v>
      </c>
      <c r="E446" s="388" t="s">
        <v>852</v>
      </c>
      <c r="F446" s="473"/>
      <c r="G446" s="386" t="s">
        <v>758</v>
      </c>
      <c r="H446" s="400" t="s">
        <v>82</v>
      </c>
      <c r="I446" s="390">
        <v>1</v>
      </c>
      <c r="J446" s="399"/>
      <c r="K446" s="397">
        <v>1</v>
      </c>
      <c r="L446" s="392"/>
      <c r="M446" s="395"/>
      <c r="N446" s="395"/>
      <c r="O446" s="395"/>
    </row>
    <row r="447" spans="1:15" s="407" customFormat="1" ht="12" customHeight="1" outlineLevel="2">
      <c r="A447" s="415"/>
      <c r="B447" s="549"/>
      <c r="C447" s="387"/>
      <c r="D447" s="462" t="s">
        <v>853</v>
      </c>
      <c r="E447" s="388" t="s">
        <v>854</v>
      </c>
      <c r="F447" s="473"/>
      <c r="G447" s="386" t="s">
        <v>758</v>
      </c>
      <c r="H447" s="400" t="s">
        <v>82</v>
      </c>
      <c r="I447" s="390">
        <v>1</v>
      </c>
      <c r="J447" s="399"/>
      <c r="K447" s="397">
        <v>1</v>
      </c>
      <c r="L447" s="392"/>
      <c r="M447" s="395"/>
      <c r="N447" s="395"/>
      <c r="O447" s="395"/>
    </row>
    <row r="448" spans="1:15" s="407" customFormat="1" ht="12" customHeight="1" outlineLevel="2">
      <c r="A448" s="415"/>
      <c r="B448" s="549"/>
      <c r="C448" s="387"/>
      <c r="D448" s="462" t="s">
        <v>855</v>
      </c>
      <c r="E448" s="388" t="s">
        <v>856</v>
      </c>
      <c r="F448" s="473"/>
      <c r="G448" s="386" t="s">
        <v>758</v>
      </c>
      <c r="H448" s="400" t="s">
        <v>82</v>
      </c>
      <c r="I448" s="390">
        <v>1</v>
      </c>
      <c r="J448" s="399"/>
      <c r="K448" s="397">
        <v>1</v>
      </c>
      <c r="L448" s="392"/>
      <c r="M448" s="395"/>
      <c r="N448" s="395"/>
      <c r="O448" s="395"/>
    </row>
    <row r="449" spans="1:15" s="407" customFormat="1" ht="12" customHeight="1" outlineLevel="2">
      <c r="A449" s="415"/>
      <c r="B449" s="549"/>
      <c r="C449" s="387"/>
      <c r="D449" s="462" t="s">
        <v>857</v>
      </c>
      <c r="E449" s="388" t="s">
        <v>858</v>
      </c>
      <c r="F449" s="473"/>
      <c r="G449" s="386" t="s">
        <v>758</v>
      </c>
      <c r="H449" s="400" t="s">
        <v>82</v>
      </c>
      <c r="I449" s="390">
        <v>1</v>
      </c>
      <c r="J449" s="399"/>
      <c r="K449" s="397">
        <v>1</v>
      </c>
      <c r="L449" s="392"/>
      <c r="M449" s="395"/>
      <c r="N449" s="395"/>
      <c r="O449" s="395"/>
    </row>
    <row r="450" spans="1:15" s="407" customFormat="1" ht="12" customHeight="1" outlineLevel="2">
      <c r="A450" s="415"/>
      <c r="B450" s="549"/>
      <c r="C450" s="387"/>
      <c r="D450" s="462" t="s">
        <v>859</v>
      </c>
      <c r="E450" s="388" t="s">
        <v>860</v>
      </c>
      <c r="F450" s="473"/>
      <c r="G450" s="386" t="s">
        <v>758</v>
      </c>
      <c r="H450" s="400" t="s">
        <v>82</v>
      </c>
      <c r="I450" s="390">
        <v>1</v>
      </c>
      <c r="J450" s="399"/>
      <c r="K450" s="397">
        <v>1</v>
      </c>
      <c r="L450" s="392"/>
      <c r="M450" s="395"/>
      <c r="N450" s="395"/>
      <c r="O450" s="395"/>
    </row>
    <row r="451" spans="1:15" s="407" customFormat="1" ht="12" customHeight="1" outlineLevel="2">
      <c r="A451" s="415"/>
      <c r="B451" s="549"/>
      <c r="C451" s="387"/>
      <c r="D451" s="462" t="s">
        <v>861</v>
      </c>
      <c r="E451" s="388" t="s">
        <v>862</v>
      </c>
      <c r="F451" s="473"/>
      <c r="G451" s="386" t="s">
        <v>758</v>
      </c>
      <c r="H451" s="400" t="s">
        <v>82</v>
      </c>
      <c r="I451" s="390">
        <v>1</v>
      </c>
      <c r="J451" s="399"/>
      <c r="K451" s="397">
        <v>1</v>
      </c>
      <c r="L451" s="392"/>
      <c r="M451" s="395"/>
      <c r="N451" s="395"/>
      <c r="O451" s="395"/>
    </row>
    <row r="452" spans="1:15" s="407" customFormat="1" ht="12" customHeight="1" outlineLevel="2">
      <c r="A452" s="415"/>
      <c r="B452" s="549"/>
      <c r="C452" s="387"/>
      <c r="D452" s="462" t="s">
        <v>863</v>
      </c>
      <c r="E452" s="388" t="s">
        <v>864</v>
      </c>
      <c r="F452" s="473"/>
      <c r="G452" s="386" t="s">
        <v>758</v>
      </c>
      <c r="H452" s="400" t="s">
        <v>82</v>
      </c>
      <c r="I452" s="390">
        <v>1</v>
      </c>
      <c r="J452" s="399"/>
      <c r="K452" s="397">
        <v>1</v>
      </c>
      <c r="L452" s="392"/>
      <c r="M452" s="395"/>
      <c r="N452" s="395"/>
      <c r="O452" s="395"/>
    </row>
    <row r="453" spans="1:15" s="407" customFormat="1" ht="12" customHeight="1" outlineLevel="2">
      <c r="A453" s="415"/>
      <c r="B453" s="549"/>
      <c r="C453" s="387"/>
      <c r="D453" s="462" t="s">
        <v>865</v>
      </c>
      <c r="E453" s="388" t="s">
        <v>866</v>
      </c>
      <c r="F453" s="473"/>
      <c r="G453" s="386" t="s">
        <v>758</v>
      </c>
      <c r="H453" s="400" t="s">
        <v>82</v>
      </c>
      <c r="I453" s="390">
        <v>1</v>
      </c>
      <c r="J453" s="399"/>
      <c r="K453" s="397">
        <v>1</v>
      </c>
      <c r="L453" s="392"/>
      <c r="M453" s="395"/>
      <c r="N453" s="395"/>
      <c r="O453" s="395"/>
    </row>
    <row r="454" spans="1:15" s="407" customFormat="1" ht="12" customHeight="1" outlineLevel="2">
      <c r="A454" s="415"/>
      <c r="B454" s="549"/>
      <c r="C454" s="387"/>
      <c r="D454" s="462" t="s">
        <v>867</v>
      </c>
      <c r="E454" s="388" t="s">
        <v>868</v>
      </c>
      <c r="F454" s="473"/>
      <c r="G454" s="386" t="s">
        <v>758</v>
      </c>
      <c r="H454" s="400" t="s">
        <v>82</v>
      </c>
      <c r="I454" s="390">
        <v>1</v>
      </c>
      <c r="J454" s="399"/>
      <c r="K454" s="397">
        <v>1</v>
      </c>
      <c r="L454" s="392"/>
      <c r="M454" s="395"/>
      <c r="N454" s="395"/>
      <c r="O454" s="395"/>
    </row>
    <row r="455" spans="1:15" s="407" customFormat="1" ht="12" customHeight="1" outlineLevel="2">
      <c r="A455" s="415"/>
      <c r="B455" s="549"/>
      <c r="C455" s="387"/>
      <c r="D455" s="462" t="s">
        <v>869</v>
      </c>
      <c r="E455" s="388" t="s">
        <v>870</v>
      </c>
      <c r="F455" s="473"/>
      <c r="G455" s="386" t="s">
        <v>758</v>
      </c>
      <c r="H455" s="400" t="s">
        <v>82</v>
      </c>
      <c r="I455" s="390">
        <v>1</v>
      </c>
      <c r="J455" s="399"/>
      <c r="K455" s="397">
        <v>1</v>
      </c>
      <c r="L455" s="392"/>
      <c r="M455" s="395"/>
      <c r="N455" s="395"/>
      <c r="O455" s="395"/>
    </row>
    <row r="456" spans="1:15" s="407" customFormat="1" ht="12" customHeight="1" outlineLevel="2">
      <c r="A456" s="415"/>
      <c r="B456" s="549"/>
      <c r="C456" s="387"/>
      <c r="D456" s="462" t="s">
        <v>871</v>
      </c>
      <c r="E456" s="388" t="s">
        <v>872</v>
      </c>
      <c r="F456" s="473"/>
      <c r="G456" s="386" t="s">
        <v>758</v>
      </c>
      <c r="H456" s="400" t="s">
        <v>82</v>
      </c>
      <c r="I456" s="390">
        <v>1</v>
      </c>
      <c r="J456" s="399"/>
      <c r="K456" s="397">
        <v>1</v>
      </c>
      <c r="L456" s="392"/>
      <c r="M456" s="395"/>
      <c r="N456" s="395"/>
      <c r="O456" s="395"/>
    </row>
    <row r="457" spans="1:15" s="407" customFormat="1" ht="12" customHeight="1" outlineLevel="2">
      <c r="A457" s="415"/>
      <c r="B457" s="549"/>
      <c r="C457" s="387"/>
      <c r="D457" s="462" t="s">
        <v>873</v>
      </c>
      <c r="E457" s="388" t="s">
        <v>874</v>
      </c>
      <c r="F457" s="473"/>
      <c r="G457" s="386" t="s">
        <v>758</v>
      </c>
      <c r="H457" s="400" t="s">
        <v>82</v>
      </c>
      <c r="I457" s="390">
        <v>1</v>
      </c>
      <c r="J457" s="399"/>
      <c r="K457" s="397">
        <v>1</v>
      </c>
      <c r="L457" s="392"/>
      <c r="M457" s="395"/>
      <c r="N457" s="395"/>
      <c r="O457" s="395"/>
    </row>
    <row r="458" spans="1:15" s="407" customFormat="1" ht="12" customHeight="1" outlineLevel="2">
      <c r="A458" s="415"/>
      <c r="B458" s="549"/>
      <c r="C458" s="387"/>
      <c r="D458" s="462" t="s">
        <v>875</v>
      </c>
      <c r="E458" s="388" t="s">
        <v>876</v>
      </c>
      <c r="F458" s="473"/>
      <c r="G458" s="386" t="s">
        <v>758</v>
      </c>
      <c r="H458" s="400" t="s">
        <v>82</v>
      </c>
      <c r="I458" s="390">
        <v>1</v>
      </c>
      <c r="J458" s="399"/>
      <c r="K458" s="397">
        <v>1</v>
      </c>
      <c r="L458" s="392"/>
      <c r="M458" s="395"/>
      <c r="N458" s="395"/>
      <c r="O458" s="395"/>
    </row>
    <row r="459" spans="1:15" s="407" customFormat="1" ht="12" customHeight="1" outlineLevel="2">
      <c r="A459" s="415"/>
      <c r="B459" s="549"/>
      <c r="C459" s="387"/>
      <c r="D459" s="462" t="s">
        <v>877</v>
      </c>
      <c r="E459" s="388" t="s">
        <v>878</v>
      </c>
      <c r="F459" s="473"/>
      <c r="G459" s="386" t="s">
        <v>758</v>
      </c>
      <c r="H459" s="400" t="s">
        <v>82</v>
      </c>
      <c r="I459" s="390">
        <v>1</v>
      </c>
      <c r="J459" s="399"/>
      <c r="K459" s="397">
        <v>1</v>
      </c>
      <c r="L459" s="392"/>
      <c r="M459" s="395"/>
      <c r="N459" s="395"/>
      <c r="O459" s="395"/>
    </row>
    <row r="460" spans="1:15" s="407" customFormat="1" ht="12" customHeight="1" outlineLevel="2">
      <c r="A460" s="415"/>
      <c r="B460" s="549"/>
      <c r="C460" s="387"/>
      <c r="D460" s="462" t="s">
        <v>879</v>
      </c>
      <c r="E460" s="388" t="s">
        <v>880</v>
      </c>
      <c r="F460" s="473"/>
      <c r="G460" s="386" t="s">
        <v>758</v>
      </c>
      <c r="H460" s="400" t="s">
        <v>82</v>
      </c>
      <c r="I460" s="390">
        <v>1</v>
      </c>
      <c r="J460" s="399"/>
      <c r="K460" s="397">
        <v>1</v>
      </c>
      <c r="L460" s="392"/>
      <c r="M460" s="395"/>
      <c r="N460" s="395"/>
      <c r="O460" s="395"/>
    </row>
    <row r="461" spans="1:15" s="407" customFormat="1" ht="12" customHeight="1" outlineLevel="2">
      <c r="A461" s="415"/>
      <c r="B461" s="549"/>
      <c r="C461" s="387"/>
      <c r="D461" s="462" t="s">
        <v>881</v>
      </c>
      <c r="E461" s="388" t="s">
        <v>882</v>
      </c>
      <c r="F461" s="473"/>
      <c r="G461" s="386" t="s">
        <v>758</v>
      </c>
      <c r="H461" s="400" t="s">
        <v>82</v>
      </c>
      <c r="I461" s="390">
        <v>1</v>
      </c>
      <c r="J461" s="399"/>
      <c r="K461" s="397">
        <v>1</v>
      </c>
      <c r="L461" s="392"/>
      <c r="M461" s="395"/>
      <c r="N461" s="395"/>
      <c r="O461" s="395"/>
    </row>
    <row r="462" spans="1:15" s="407" customFormat="1" ht="12" customHeight="1" outlineLevel="2">
      <c r="A462" s="415"/>
      <c r="B462" s="549"/>
      <c r="C462" s="387"/>
      <c r="D462" s="462" t="s">
        <v>883</v>
      </c>
      <c r="E462" s="388" t="s">
        <v>884</v>
      </c>
      <c r="F462" s="473"/>
      <c r="G462" s="386" t="s">
        <v>758</v>
      </c>
      <c r="H462" s="400" t="s">
        <v>82</v>
      </c>
      <c r="I462" s="390">
        <v>1</v>
      </c>
      <c r="J462" s="399"/>
      <c r="K462" s="397">
        <v>1</v>
      </c>
      <c r="L462" s="392"/>
      <c r="M462" s="395"/>
      <c r="N462" s="395"/>
      <c r="O462" s="395"/>
    </row>
    <row r="463" spans="1:15" s="407" customFormat="1" ht="12" customHeight="1" outlineLevel="2">
      <c r="A463" s="415"/>
      <c r="B463" s="549"/>
      <c r="C463" s="387"/>
      <c r="D463" s="462" t="s">
        <v>885</v>
      </c>
      <c r="E463" s="388" t="s">
        <v>886</v>
      </c>
      <c r="F463" s="473"/>
      <c r="G463" s="386" t="s">
        <v>758</v>
      </c>
      <c r="H463" s="400" t="s">
        <v>82</v>
      </c>
      <c r="I463" s="390">
        <v>1</v>
      </c>
      <c r="J463" s="399"/>
      <c r="K463" s="397">
        <v>1</v>
      </c>
      <c r="L463" s="392"/>
      <c r="M463" s="395"/>
      <c r="N463" s="395"/>
      <c r="O463" s="395"/>
    </row>
    <row r="464" spans="1:15" s="407" customFormat="1" ht="12" customHeight="1" outlineLevel="2">
      <c r="A464" s="415"/>
      <c r="B464" s="549"/>
      <c r="C464" s="387"/>
      <c r="D464" s="462" t="s">
        <v>887</v>
      </c>
      <c r="E464" s="388" t="s">
        <v>888</v>
      </c>
      <c r="F464" s="473"/>
      <c r="G464" s="386" t="s">
        <v>758</v>
      </c>
      <c r="H464" s="400" t="s">
        <v>82</v>
      </c>
      <c r="I464" s="390">
        <v>1</v>
      </c>
      <c r="J464" s="399"/>
      <c r="K464" s="397">
        <v>1</v>
      </c>
      <c r="L464" s="392"/>
      <c r="M464" s="395"/>
      <c r="N464" s="395"/>
      <c r="O464" s="395"/>
    </row>
    <row r="465" spans="1:15" s="407" customFormat="1" ht="12" customHeight="1" outlineLevel="2">
      <c r="A465" s="415"/>
      <c r="B465" s="549"/>
      <c r="C465" s="387"/>
      <c r="D465" s="462" t="s">
        <v>889</v>
      </c>
      <c r="E465" s="388" t="s">
        <v>890</v>
      </c>
      <c r="F465" s="473"/>
      <c r="G465" s="386" t="s">
        <v>758</v>
      </c>
      <c r="H465" s="400" t="s">
        <v>82</v>
      </c>
      <c r="I465" s="390">
        <v>1</v>
      </c>
      <c r="J465" s="399"/>
      <c r="K465" s="397">
        <v>1</v>
      </c>
      <c r="L465" s="392"/>
      <c r="M465" s="395"/>
      <c r="N465" s="395"/>
      <c r="O465" s="395"/>
    </row>
    <row r="466" spans="1:15" s="407" customFormat="1" ht="12" customHeight="1" outlineLevel="2">
      <c r="A466" s="415"/>
      <c r="B466" s="549"/>
      <c r="C466" s="387"/>
      <c r="D466" s="462" t="s">
        <v>891</v>
      </c>
      <c r="E466" s="388" t="s">
        <v>892</v>
      </c>
      <c r="F466" s="473"/>
      <c r="G466" s="386" t="s">
        <v>758</v>
      </c>
      <c r="H466" s="400" t="s">
        <v>82</v>
      </c>
      <c r="I466" s="390">
        <v>1</v>
      </c>
      <c r="J466" s="399"/>
      <c r="K466" s="397">
        <v>1</v>
      </c>
      <c r="L466" s="392"/>
      <c r="M466" s="395"/>
      <c r="N466" s="395"/>
      <c r="O466" s="395"/>
    </row>
    <row r="467" spans="1:15" s="407" customFormat="1" ht="12" customHeight="1" outlineLevel="2">
      <c r="A467" s="415"/>
      <c r="B467" s="549"/>
      <c r="C467" s="387"/>
      <c r="D467" s="462" t="s">
        <v>893</v>
      </c>
      <c r="E467" s="388" t="s">
        <v>894</v>
      </c>
      <c r="F467" s="473"/>
      <c r="G467" s="386" t="s">
        <v>758</v>
      </c>
      <c r="H467" s="400" t="s">
        <v>82</v>
      </c>
      <c r="I467" s="390">
        <v>1</v>
      </c>
      <c r="J467" s="399"/>
      <c r="K467" s="397">
        <v>1</v>
      </c>
      <c r="L467" s="392"/>
      <c r="M467" s="395"/>
      <c r="N467" s="395"/>
      <c r="O467" s="395"/>
    </row>
    <row r="468" spans="1:15" s="407" customFormat="1" ht="12" customHeight="1" outlineLevel="2">
      <c r="A468" s="415"/>
      <c r="B468" s="549"/>
      <c r="C468" s="387"/>
      <c r="D468" s="462" t="s">
        <v>895</v>
      </c>
      <c r="E468" s="388" t="s">
        <v>896</v>
      </c>
      <c r="F468" s="473"/>
      <c r="G468" s="386" t="s">
        <v>758</v>
      </c>
      <c r="H468" s="400" t="s">
        <v>82</v>
      </c>
      <c r="I468" s="390">
        <v>1</v>
      </c>
      <c r="J468" s="399"/>
      <c r="K468" s="397">
        <v>1</v>
      </c>
      <c r="L468" s="392"/>
      <c r="M468" s="395"/>
      <c r="N468" s="395"/>
      <c r="O468" s="395"/>
    </row>
    <row r="469" spans="1:15" s="407" customFormat="1" ht="12" customHeight="1" outlineLevel="2">
      <c r="A469" s="415"/>
      <c r="B469" s="549"/>
      <c r="C469" s="387"/>
      <c r="D469" s="462" t="s">
        <v>897</v>
      </c>
      <c r="E469" s="388" t="s">
        <v>898</v>
      </c>
      <c r="F469" s="473"/>
      <c r="G469" s="386" t="s">
        <v>758</v>
      </c>
      <c r="H469" s="400" t="s">
        <v>82</v>
      </c>
      <c r="I469" s="390">
        <v>1</v>
      </c>
      <c r="J469" s="399"/>
      <c r="K469" s="397">
        <v>1</v>
      </c>
      <c r="L469" s="392"/>
      <c r="M469" s="395"/>
      <c r="N469" s="395"/>
      <c r="O469" s="395"/>
    </row>
    <row r="470" spans="1:15" s="407" customFormat="1" ht="12" customHeight="1" outlineLevel="2">
      <c r="A470" s="415"/>
      <c r="B470" s="549"/>
      <c r="C470" s="387"/>
      <c r="D470" s="462" t="s">
        <v>899</v>
      </c>
      <c r="E470" s="388" t="s">
        <v>900</v>
      </c>
      <c r="F470" s="473"/>
      <c r="G470" s="386" t="s">
        <v>758</v>
      </c>
      <c r="H470" s="400" t="s">
        <v>82</v>
      </c>
      <c r="I470" s="390">
        <v>1</v>
      </c>
      <c r="J470" s="399"/>
      <c r="K470" s="397">
        <v>1</v>
      </c>
      <c r="L470" s="392"/>
      <c r="M470" s="395"/>
      <c r="N470" s="395"/>
      <c r="O470" s="395"/>
    </row>
    <row r="471" spans="1:15" s="407" customFormat="1" ht="12" customHeight="1" outlineLevel="2">
      <c r="A471" s="415"/>
      <c r="B471" s="549"/>
      <c r="C471" s="387"/>
      <c r="D471" s="462" t="s">
        <v>901</v>
      </c>
      <c r="E471" s="388" t="s">
        <v>902</v>
      </c>
      <c r="F471" s="473"/>
      <c r="G471" s="386" t="s">
        <v>758</v>
      </c>
      <c r="H471" s="400" t="s">
        <v>82</v>
      </c>
      <c r="I471" s="390">
        <v>1</v>
      </c>
      <c r="J471" s="399"/>
      <c r="K471" s="397">
        <v>1</v>
      </c>
      <c r="L471" s="392"/>
      <c r="M471" s="395"/>
      <c r="N471" s="395"/>
      <c r="O471" s="395"/>
    </row>
    <row r="472" spans="1:15" s="407" customFormat="1" ht="12" customHeight="1" outlineLevel="2">
      <c r="A472" s="415"/>
      <c r="B472" s="549"/>
      <c r="C472" s="387"/>
      <c r="D472" s="462" t="s">
        <v>903</v>
      </c>
      <c r="E472" s="388" t="s">
        <v>904</v>
      </c>
      <c r="F472" s="473"/>
      <c r="G472" s="386" t="s">
        <v>758</v>
      </c>
      <c r="H472" s="400" t="s">
        <v>82</v>
      </c>
      <c r="I472" s="390">
        <v>1</v>
      </c>
      <c r="J472" s="399"/>
      <c r="K472" s="397">
        <v>1</v>
      </c>
      <c r="L472" s="392"/>
      <c r="M472" s="395"/>
      <c r="N472" s="395"/>
      <c r="O472" s="395"/>
    </row>
    <row r="473" spans="1:15" s="407" customFormat="1" ht="12" customHeight="1" outlineLevel="2">
      <c r="A473" s="415"/>
      <c r="B473" s="549"/>
      <c r="C473" s="387"/>
      <c r="D473" s="462" t="s">
        <v>905</v>
      </c>
      <c r="E473" s="388" t="s">
        <v>906</v>
      </c>
      <c r="F473" s="473"/>
      <c r="G473" s="386" t="s">
        <v>758</v>
      </c>
      <c r="H473" s="400" t="s">
        <v>82</v>
      </c>
      <c r="I473" s="390">
        <v>1</v>
      </c>
      <c r="J473" s="399"/>
      <c r="K473" s="397">
        <v>1</v>
      </c>
      <c r="L473" s="392"/>
      <c r="M473" s="395"/>
      <c r="N473" s="395"/>
      <c r="O473" s="395"/>
    </row>
    <row r="474" spans="1:15" s="407" customFormat="1" ht="12" customHeight="1" outlineLevel="2">
      <c r="A474" s="415"/>
      <c r="B474" s="549"/>
      <c r="C474" s="387"/>
      <c r="D474" s="462" t="s">
        <v>907</v>
      </c>
      <c r="E474" s="388" t="s">
        <v>908</v>
      </c>
      <c r="F474" s="473"/>
      <c r="G474" s="386" t="s">
        <v>758</v>
      </c>
      <c r="H474" s="400" t="s">
        <v>82</v>
      </c>
      <c r="I474" s="390">
        <v>1</v>
      </c>
      <c r="J474" s="399"/>
      <c r="K474" s="397">
        <v>1</v>
      </c>
      <c r="L474" s="392"/>
      <c r="M474" s="395"/>
      <c r="N474" s="395"/>
      <c r="O474" s="395"/>
    </row>
    <row r="475" spans="1:15" s="407" customFormat="1" ht="12" customHeight="1" outlineLevel="2">
      <c r="A475" s="415"/>
      <c r="B475" s="549"/>
      <c r="C475" s="387"/>
      <c r="D475" s="462" t="s">
        <v>909</v>
      </c>
      <c r="E475" s="388" t="s">
        <v>910</v>
      </c>
      <c r="F475" s="473"/>
      <c r="G475" s="386" t="s">
        <v>758</v>
      </c>
      <c r="H475" s="400" t="s">
        <v>82</v>
      </c>
      <c r="I475" s="390">
        <v>1</v>
      </c>
      <c r="J475" s="399"/>
      <c r="K475" s="397">
        <v>1</v>
      </c>
      <c r="L475" s="392"/>
      <c r="M475" s="395"/>
      <c r="N475" s="395"/>
      <c r="O475" s="395"/>
    </row>
    <row r="476" spans="1:15" s="407" customFormat="1" ht="12" customHeight="1" outlineLevel="2">
      <c r="A476" s="415"/>
      <c r="B476" s="549"/>
      <c r="C476" s="387"/>
      <c r="D476" s="462" t="s">
        <v>911</v>
      </c>
      <c r="E476" s="388" t="s">
        <v>912</v>
      </c>
      <c r="F476" s="473"/>
      <c r="G476" s="386" t="s">
        <v>758</v>
      </c>
      <c r="H476" s="400" t="s">
        <v>82</v>
      </c>
      <c r="I476" s="390">
        <v>1</v>
      </c>
      <c r="J476" s="399"/>
      <c r="K476" s="397">
        <v>1</v>
      </c>
      <c r="L476" s="392"/>
      <c r="M476" s="395"/>
      <c r="N476" s="395"/>
      <c r="O476" s="395"/>
    </row>
    <row r="477" spans="1:15" s="407" customFormat="1" ht="12" customHeight="1" outlineLevel="2">
      <c r="A477" s="415"/>
      <c r="B477" s="549"/>
      <c r="C477" s="387"/>
      <c r="D477" s="462" t="s">
        <v>913</v>
      </c>
      <c r="E477" s="388" t="s">
        <v>914</v>
      </c>
      <c r="F477" s="473"/>
      <c r="G477" s="386" t="s">
        <v>758</v>
      </c>
      <c r="H477" s="400" t="s">
        <v>82</v>
      </c>
      <c r="I477" s="390">
        <v>1</v>
      </c>
      <c r="J477" s="399"/>
      <c r="K477" s="397">
        <v>1</v>
      </c>
      <c r="L477" s="392"/>
      <c r="M477" s="395"/>
      <c r="N477" s="395"/>
      <c r="O477" s="395"/>
    </row>
    <row r="478" spans="1:15" s="407" customFormat="1" ht="12" customHeight="1" outlineLevel="2">
      <c r="A478" s="415"/>
      <c r="B478" s="549"/>
      <c r="C478" s="387"/>
      <c r="D478" s="462" t="s">
        <v>915</v>
      </c>
      <c r="E478" s="388" t="s">
        <v>916</v>
      </c>
      <c r="F478" s="473"/>
      <c r="G478" s="386" t="s">
        <v>758</v>
      </c>
      <c r="H478" s="400" t="s">
        <v>82</v>
      </c>
      <c r="I478" s="390">
        <v>1</v>
      </c>
      <c r="J478" s="399"/>
      <c r="K478" s="397">
        <v>1</v>
      </c>
      <c r="L478" s="392"/>
      <c r="M478" s="395"/>
      <c r="N478" s="395"/>
      <c r="O478" s="395"/>
    </row>
    <row r="479" spans="1:15" s="407" customFormat="1" ht="12" customHeight="1" outlineLevel="2">
      <c r="A479" s="415"/>
      <c r="B479" s="549"/>
      <c r="C479" s="387"/>
      <c r="D479" s="462" t="s">
        <v>917</v>
      </c>
      <c r="E479" s="388" t="s">
        <v>918</v>
      </c>
      <c r="F479" s="473"/>
      <c r="G479" s="386" t="s">
        <v>758</v>
      </c>
      <c r="H479" s="400" t="s">
        <v>82</v>
      </c>
      <c r="I479" s="390">
        <v>1</v>
      </c>
      <c r="J479" s="399"/>
      <c r="K479" s="397">
        <v>1</v>
      </c>
      <c r="L479" s="392"/>
      <c r="M479" s="395"/>
      <c r="N479" s="395"/>
      <c r="O479" s="395"/>
    </row>
    <row r="480" spans="1:15" s="407" customFormat="1" ht="12" customHeight="1" outlineLevel="2">
      <c r="A480" s="415"/>
      <c r="B480" s="549"/>
      <c r="C480" s="387"/>
      <c r="D480" s="462" t="s">
        <v>919</v>
      </c>
      <c r="E480" s="388" t="s">
        <v>920</v>
      </c>
      <c r="F480" s="473"/>
      <c r="G480" s="386" t="s">
        <v>758</v>
      </c>
      <c r="H480" s="400" t="s">
        <v>82</v>
      </c>
      <c r="I480" s="390">
        <v>1</v>
      </c>
      <c r="J480" s="399"/>
      <c r="K480" s="397">
        <v>1</v>
      </c>
      <c r="L480" s="392"/>
      <c r="M480" s="395"/>
      <c r="N480" s="395"/>
      <c r="O480" s="395"/>
    </row>
    <row r="481" spans="1:15" s="407" customFormat="1" ht="12" customHeight="1" outlineLevel="2">
      <c r="A481" s="415"/>
      <c r="B481" s="549"/>
      <c r="C481" s="387"/>
      <c r="D481" s="462" t="s">
        <v>921</v>
      </c>
      <c r="E481" s="388" t="s">
        <v>922</v>
      </c>
      <c r="F481" s="473"/>
      <c r="G481" s="386" t="s">
        <v>758</v>
      </c>
      <c r="H481" s="400" t="s">
        <v>82</v>
      </c>
      <c r="I481" s="390">
        <v>1</v>
      </c>
      <c r="J481" s="399"/>
      <c r="K481" s="397">
        <v>1</v>
      </c>
      <c r="L481" s="392"/>
      <c r="M481" s="395"/>
      <c r="N481" s="395"/>
      <c r="O481" s="395"/>
    </row>
    <row r="482" spans="1:15" s="407" customFormat="1" ht="12" customHeight="1" outlineLevel="2">
      <c r="A482" s="415"/>
      <c r="B482" s="549"/>
      <c r="C482" s="387"/>
      <c r="D482" s="462" t="s">
        <v>923</v>
      </c>
      <c r="E482" s="388" t="s">
        <v>924</v>
      </c>
      <c r="F482" s="473"/>
      <c r="G482" s="386" t="s">
        <v>758</v>
      </c>
      <c r="H482" s="400" t="s">
        <v>82</v>
      </c>
      <c r="I482" s="390">
        <v>1</v>
      </c>
      <c r="J482" s="399"/>
      <c r="K482" s="397">
        <v>1</v>
      </c>
      <c r="L482" s="392"/>
      <c r="M482" s="395"/>
      <c r="N482" s="395"/>
      <c r="O482" s="395"/>
    </row>
    <row r="483" spans="1:15" s="407" customFormat="1" ht="12" customHeight="1" outlineLevel="2">
      <c r="A483" s="415"/>
      <c r="B483" s="549"/>
      <c r="C483" s="387"/>
      <c r="D483" s="462" t="s">
        <v>925</v>
      </c>
      <c r="E483" s="388" t="s">
        <v>926</v>
      </c>
      <c r="F483" s="473"/>
      <c r="G483" s="386" t="s">
        <v>758</v>
      </c>
      <c r="H483" s="400" t="s">
        <v>82</v>
      </c>
      <c r="I483" s="390">
        <v>1</v>
      </c>
      <c r="J483" s="399"/>
      <c r="K483" s="397">
        <v>1</v>
      </c>
      <c r="L483" s="392"/>
      <c r="M483" s="395"/>
      <c r="N483" s="395"/>
      <c r="O483" s="395"/>
    </row>
    <row r="484" spans="1:15" s="407" customFormat="1" ht="12" customHeight="1" outlineLevel="2">
      <c r="A484" s="415"/>
      <c r="B484" s="549"/>
      <c r="C484" s="387"/>
      <c r="D484" s="462" t="s">
        <v>927</v>
      </c>
      <c r="E484" s="388" t="s">
        <v>928</v>
      </c>
      <c r="F484" s="473"/>
      <c r="G484" s="386" t="s">
        <v>758</v>
      </c>
      <c r="H484" s="400" t="s">
        <v>82</v>
      </c>
      <c r="I484" s="390">
        <v>1</v>
      </c>
      <c r="J484" s="399"/>
      <c r="K484" s="397">
        <v>1</v>
      </c>
      <c r="L484" s="392"/>
      <c r="M484" s="395"/>
      <c r="N484" s="395"/>
      <c r="O484" s="395"/>
    </row>
    <row r="485" spans="1:15" s="407" customFormat="1" ht="12" customHeight="1" outlineLevel="2">
      <c r="A485" s="415"/>
      <c r="B485" s="549"/>
      <c r="C485" s="387"/>
      <c r="D485" s="462" t="s">
        <v>929</v>
      </c>
      <c r="E485" s="388" t="s">
        <v>930</v>
      </c>
      <c r="F485" s="473"/>
      <c r="G485" s="386" t="s">
        <v>758</v>
      </c>
      <c r="H485" s="400" t="s">
        <v>82</v>
      </c>
      <c r="I485" s="390">
        <v>1</v>
      </c>
      <c r="J485" s="399"/>
      <c r="K485" s="397">
        <v>1</v>
      </c>
      <c r="L485" s="392"/>
      <c r="M485" s="395"/>
      <c r="N485" s="395"/>
      <c r="O485" s="395"/>
    </row>
    <row r="486" spans="1:15" s="407" customFormat="1" ht="12" customHeight="1" outlineLevel="2">
      <c r="A486" s="415"/>
      <c r="B486" s="549"/>
      <c r="C486" s="387"/>
      <c r="D486" s="462" t="s">
        <v>931</v>
      </c>
      <c r="E486" s="388" t="s">
        <v>932</v>
      </c>
      <c r="F486" s="473"/>
      <c r="G486" s="386" t="s">
        <v>758</v>
      </c>
      <c r="H486" s="400" t="s">
        <v>82</v>
      </c>
      <c r="I486" s="390">
        <v>1</v>
      </c>
      <c r="J486" s="399"/>
      <c r="K486" s="397">
        <v>1</v>
      </c>
      <c r="L486" s="392"/>
      <c r="M486" s="395"/>
      <c r="N486" s="395"/>
      <c r="O486" s="395"/>
    </row>
    <row r="487" spans="1:15" s="407" customFormat="1" ht="12" customHeight="1" outlineLevel="2">
      <c r="A487" s="415"/>
      <c r="B487" s="549"/>
      <c r="C487" s="387"/>
      <c r="D487" s="462" t="s">
        <v>933</v>
      </c>
      <c r="E487" s="388" t="s">
        <v>934</v>
      </c>
      <c r="F487" s="473"/>
      <c r="G487" s="386" t="s">
        <v>758</v>
      </c>
      <c r="H487" s="400" t="s">
        <v>82</v>
      </c>
      <c r="I487" s="390">
        <v>1</v>
      </c>
      <c r="J487" s="399"/>
      <c r="K487" s="397">
        <v>1</v>
      </c>
      <c r="L487" s="392"/>
      <c r="M487" s="395"/>
      <c r="N487" s="395"/>
      <c r="O487" s="395"/>
    </row>
    <row r="488" spans="1:15" s="407" customFormat="1" ht="12" customHeight="1" outlineLevel="2">
      <c r="A488" s="415"/>
      <c r="B488" s="549"/>
      <c r="C488" s="387"/>
      <c r="D488" s="462" t="s">
        <v>935</v>
      </c>
      <c r="E488" s="388" t="s">
        <v>936</v>
      </c>
      <c r="F488" s="473"/>
      <c r="G488" s="386" t="s">
        <v>758</v>
      </c>
      <c r="H488" s="400" t="s">
        <v>82</v>
      </c>
      <c r="I488" s="390">
        <v>1</v>
      </c>
      <c r="J488" s="399"/>
      <c r="K488" s="397">
        <v>1</v>
      </c>
      <c r="L488" s="392"/>
      <c r="M488" s="395"/>
      <c r="N488" s="395"/>
      <c r="O488" s="395"/>
    </row>
    <row r="489" spans="1:15" s="407" customFormat="1" ht="12" customHeight="1" outlineLevel="2">
      <c r="A489" s="415"/>
      <c r="B489" s="549"/>
      <c r="C489" s="387"/>
      <c r="D489" s="462" t="s">
        <v>937</v>
      </c>
      <c r="E489" s="388" t="s">
        <v>938</v>
      </c>
      <c r="F489" s="473"/>
      <c r="G489" s="386" t="s">
        <v>758</v>
      </c>
      <c r="H489" s="400" t="s">
        <v>82</v>
      </c>
      <c r="I489" s="390">
        <v>1</v>
      </c>
      <c r="J489" s="399"/>
      <c r="K489" s="397">
        <v>1</v>
      </c>
      <c r="L489" s="392"/>
      <c r="M489" s="395"/>
      <c r="N489" s="395"/>
      <c r="O489" s="395"/>
    </row>
    <row r="490" spans="1:15" s="407" customFormat="1" ht="12" customHeight="1" outlineLevel="2">
      <c r="A490" s="415"/>
      <c r="B490" s="549"/>
      <c r="C490" s="387"/>
      <c r="D490" s="462" t="s">
        <v>939</v>
      </c>
      <c r="E490" s="388" t="s">
        <v>940</v>
      </c>
      <c r="F490" s="473"/>
      <c r="G490" s="386" t="s">
        <v>758</v>
      </c>
      <c r="H490" s="400" t="s">
        <v>82</v>
      </c>
      <c r="I490" s="390">
        <v>1</v>
      </c>
      <c r="J490" s="399"/>
      <c r="K490" s="397">
        <v>1</v>
      </c>
      <c r="L490" s="392"/>
      <c r="M490" s="395"/>
      <c r="N490" s="395"/>
      <c r="O490" s="395"/>
    </row>
    <row r="491" spans="1:15" s="407" customFormat="1" ht="12" customHeight="1" outlineLevel="2">
      <c r="A491" s="415"/>
      <c r="B491" s="549"/>
      <c r="C491" s="387"/>
      <c r="D491" s="462" t="s">
        <v>941</v>
      </c>
      <c r="E491" s="388" t="s">
        <v>942</v>
      </c>
      <c r="F491" s="473"/>
      <c r="G491" s="386" t="s">
        <v>758</v>
      </c>
      <c r="H491" s="400" t="s">
        <v>82</v>
      </c>
      <c r="I491" s="390">
        <v>1</v>
      </c>
      <c r="J491" s="399"/>
      <c r="K491" s="397">
        <v>1</v>
      </c>
      <c r="L491" s="392"/>
      <c r="M491" s="395"/>
      <c r="N491" s="395"/>
      <c r="O491" s="395"/>
    </row>
    <row r="492" spans="1:15" s="407" customFormat="1" ht="12" customHeight="1" outlineLevel="2">
      <c r="A492" s="415"/>
      <c r="B492" s="549"/>
      <c r="C492" s="387"/>
      <c r="D492" s="462" t="s">
        <v>943</v>
      </c>
      <c r="E492" s="388" t="s">
        <v>944</v>
      </c>
      <c r="F492" s="473"/>
      <c r="G492" s="386" t="s">
        <v>758</v>
      </c>
      <c r="H492" s="400" t="s">
        <v>82</v>
      </c>
      <c r="I492" s="390">
        <v>1</v>
      </c>
      <c r="J492" s="399"/>
      <c r="K492" s="397">
        <v>1</v>
      </c>
      <c r="L492" s="392"/>
      <c r="M492" s="395"/>
      <c r="N492" s="395"/>
      <c r="O492" s="395"/>
    </row>
    <row r="493" spans="1:15" s="407" customFormat="1" ht="12" customHeight="1" outlineLevel="2">
      <c r="A493" s="415"/>
      <c r="B493" s="549"/>
      <c r="C493" s="387"/>
      <c r="D493" s="462" t="s">
        <v>945</v>
      </c>
      <c r="E493" s="388" t="s">
        <v>946</v>
      </c>
      <c r="F493" s="473"/>
      <c r="G493" s="386" t="s">
        <v>758</v>
      </c>
      <c r="H493" s="400" t="s">
        <v>82</v>
      </c>
      <c r="I493" s="390">
        <v>1</v>
      </c>
      <c r="J493" s="399"/>
      <c r="K493" s="397">
        <v>1</v>
      </c>
      <c r="L493" s="392"/>
      <c r="M493" s="395"/>
      <c r="N493" s="395"/>
      <c r="O493" s="395"/>
    </row>
    <row r="494" spans="1:15" s="407" customFormat="1" ht="12" customHeight="1" outlineLevel="2">
      <c r="A494" s="415"/>
      <c r="B494" s="549"/>
      <c r="C494" s="387"/>
      <c r="D494" s="462" t="s">
        <v>947</v>
      </c>
      <c r="E494" s="388" t="s">
        <v>948</v>
      </c>
      <c r="F494" s="473"/>
      <c r="G494" s="386" t="s">
        <v>758</v>
      </c>
      <c r="H494" s="400" t="s">
        <v>82</v>
      </c>
      <c r="I494" s="390">
        <v>1</v>
      </c>
      <c r="J494" s="399"/>
      <c r="K494" s="397">
        <v>1</v>
      </c>
      <c r="L494" s="392"/>
      <c r="M494" s="395"/>
      <c r="N494" s="395"/>
      <c r="O494" s="395"/>
    </row>
    <row r="495" spans="1:15" s="407" customFormat="1" ht="12" customHeight="1" outlineLevel="2">
      <c r="A495" s="415"/>
      <c r="B495" s="549"/>
      <c r="C495" s="387"/>
      <c r="D495" s="462" t="s">
        <v>949</v>
      </c>
      <c r="E495" s="388" t="s">
        <v>950</v>
      </c>
      <c r="F495" s="473"/>
      <c r="G495" s="386" t="s">
        <v>758</v>
      </c>
      <c r="H495" s="400" t="s">
        <v>82</v>
      </c>
      <c r="I495" s="390">
        <v>1</v>
      </c>
      <c r="J495" s="399"/>
      <c r="K495" s="397">
        <v>1</v>
      </c>
      <c r="L495" s="392"/>
      <c r="M495" s="395"/>
      <c r="N495" s="395"/>
      <c r="O495" s="395"/>
    </row>
    <row r="496" spans="1:15" s="407" customFormat="1" ht="12" customHeight="1" outlineLevel="2">
      <c r="A496" s="415"/>
      <c r="B496" s="549"/>
      <c r="C496" s="387"/>
      <c r="D496" s="462" t="s">
        <v>951</v>
      </c>
      <c r="E496" s="388" t="s">
        <v>952</v>
      </c>
      <c r="F496" s="473"/>
      <c r="G496" s="386" t="s">
        <v>758</v>
      </c>
      <c r="H496" s="400" t="s">
        <v>82</v>
      </c>
      <c r="I496" s="390">
        <v>1</v>
      </c>
      <c r="J496" s="399"/>
      <c r="K496" s="397">
        <v>1</v>
      </c>
      <c r="L496" s="392"/>
      <c r="M496" s="395"/>
      <c r="N496" s="395"/>
      <c r="O496" s="395"/>
    </row>
    <row r="497" spans="1:15" s="407" customFormat="1" ht="12" customHeight="1" outlineLevel="2">
      <c r="A497" s="415"/>
      <c r="B497" s="549"/>
      <c r="C497" s="387"/>
      <c r="D497" s="462" t="s">
        <v>953</v>
      </c>
      <c r="E497" s="388" t="s">
        <v>954</v>
      </c>
      <c r="F497" s="473"/>
      <c r="G497" s="386" t="s">
        <v>758</v>
      </c>
      <c r="H497" s="400" t="s">
        <v>82</v>
      </c>
      <c r="I497" s="390">
        <v>1</v>
      </c>
      <c r="J497" s="399"/>
      <c r="K497" s="397">
        <v>1</v>
      </c>
      <c r="L497" s="392"/>
      <c r="M497" s="395"/>
      <c r="N497" s="395"/>
      <c r="O497" s="395"/>
    </row>
    <row r="498" spans="1:15" s="407" customFormat="1" ht="12" customHeight="1" outlineLevel="2">
      <c r="A498" s="415"/>
      <c r="B498" s="549"/>
      <c r="C498" s="387"/>
      <c r="D498" s="462" t="s">
        <v>955</v>
      </c>
      <c r="E498" s="388" t="s">
        <v>956</v>
      </c>
      <c r="F498" s="473"/>
      <c r="G498" s="386" t="s">
        <v>758</v>
      </c>
      <c r="H498" s="400" t="s">
        <v>82</v>
      </c>
      <c r="I498" s="390">
        <v>1</v>
      </c>
      <c r="J498" s="399"/>
      <c r="K498" s="397">
        <v>1</v>
      </c>
      <c r="L498" s="392"/>
      <c r="M498" s="395"/>
      <c r="N498" s="395"/>
      <c r="O498" s="395"/>
    </row>
    <row r="499" spans="1:15" s="407" customFormat="1" ht="12" customHeight="1" outlineLevel="2">
      <c r="A499" s="415"/>
      <c r="B499" s="549"/>
      <c r="C499" s="387"/>
      <c r="D499" s="462" t="s">
        <v>957</v>
      </c>
      <c r="E499" s="388" t="s">
        <v>958</v>
      </c>
      <c r="F499" s="473"/>
      <c r="G499" s="386" t="s">
        <v>758</v>
      </c>
      <c r="H499" s="400" t="s">
        <v>82</v>
      </c>
      <c r="I499" s="390">
        <v>1</v>
      </c>
      <c r="J499" s="399"/>
      <c r="K499" s="397">
        <v>1</v>
      </c>
      <c r="L499" s="392"/>
      <c r="M499" s="395"/>
      <c r="N499" s="395"/>
      <c r="O499" s="395"/>
    </row>
    <row r="500" spans="1:15" s="407" customFormat="1" ht="12" customHeight="1" outlineLevel="2">
      <c r="A500" s="415"/>
      <c r="B500" s="549"/>
      <c r="C500" s="387"/>
      <c r="D500" s="462" t="s">
        <v>959</v>
      </c>
      <c r="E500" s="388" t="s">
        <v>960</v>
      </c>
      <c r="F500" s="473"/>
      <c r="G500" s="386" t="s">
        <v>758</v>
      </c>
      <c r="H500" s="400" t="s">
        <v>82</v>
      </c>
      <c r="I500" s="390">
        <v>1</v>
      </c>
      <c r="J500" s="399"/>
      <c r="K500" s="397">
        <v>1</v>
      </c>
      <c r="L500" s="392"/>
      <c r="M500" s="395"/>
      <c r="N500" s="395"/>
      <c r="O500" s="395"/>
    </row>
    <row r="501" spans="1:15" s="407" customFormat="1" ht="12" customHeight="1" outlineLevel="2">
      <c r="A501" s="415"/>
      <c r="B501" s="549"/>
      <c r="C501" s="387"/>
      <c r="D501" s="462" t="s">
        <v>961</v>
      </c>
      <c r="E501" s="388" t="s">
        <v>962</v>
      </c>
      <c r="F501" s="473"/>
      <c r="G501" s="386" t="s">
        <v>758</v>
      </c>
      <c r="H501" s="400" t="s">
        <v>82</v>
      </c>
      <c r="I501" s="390">
        <v>1</v>
      </c>
      <c r="J501" s="399"/>
      <c r="K501" s="397">
        <v>1</v>
      </c>
      <c r="L501" s="392"/>
      <c r="M501" s="395"/>
      <c r="N501" s="395"/>
      <c r="O501" s="395"/>
    </row>
    <row r="502" spans="1:15" s="407" customFormat="1" ht="12" customHeight="1" outlineLevel="2">
      <c r="A502" s="415"/>
      <c r="B502" s="549"/>
      <c r="C502" s="387"/>
      <c r="D502" s="462" t="s">
        <v>963</v>
      </c>
      <c r="E502" s="388" t="s">
        <v>964</v>
      </c>
      <c r="F502" s="473"/>
      <c r="G502" s="386" t="s">
        <v>758</v>
      </c>
      <c r="H502" s="400" t="s">
        <v>82</v>
      </c>
      <c r="I502" s="390">
        <v>1</v>
      </c>
      <c r="J502" s="399"/>
      <c r="K502" s="397">
        <v>1</v>
      </c>
      <c r="L502" s="392"/>
      <c r="M502" s="395"/>
      <c r="N502" s="395"/>
      <c r="O502" s="395"/>
    </row>
    <row r="503" spans="1:15" s="407" customFormat="1" ht="12" customHeight="1" outlineLevel="2">
      <c r="A503" s="415"/>
      <c r="B503" s="549"/>
      <c r="C503" s="387"/>
      <c r="D503" s="462" t="s">
        <v>965</v>
      </c>
      <c r="E503" s="388" t="s">
        <v>966</v>
      </c>
      <c r="F503" s="473"/>
      <c r="G503" s="386" t="s">
        <v>758</v>
      </c>
      <c r="H503" s="400" t="s">
        <v>82</v>
      </c>
      <c r="I503" s="390">
        <v>1</v>
      </c>
      <c r="J503" s="399"/>
      <c r="K503" s="397">
        <v>1</v>
      </c>
      <c r="L503" s="392"/>
      <c r="M503" s="395"/>
      <c r="N503" s="395"/>
      <c r="O503" s="395"/>
    </row>
    <row r="504" spans="1:15" s="407" customFormat="1" ht="12" customHeight="1" outlineLevel="2">
      <c r="A504" s="415"/>
      <c r="B504" s="549"/>
      <c r="C504" s="387"/>
      <c r="D504" s="462" t="s">
        <v>967</v>
      </c>
      <c r="E504" s="388" t="s">
        <v>968</v>
      </c>
      <c r="F504" s="473"/>
      <c r="G504" s="386" t="s">
        <v>758</v>
      </c>
      <c r="H504" s="400" t="s">
        <v>82</v>
      </c>
      <c r="I504" s="390">
        <v>1</v>
      </c>
      <c r="J504" s="399"/>
      <c r="K504" s="397">
        <v>1</v>
      </c>
      <c r="L504" s="392"/>
      <c r="M504" s="395"/>
      <c r="N504" s="395"/>
      <c r="O504" s="395"/>
    </row>
    <row r="505" spans="1:15" s="407" customFormat="1" ht="12" customHeight="1" outlineLevel="2">
      <c r="A505" s="415"/>
      <c r="B505" s="549"/>
      <c r="C505" s="387"/>
      <c r="D505" s="462" t="s">
        <v>969</v>
      </c>
      <c r="E505" s="388" t="s">
        <v>970</v>
      </c>
      <c r="F505" s="473"/>
      <c r="G505" s="386" t="s">
        <v>758</v>
      </c>
      <c r="H505" s="400" t="s">
        <v>82</v>
      </c>
      <c r="I505" s="390">
        <v>1</v>
      </c>
      <c r="J505" s="399"/>
      <c r="K505" s="397">
        <v>1</v>
      </c>
      <c r="L505" s="392"/>
      <c r="M505" s="395"/>
      <c r="N505" s="395"/>
      <c r="O505" s="395"/>
    </row>
    <row r="506" spans="1:15" s="407" customFormat="1" ht="12" customHeight="1" outlineLevel="2">
      <c r="A506" s="415"/>
      <c r="B506" s="549"/>
      <c r="C506" s="387"/>
      <c r="D506" s="462" t="s">
        <v>971</v>
      </c>
      <c r="E506" s="388" t="s">
        <v>972</v>
      </c>
      <c r="F506" s="473"/>
      <c r="G506" s="386" t="s">
        <v>758</v>
      </c>
      <c r="H506" s="400" t="s">
        <v>82</v>
      </c>
      <c r="I506" s="390">
        <v>1</v>
      </c>
      <c r="J506" s="399"/>
      <c r="K506" s="397">
        <v>1</v>
      </c>
      <c r="L506" s="392"/>
      <c r="M506" s="395"/>
      <c r="N506" s="395"/>
      <c r="O506" s="395"/>
    </row>
    <row r="507" spans="1:15" s="407" customFormat="1" ht="12" customHeight="1" outlineLevel="2">
      <c r="A507" s="415"/>
      <c r="B507" s="549"/>
      <c r="C507" s="387"/>
      <c r="D507" s="462" t="s">
        <v>973</v>
      </c>
      <c r="E507" s="388" t="s">
        <v>974</v>
      </c>
      <c r="F507" s="473"/>
      <c r="G507" s="386" t="s">
        <v>758</v>
      </c>
      <c r="H507" s="400" t="s">
        <v>82</v>
      </c>
      <c r="I507" s="390">
        <v>1</v>
      </c>
      <c r="J507" s="399"/>
      <c r="K507" s="397">
        <v>1</v>
      </c>
      <c r="L507" s="392"/>
      <c r="M507" s="395"/>
      <c r="N507" s="395"/>
      <c r="O507" s="395"/>
    </row>
    <row r="508" spans="1:15" s="407" customFormat="1" ht="12" customHeight="1" outlineLevel="2">
      <c r="A508" s="415"/>
      <c r="B508" s="549"/>
      <c r="C508" s="387"/>
      <c r="D508" s="462" t="s">
        <v>975</v>
      </c>
      <c r="E508" s="388" t="s">
        <v>976</v>
      </c>
      <c r="F508" s="473"/>
      <c r="G508" s="386" t="s">
        <v>758</v>
      </c>
      <c r="H508" s="400" t="s">
        <v>82</v>
      </c>
      <c r="I508" s="390">
        <v>1</v>
      </c>
      <c r="J508" s="399"/>
      <c r="K508" s="397">
        <v>1</v>
      </c>
      <c r="L508" s="392"/>
      <c r="M508" s="395"/>
      <c r="N508" s="395"/>
      <c r="O508" s="395"/>
    </row>
    <row r="509" spans="1:15" s="407" customFormat="1" ht="12" customHeight="1" outlineLevel="2">
      <c r="A509" s="415"/>
      <c r="B509" s="549"/>
      <c r="C509" s="387"/>
      <c r="D509" s="462" t="s">
        <v>977</v>
      </c>
      <c r="E509" s="388" t="s">
        <v>978</v>
      </c>
      <c r="F509" s="473"/>
      <c r="G509" s="386" t="s">
        <v>758</v>
      </c>
      <c r="H509" s="400" t="s">
        <v>82</v>
      </c>
      <c r="I509" s="390">
        <v>1</v>
      </c>
      <c r="J509" s="399"/>
      <c r="K509" s="397">
        <v>1</v>
      </c>
      <c r="L509" s="392"/>
      <c r="M509" s="395"/>
      <c r="N509" s="395"/>
      <c r="O509" s="395"/>
    </row>
    <row r="510" spans="1:15" s="407" customFormat="1" ht="12" customHeight="1" outlineLevel="2">
      <c r="A510" s="415"/>
      <c r="B510" s="549"/>
      <c r="C510" s="387"/>
      <c r="D510" s="462" t="s">
        <v>979</v>
      </c>
      <c r="E510" s="388" t="s">
        <v>980</v>
      </c>
      <c r="F510" s="473"/>
      <c r="G510" s="386" t="s">
        <v>758</v>
      </c>
      <c r="H510" s="400" t="s">
        <v>82</v>
      </c>
      <c r="I510" s="390">
        <v>1</v>
      </c>
      <c r="J510" s="399"/>
      <c r="K510" s="397">
        <v>1</v>
      </c>
      <c r="L510" s="392"/>
      <c r="M510" s="395"/>
      <c r="N510" s="395"/>
      <c r="O510" s="395"/>
    </row>
    <row r="511" spans="1:15" s="407" customFormat="1" ht="12" customHeight="1" outlineLevel="2">
      <c r="A511" s="415"/>
      <c r="B511" s="549"/>
      <c r="C511" s="387"/>
      <c r="D511" s="462" t="s">
        <v>981</v>
      </c>
      <c r="E511" s="388" t="s">
        <v>982</v>
      </c>
      <c r="F511" s="473"/>
      <c r="G511" s="386" t="s">
        <v>758</v>
      </c>
      <c r="H511" s="400" t="s">
        <v>82</v>
      </c>
      <c r="I511" s="390">
        <v>1</v>
      </c>
      <c r="J511" s="399"/>
      <c r="K511" s="397">
        <v>1</v>
      </c>
      <c r="L511" s="392"/>
      <c r="M511" s="395"/>
      <c r="N511" s="395"/>
      <c r="O511" s="395"/>
    </row>
    <row r="512" spans="1:15" s="407" customFormat="1" ht="12" customHeight="1" outlineLevel="2">
      <c r="A512" s="415"/>
      <c r="B512" s="549"/>
      <c r="C512" s="387"/>
      <c r="D512" s="462" t="s">
        <v>983</v>
      </c>
      <c r="E512" s="388" t="s">
        <v>984</v>
      </c>
      <c r="F512" s="473"/>
      <c r="G512" s="386" t="s">
        <v>758</v>
      </c>
      <c r="H512" s="400" t="s">
        <v>82</v>
      </c>
      <c r="I512" s="390">
        <v>1</v>
      </c>
      <c r="J512" s="399"/>
      <c r="K512" s="397">
        <v>1</v>
      </c>
      <c r="L512" s="392"/>
      <c r="M512" s="395"/>
      <c r="N512" s="395"/>
      <c r="O512" s="395"/>
    </row>
    <row r="513" spans="1:15" s="407" customFormat="1" ht="12" customHeight="1" outlineLevel="2">
      <c r="A513" s="415"/>
      <c r="B513" s="549"/>
      <c r="C513" s="387"/>
      <c r="D513" s="462" t="s">
        <v>985</v>
      </c>
      <c r="E513" s="388" t="s">
        <v>986</v>
      </c>
      <c r="F513" s="473"/>
      <c r="G513" s="386" t="s">
        <v>758</v>
      </c>
      <c r="H513" s="400" t="s">
        <v>82</v>
      </c>
      <c r="I513" s="390">
        <v>1</v>
      </c>
      <c r="J513" s="399"/>
      <c r="K513" s="397">
        <v>1</v>
      </c>
      <c r="L513" s="392"/>
      <c r="M513" s="395"/>
      <c r="N513" s="395"/>
      <c r="O513" s="395"/>
    </row>
    <row r="514" spans="1:15" s="407" customFormat="1" ht="12" customHeight="1" outlineLevel="2">
      <c r="A514" s="415"/>
      <c r="B514" s="549"/>
      <c r="C514" s="387"/>
      <c r="D514" s="462" t="s">
        <v>987</v>
      </c>
      <c r="E514" s="388" t="s">
        <v>988</v>
      </c>
      <c r="F514" s="473"/>
      <c r="G514" s="386" t="s">
        <v>758</v>
      </c>
      <c r="H514" s="400" t="s">
        <v>82</v>
      </c>
      <c r="I514" s="390">
        <v>1</v>
      </c>
      <c r="J514" s="399"/>
      <c r="K514" s="397">
        <v>1</v>
      </c>
      <c r="L514" s="392"/>
      <c r="M514" s="395"/>
      <c r="N514" s="395"/>
      <c r="O514" s="395"/>
    </row>
    <row r="515" spans="1:15" s="407" customFormat="1" ht="12" customHeight="1" outlineLevel="2">
      <c r="A515" s="415"/>
      <c r="B515" s="549"/>
      <c r="C515" s="387"/>
      <c r="D515" s="462" t="s">
        <v>989</v>
      </c>
      <c r="E515" s="388" t="s">
        <v>990</v>
      </c>
      <c r="F515" s="473"/>
      <c r="G515" s="386" t="s">
        <v>758</v>
      </c>
      <c r="H515" s="400" t="s">
        <v>82</v>
      </c>
      <c r="I515" s="390">
        <v>1</v>
      </c>
      <c r="J515" s="399"/>
      <c r="K515" s="397">
        <v>1</v>
      </c>
      <c r="L515" s="392"/>
      <c r="M515" s="395"/>
      <c r="N515" s="395"/>
      <c r="O515" s="395"/>
    </row>
    <row r="516" spans="1:15" s="407" customFormat="1" ht="12" customHeight="1" outlineLevel="2">
      <c r="A516" s="415"/>
      <c r="B516" s="549"/>
      <c r="C516" s="387"/>
      <c r="D516" s="462" t="s">
        <v>991</v>
      </c>
      <c r="E516" s="388" t="s">
        <v>992</v>
      </c>
      <c r="F516" s="473"/>
      <c r="G516" s="386" t="s">
        <v>758</v>
      </c>
      <c r="H516" s="400" t="s">
        <v>82</v>
      </c>
      <c r="I516" s="390">
        <v>1</v>
      </c>
      <c r="J516" s="399"/>
      <c r="K516" s="397">
        <v>1</v>
      </c>
      <c r="L516" s="392"/>
      <c r="M516" s="395"/>
      <c r="N516" s="395"/>
      <c r="O516" s="395"/>
    </row>
    <row r="517" spans="1:15" s="407" customFormat="1" ht="12" customHeight="1" outlineLevel="2">
      <c r="A517" s="415"/>
      <c r="B517" s="549"/>
      <c r="C517" s="387"/>
      <c r="D517" s="462" t="s">
        <v>993</v>
      </c>
      <c r="E517" s="388" t="s">
        <v>994</v>
      </c>
      <c r="F517" s="473"/>
      <c r="G517" s="386" t="s">
        <v>758</v>
      </c>
      <c r="H517" s="400" t="s">
        <v>82</v>
      </c>
      <c r="I517" s="390">
        <v>1</v>
      </c>
      <c r="J517" s="399"/>
      <c r="K517" s="397">
        <v>1</v>
      </c>
      <c r="L517" s="392"/>
      <c r="M517" s="395"/>
      <c r="N517" s="395"/>
      <c r="O517" s="395"/>
    </row>
    <row r="518" spans="1:15" s="407" customFormat="1" ht="12" customHeight="1" outlineLevel="2">
      <c r="A518" s="415"/>
      <c r="B518" s="549"/>
      <c r="C518" s="387"/>
      <c r="D518" s="462" t="s">
        <v>995</v>
      </c>
      <c r="E518" s="388" t="s">
        <v>996</v>
      </c>
      <c r="F518" s="473"/>
      <c r="G518" s="386" t="s">
        <v>758</v>
      </c>
      <c r="H518" s="400" t="s">
        <v>82</v>
      </c>
      <c r="I518" s="390">
        <v>1</v>
      </c>
      <c r="J518" s="399"/>
      <c r="K518" s="397">
        <v>1</v>
      </c>
      <c r="L518" s="392"/>
      <c r="M518" s="395"/>
      <c r="N518" s="395"/>
      <c r="O518" s="395"/>
    </row>
    <row r="519" spans="1:15" s="407" customFormat="1" ht="12" customHeight="1" outlineLevel="2">
      <c r="A519" s="415"/>
      <c r="B519" s="549"/>
      <c r="C519" s="387"/>
      <c r="D519" s="462" t="s">
        <v>997</v>
      </c>
      <c r="E519" s="388" t="s">
        <v>998</v>
      </c>
      <c r="F519" s="473"/>
      <c r="G519" s="386" t="s">
        <v>758</v>
      </c>
      <c r="H519" s="400" t="s">
        <v>82</v>
      </c>
      <c r="I519" s="390">
        <v>1</v>
      </c>
      <c r="J519" s="399"/>
      <c r="K519" s="397">
        <v>1</v>
      </c>
      <c r="L519" s="392"/>
      <c r="M519" s="395"/>
      <c r="N519" s="395"/>
      <c r="O519" s="395"/>
    </row>
    <row r="520" spans="1:15" s="407" customFormat="1" ht="12" customHeight="1" outlineLevel="2">
      <c r="A520" s="415"/>
      <c r="B520" s="549"/>
      <c r="C520" s="387"/>
      <c r="D520" s="462" t="s">
        <v>999</v>
      </c>
      <c r="E520" s="388" t="s">
        <v>1000</v>
      </c>
      <c r="F520" s="473"/>
      <c r="G520" s="386" t="s">
        <v>758</v>
      </c>
      <c r="H520" s="400" t="s">
        <v>82</v>
      </c>
      <c r="I520" s="390">
        <v>1</v>
      </c>
      <c r="J520" s="399"/>
      <c r="K520" s="397">
        <v>1</v>
      </c>
      <c r="L520" s="392"/>
      <c r="M520" s="395"/>
      <c r="N520" s="395"/>
      <c r="O520" s="395"/>
    </row>
    <row r="521" spans="1:15" s="407" customFormat="1" ht="12" customHeight="1" outlineLevel="2">
      <c r="A521" s="415"/>
      <c r="B521" s="549"/>
      <c r="C521" s="387"/>
      <c r="D521" s="462" t="s">
        <v>1001</v>
      </c>
      <c r="E521" s="388" t="s">
        <v>1002</v>
      </c>
      <c r="F521" s="473"/>
      <c r="G521" s="386" t="s">
        <v>758</v>
      </c>
      <c r="H521" s="400" t="s">
        <v>82</v>
      </c>
      <c r="I521" s="390">
        <v>1</v>
      </c>
      <c r="J521" s="399"/>
      <c r="K521" s="397">
        <v>1</v>
      </c>
      <c r="L521" s="392"/>
      <c r="M521" s="395"/>
      <c r="N521" s="395"/>
      <c r="O521" s="395"/>
    </row>
    <row r="522" spans="1:15" s="407" customFormat="1" ht="12" customHeight="1" outlineLevel="2">
      <c r="A522" s="415"/>
      <c r="B522" s="549"/>
      <c r="C522" s="387"/>
      <c r="D522" s="462" t="s">
        <v>1003</v>
      </c>
      <c r="E522" s="388" t="s">
        <v>1004</v>
      </c>
      <c r="F522" s="473"/>
      <c r="G522" s="386" t="s">
        <v>758</v>
      </c>
      <c r="H522" s="400" t="s">
        <v>82</v>
      </c>
      <c r="I522" s="390">
        <v>1</v>
      </c>
      <c r="J522" s="399"/>
      <c r="K522" s="397">
        <v>1</v>
      </c>
      <c r="L522" s="392"/>
      <c r="M522" s="395"/>
      <c r="N522" s="395"/>
      <c r="O522" s="395"/>
    </row>
    <row r="523" spans="1:15" s="407" customFormat="1" ht="12" customHeight="1" outlineLevel="2">
      <c r="A523" s="415"/>
      <c r="B523" s="549"/>
      <c r="C523" s="387"/>
      <c r="D523" s="462" t="s">
        <v>1005</v>
      </c>
      <c r="E523" s="388" t="s">
        <v>1006</v>
      </c>
      <c r="F523" s="473"/>
      <c r="G523" s="386" t="s">
        <v>758</v>
      </c>
      <c r="H523" s="400" t="s">
        <v>82</v>
      </c>
      <c r="I523" s="390">
        <v>1</v>
      </c>
      <c r="J523" s="399"/>
      <c r="K523" s="397">
        <v>1</v>
      </c>
      <c r="L523" s="392"/>
      <c r="M523" s="395"/>
      <c r="N523" s="395"/>
      <c r="O523" s="395"/>
    </row>
    <row r="524" spans="1:15" s="407" customFormat="1" ht="12" customHeight="1" outlineLevel="2">
      <c r="A524" s="415"/>
      <c r="B524" s="549"/>
      <c r="C524" s="387"/>
      <c r="D524" s="462" t="s">
        <v>1007</v>
      </c>
      <c r="E524" s="388" t="s">
        <v>1008</v>
      </c>
      <c r="F524" s="473"/>
      <c r="G524" s="386" t="s">
        <v>758</v>
      </c>
      <c r="H524" s="400" t="s">
        <v>82</v>
      </c>
      <c r="I524" s="390">
        <v>1</v>
      </c>
      <c r="J524" s="399"/>
      <c r="K524" s="397">
        <v>1</v>
      </c>
      <c r="L524" s="392"/>
      <c r="M524" s="395"/>
      <c r="N524" s="395"/>
      <c r="O524" s="395"/>
    </row>
    <row r="525" spans="1:15" s="407" customFormat="1" ht="12" customHeight="1" outlineLevel="2">
      <c r="A525" s="415"/>
      <c r="B525" s="549"/>
      <c r="C525" s="387"/>
      <c r="D525" s="462" t="s">
        <v>1009</v>
      </c>
      <c r="E525" s="388" t="s">
        <v>1010</v>
      </c>
      <c r="F525" s="473"/>
      <c r="G525" s="386" t="s">
        <v>758</v>
      </c>
      <c r="H525" s="400" t="s">
        <v>82</v>
      </c>
      <c r="I525" s="390">
        <v>1</v>
      </c>
      <c r="J525" s="399"/>
      <c r="K525" s="397">
        <v>1</v>
      </c>
      <c r="L525" s="392"/>
      <c r="M525" s="395"/>
      <c r="N525" s="395"/>
      <c r="O525" s="395"/>
    </row>
    <row r="526" spans="1:15" s="407" customFormat="1" ht="12" customHeight="1" outlineLevel="2">
      <c r="A526" s="415"/>
      <c r="B526" s="549"/>
      <c r="C526" s="387"/>
      <c r="D526" s="462" t="s">
        <v>1011</v>
      </c>
      <c r="E526" s="388" t="s">
        <v>1012</v>
      </c>
      <c r="F526" s="473"/>
      <c r="G526" s="386" t="s">
        <v>758</v>
      </c>
      <c r="H526" s="400" t="s">
        <v>82</v>
      </c>
      <c r="I526" s="390">
        <v>1</v>
      </c>
      <c r="J526" s="399"/>
      <c r="K526" s="397">
        <v>1</v>
      </c>
      <c r="L526" s="392"/>
      <c r="M526" s="395"/>
      <c r="N526" s="395"/>
      <c r="O526" s="395"/>
    </row>
    <row r="527" spans="1:15" s="407" customFormat="1" ht="12" customHeight="1" outlineLevel="2">
      <c r="A527" s="415"/>
      <c r="B527" s="549"/>
      <c r="C527" s="387"/>
      <c r="D527" s="462" t="s">
        <v>1013</v>
      </c>
      <c r="E527" s="388" t="s">
        <v>1014</v>
      </c>
      <c r="F527" s="473"/>
      <c r="G527" s="386" t="s">
        <v>758</v>
      </c>
      <c r="H527" s="400" t="s">
        <v>82</v>
      </c>
      <c r="I527" s="390">
        <v>1</v>
      </c>
      <c r="J527" s="399"/>
      <c r="K527" s="397">
        <v>1</v>
      </c>
      <c r="L527" s="392"/>
      <c r="M527" s="395"/>
      <c r="N527" s="395"/>
      <c r="O527" s="395"/>
    </row>
    <row r="528" spans="1:15" s="407" customFormat="1" ht="12" customHeight="1" outlineLevel="2">
      <c r="A528" s="415"/>
      <c r="B528" s="549"/>
      <c r="C528" s="387"/>
      <c r="D528" s="462" t="s">
        <v>1015</v>
      </c>
      <c r="E528" s="388" t="s">
        <v>1016</v>
      </c>
      <c r="F528" s="473"/>
      <c r="G528" s="386" t="s">
        <v>758</v>
      </c>
      <c r="H528" s="400" t="s">
        <v>82</v>
      </c>
      <c r="I528" s="390">
        <v>1</v>
      </c>
      <c r="J528" s="399"/>
      <c r="K528" s="397">
        <v>1</v>
      </c>
      <c r="L528" s="392"/>
      <c r="M528" s="395"/>
      <c r="N528" s="395"/>
      <c r="O528" s="395"/>
    </row>
    <row r="529" spans="1:15" s="407" customFormat="1" ht="12" customHeight="1" outlineLevel="2">
      <c r="A529" s="415"/>
      <c r="B529" s="549"/>
      <c r="C529" s="387"/>
      <c r="D529" s="462" t="s">
        <v>1017</v>
      </c>
      <c r="E529" s="388" t="s">
        <v>1018</v>
      </c>
      <c r="F529" s="473"/>
      <c r="G529" s="386" t="s">
        <v>758</v>
      </c>
      <c r="H529" s="400" t="s">
        <v>82</v>
      </c>
      <c r="I529" s="390">
        <v>1</v>
      </c>
      <c r="J529" s="399"/>
      <c r="K529" s="397">
        <v>1</v>
      </c>
      <c r="L529" s="392"/>
      <c r="M529" s="395"/>
      <c r="N529" s="395"/>
      <c r="O529" s="395"/>
    </row>
    <row r="530" spans="1:15" s="407" customFormat="1" ht="12" customHeight="1" outlineLevel="2">
      <c r="A530" s="415"/>
      <c r="B530" s="549"/>
      <c r="C530" s="387"/>
      <c r="D530" s="462" t="s">
        <v>1019</v>
      </c>
      <c r="E530" s="388" t="s">
        <v>1020</v>
      </c>
      <c r="F530" s="473"/>
      <c r="G530" s="386" t="s">
        <v>758</v>
      </c>
      <c r="H530" s="400" t="s">
        <v>82</v>
      </c>
      <c r="I530" s="390">
        <v>1</v>
      </c>
      <c r="J530" s="399"/>
      <c r="K530" s="397">
        <v>1</v>
      </c>
      <c r="L530" s="392"/>
      <c r="M530" s="395"/>
      <c r="N530" s="395"/>
      <c r="O530" s="395"/>
    </row>
    <row r="531" spans="1:15" s="407" customFormat="1" ht="12" customHeight="1" outlineLevel="2">
      <c r="A531" s="415"/>
      <c r="B531" s="549"/>
      <c r="C531" s="387"/>
      <c r="D531" s="462" t="s">
        <v>1021</v>
      </c>
      <c r="E531" s="388" t="s">
        <v>1022</v>
      </c>
      <c r="F531" s="473"/>
      <c r="G531" s="386" t="s">
        <v>758</v>
      </c>
      <c r="H531" s="400" t="s">
        <v>82</v>
      </c>
      <c r="I531" s="390">
        <v>1</v>
      </c>
      <c r="J531" s="399"/>
      <c r="K531" s="397">
        <v>1</v>
      </c>
      <c r="L531" s="392"/>
      <c r="M531" s="395"/>
      <c r="N531" s="395"/>
      <c r="O531" s="395"/>
    </row>
    <row r="532" spans="1:15" s="407" customFormat="1" ht="12" customHeight="1" outlineLevel="2">
      <c r="A532" s="415"/>
      <c r="B532" s="549"/>
      <c r="C532" s="387"/>
      <c r="D532" s="462" t="s">
        <v>1023</v>
      </c>
      <c r="E532" s="388" t="s">
        <v>1024</v>
      </c>
      <c r="F532" s="473"/>
      <c r="G532" s="386" t="s">
        <v>758</v>
      </c>
      <c r="H532" s="400" t="s">
        <v>82</v>
      </c>
      <c r="I532" s="390">
        <v>1</v>
      </c>
      <c r="J532" s="399"/>
      <c r="K532" s="397">
        <v>1</v>
      </c>
      <c r="L532" s="392"/>
      <c r="M532" s="395"/>
      <c r="N532" s="395"/>
      <c r="O532" s="395"/>
    </row>
    <row r="533" spans="1:15" s="407" customFormat="1" ht="12" customHeight="1" outlineLevel="2">
      <c r="A533" s="415"/>
      <c r="B533" s="549"/>
      <c r="C533" s="387"/>
      <c r="D533" s="462" t="s">
        <v>1025</v>
      </c>
      <c r="E533" s="388" t="s">
        <v>1026</v>
      </c>
      <c r="F533" s="473"/>
      <c r="G533" s="386" t="s">
        <v>758</v>
      </c>
      <c r="H533" s="400" t="s">
        <v>82</v>
      </c>
      <c r="I533" s="390">
        <v>1</v>
      </c>
      <c r="J533" s="399"/>
      <c r="K533" s="397">
        <v>1</v>
      </c>
      <c r="L533" s="392"/>
      <c r="M533" s="395"/>
      <c r="N533" s="395"/>
      <c r="O533" s="395"/>
    </row>
    <row r="534" spans="1:15" s="407" customFormat="1" ht="12" customHeight="1" outlineLevel="2">
      <c r="A534" s="415"/>
      <c r="B534" s="549"/>
      <c r="C534" s="387"/>
      <c r="D534" s="462" t="s">
        <v>1027</v>
      </c>
      <c r="E534" s="388" t="s">
        <v>1028</v>
      </c>
      <c r="F534" s="473"/>
      <c r="G534" s="386" t="s">
        <v>758</v>
      </c>
      <c r="H534" s="400" t="s">
        <v>82</v>
      </c>
      <c r="I534" s="390">
        <v>1</v>
      </c>
      <c r="J534" s="399"/>
      <c r="K534" s="397">
        <v>1</v>
      </c>
      <c r="L534" s="392"/>
      <c r="M534" s="395"/>
      <c r="N534" s="395"/>
      <c r="O534" s="395"/>
    </row>
    <row r="535" spans="1:15" s="407" customFormat="1" ht="12" customHeight="1" outlineLevel="2">
      <c r="A535" s="415"/>
      <c r="B535" s="549"/>
      <c r="C535" s="387"/>
      <c r="D535" s="462" t="s">
        <v>1029</v>
      </c>
      <c r="E535" s="388" t="s">
        <v>1030</v>
      </c>
      <c r="F535" s="473"/>
      <c r="G535" s="386" t="s">
        <v>758</v>
      </c>
      <c r="H535" s="400" t="s">
        <v>82</v>
      </c>
      <c r="I535" s="390">
        <v>1</v>
      </c>
      <c r="J535" s="399"/>
      <c r="K535" s="397">
        <v>1</v>
      </c>
      <c r="L535" s="392"/>
      <c r="M535" s="395"/>
      <c r="N535" s="395"/>
      <c r="O535" s="395"/>
    </row>
    <row r="536" spans="1:15" s="407" customFormat="1" ht="12" customHeight="1" outlineLevel="2">
      <c r="A536" s="415"/>
      <c r="B536" s="549"/>
      <c r="C536" s="387"/>
      <c r="D536" s="462" t="s">
        <v>1031</v>
      </c>
      <c r="E536" s="388" t="s">
        <v>1032</v>
      </c>
      <c r="F536" s="473"/>
      <c r="G536" s="386" t="s">
        <v>758</v>
      </c>
      <c r="H536" s="400" t="s">
        <v>82</v>
      </c>
      <c r="I536" s="390">
        <v>1</v>
      </c>
      <c r="J536" s="399"/>
      <c r="K536" s="397">
        <v>1</v>
      </c>
      <c r="L536" s="392"/>
      <c r="M536" s="395"/>
      <c r="N536" s="395"/>
      <c r="O536" s="395"/>
    </row>
    <row r="537" spans="1:15" s="407" customFormat="1" ht="12" customHeight="1" outlineLevel="2">
      <c r="A537" s="415"/>
      <c r="B537" s="549"/>
      <c r="C537" s="387"/>
      <c r="D537" s="462" t="s">
        <v>1033</v>
      </c>
      <c r="E537" s="388" t="s">
        <v>1034</v>
      </c>
      <c r="F537" s="473"/>
      <c r="G537" s="386" t="s">
        <v>758</v>
      </c>
      <c r="H537" s="400" t="s">
        <v>82</v>
      </c>
      <c r="I537" s="390">
        <v>1</v>
      </c>
      <c r="J537" s="399"/>
      <c r="K537" s="397">
        <v>1</v>
      </c>
      <c r="L537" s="392"/>
      <c r="M537" s="395"/>
      <c r="N537" s="395"/>
      <c r="O537" s="395"/>
    </row>
    <row r="538" spans="1:15" s="407" customFormat="1" ht="12" customHeight="1" outlineLevel="2">
      <c r="A538" s="415"/>
      <c r="B538" s="549"/>
      <c r="C538" s="387"/>
      <c r="D538" s="462" t="s">
        <v>1035</v>
      </c>
      <c r="E538" s="388" t="s">
        <v>1036</v>
      </c>
      <c r="F538" s="473"/>
      <c r="G538" s="386" t="s">
        <v>758</v>
      </c>
      <c r="H538" s="400" t="s">
        <v>82</v>
      </c>
      <c r="I538" s="390">
        <v>1</v>
      </c>
      <c r="J538" s="399"/>
      <c r="K538" s="397">
        <v>1</v>
      </c>
      <c r="L538" s="392"/>
      <c r="M538" s="395"/>
      <c r="N538" s="395"/>
      <c r="O538" s="395"/>
    </row>
    <row r="539" spans="1:15" s="407" customFormat="1" ht="12" customHeight="1" outlineLevel="2">
      <c r="A539" s="415"/>
      <c r="B539" s="549"/>
      <c r="C539" s="387"/>
      <c r="D539" s="462" t="s">
        <v>1037</v>
      </c>
      <c r="E539" s="388" t="s">
        <v>1038</v>
      </c>
      <c r="F539" s="473"/>
      <c r="G539" s="386" t="s">
        <v>758</v>
      </c>
      <c r="H539" s="400" t="s">
        <v>82</v>
      </c>
      <c r="I539" s="390">
        <v>1</v>
      </c>
      <c r="J539" s="399"/>
      <c r="K539" s="397">
        <v>1</v>
      </c>
      <c r="L539" s="392"/>
      <c r="M539" s="395"/>
      <c r="N539" s="395"/>
      <c r="O539" s="395"/>
    </row>
    <row r="540" spans="1:15" s="407" customFormat="1" ht="12" customHeight="1" outlineLevel="2">
      <c r="A540" s="415"/>
      <c r="B540" s="549"/>
      <c r="C540" s="387"/>
      <c r="D540" s="462" t="s">
        <v>1039</v>
      </c>
      <c r="E540" s="388" t="s">
        <v>1040</v>
      </c>
      <c r="F540" s="473"/>
      <c r="G540" s="386" t="s">
        <v>758</v>
      </c>
      <c r="H540" s="400" t="s">
        <v>82</v>
      </c>
      <c r="I540" s="390">
        <v>1</v>
      </c>
      <c r="J540" s="399"/>
      <c r="K540" s="397">
        <v>1</v>
      </c>
      <c r="L540" s="392"/>
      <c r="M540" s="395"/>
      <c r="N540" s="395"/>
      <c r="O540" s="395"/>
    </row>
    <row r="541" spans="1:15" s="407" customFormat="1" ht="12" customHeight="1" outlineLevel="2">
      <c r="A541" s="415"/>
      <c r="B541" s="549"/>
      <c r="C541" s="387"/>
      <c r="D541" s="462" t="s">
        <v>1041</v>
      </c>
      <c r="E541" s="388" t="s">
        <v>1042</v>
      </c>
      <c r="F541" s="473"/>
      <c r="G541" s="386" t="s">
        <v>758</v>
      </c>
      <c r="H541" s="400" t="s">
        <v>82</v>
      </c>
      <c r="I541" s="390">
        <v>1</v>
      </c>
      <c r="J541" s="399"/>
      <c r="K541" s="397">
        <v>1</v>
      </c>
      <c r="L541" s="392"/>
      <c r="M541" s="395"/>
      <c r="N541" s="395"/>
      <c r="O541" s="395"/>
    </row>
    <row r="542" spans="1:15" s="407" customFormat="1" ht="12" customHeight="1" outlineLevel="2">
      <c r="A542" s="415"/>
      <c r="B542" s="549"/>
      <c r="C542" s="387"/>
      <c r="D542" s="462" t="s">
        <v>1043</v>
      </c>
      <c r="E542" s="388" t="s">
        <v>1044</v>
      </c>
      <c r="F542" s="473"/>
      <c r="G542" s="386" t="s">
        <v>758</v>
      </c>
      <c r="H542" s="400" t="s">
        <v>82</v>
      </c>
      <c r="I542" s="390">
        <v>1</v>
      </c>
      <c r="J542" s="399"/>
      <c r="K542" s="397">
        <v>1</v>
      </c>
      <c r="L542" s="392"/>
      <c r="M542" s="395"/>
      <c r="N542" s="395"/>
      <c r="O542" s="395"/>
    </row>
    <row r="543" spans="1:15" s="407" customFormat="1" ht="12" customHeight="1" outlineLevel="2">
      <c r="A543" s="415"/>
      <c r="B543" s="549"/>
      <c r="C543" s="387"/>
      <c r="D543" s="462" t="s">
        <v>1045</v>
      </c>
      <c r="E543" s="388" t="s">
        <v>1046</v>
      </c>
      <c r="F543" s="473"/>
      <c r="G543" s="386" t="s">
        <v>758</v>
      </c>
      <c r="H543" s="400" t="s">
        <v>82</v>
      </c>
      <c r="I543" s="390">
        <v>1</v>
      </c>
      <c r="J543" s="399"/>
      <c r="K543" s="397">
        <v>1</v>
      </c>
      <c r="L543" s="392"/>
      <c r="M543" s="395"/>
      <c r="N543" s="395"/>
      <c r="O543" s="395"/>
    </row>
    <row r="544" spans="1:15" s="407" customFormat="1" ht="12" customHeight="1" outlineLevel="2">
      <c r="A544" s="415"/>
      <c r="B544" s="549"/>
      <c r="C544" s="387"/>
      <c r="D544" s="462" t="s">
        <v>1047</v>
      </c>
      <c r="E544" s="388" t="s">
        <v>1046</v>
      </c>
      <c r="F544" s="473"/>
      <c r="G544" s="386" t="s">
        <v>758</v>
      </c>
      <c r="H544" s="400" t="s">
        <v>82</v>
      </c>
      <c r="I544" s="390">
        <v>1</v>
      </c>
      <c r="J544" s="399"/>
      <c r="K544" s="397">
        <v>1</v>
      </c>
      <c r="L544" s="392"/>
      <c r="M544" s="395"/>
      <c r="N544" s="395"/>
      <c r="O544" s="395"/>
    </row>
    <row r="545" spans="1:17" ht="3" customHeight="1" outlineLevel="1">
      <c r="A545" s="548"/>
      <c r="B545" s="552"/>
      <c r="K545" s="408"/>
      <c r="L545" s="408"/>
    </row>
    <row r="546" spans="1:17" outlineLevel="1">
      <c r="A546" s="460" t="s">
        <v>84</v>
      </c>
      <c r="B546" s="460" t="s">
        <v>85</v>
      </c>
      <c r="C546" s="460"/>
      <c r="D546" s="460"/>
      <c r="E546" s="460"/>
      <c r="G546" s="460"/>
      <c r="H546" s="460"/>
      <c r="I546" s="460"/>
      <c r="K546" s="408"/>
      <c r="L546" s="408"/>
    </row>
    <row r="547" spans="1:17" s="407" customFormat="1" ht="12" customHeight="1" outlineLevel="2">
      <c r="A547" s="415"/>
      <c r="B547" s="549"/>
      <c r="C547" s="387"/>
      <c r="D547" s="462"/>
      <c r="E547" s="388" t="s">
        <v>1048</v>
      </c>
      <c r="F547" s="473"/>
      <c r="G547" s="386" t="s">
        <v>1049</v>
      </c>
      <c r="H547" s="400" t="str">
        <f t="shared" ref="H547" si="37">CONCATENATE(G547,"-",I547)</f>
        <v>L20-1</v>
      </c>
      <c r="I547" s="390">
        <v>1</v>
      </c>
      <c r="J547" s="399"/>
      <c r="K547" s="397"/>
      <c r="L547" s="397"/>
      <c r="M547" s="395" cm="1">
        <f t="array" ref="M547">IFERROR(_xlfn.IFS(N547=1,1,O547=1,1,P547=1,1,Q547=1,1),0)</f>
        <v>1</v>
      </c>
      <c r="N547" s="395">
        <v>1</v>
      </c>
    </row>
    <row r="548" spans="1:17" s="407" customFormat="1" ht="12" customHeight="1" outlineLevel="2">
      <c r="A548" s="415"/>
      <c r="B548" s="549"/>
      <c r="C548" s="387"/>
      <c r="D548" s="462"/>
      <c r="E548" s="388" t="s">
        <v>1050</v>
      </c>
      <c r="F548" s="473"/>
      <c r="G548" s="386" t="s">
        <v>1049</v>
      </c>
      <c r="H548" s="400" t="str">
        <f t="shared" ref="H548:H552" si="38">CONCATENATE(G548,"-",I548)</f>
        <v>L20-1</v>
      </c>
      <c r="I548" s="390">
        <v>1</v>
      </c>
      <c r="J548" s="399"/>
      <c r="K548" s="397"/>
      <c r="L548" s="397"/>
      <c r="M548" s="395" cm="1">
        <f t="array" ref="M548">IFERROR(_xlfn.IFS(N548=1,1,O548=1,1,P548=1,1,Q548=1,1),0)</f>
        <v>1</v>
      </c>
      <c r="N548" s="395">
        <v>1</v>
      </c>
    </row>
    <row r="549" spans="1:17" s="407" customFormat="1" ht="12" customHeight="1" outlineLevel="2">
      <c r="A549" s="415"/>
      <c r="B549" s="549"/>
      <c r="C549" s="387"/>
      <c r="D549" s="462"/>
      <c r="E549" s="388" t="s">
        <v>1051</v>
      </c>
      <c r="F549" s="473"/>
      <c r="G549" s="386" t="s">
        <v>1049</v>
      </c>
      <c r="H549" s="400" t="str">
        <f t="shared" si="38"/>
        <v>L20-1</v>
      </c>
      <c r="I549" s="390">
        <v>1</v>
      </c>
      <c r="J549" s="399"/>
      <c r="K549" s="397"/>
      <c r="L549" s="397"/>
      <c r="M549" s="395" cm="1">
        <f t="array" ref="M549">IFERROR(_xlfn.IFS(N549=1,1,O549=1,1,P549=1,1,Q549=1,1),0)</f>
        <v>1</v>
      </c>
      <c r="N549" s="395">
        <v>1</v>
      </c>
    </row>
    <row r="550" spans="1:17" s="407" customFormat="1" ht="12" customHeight="1" outlineLevel="2">
      <c r="A550" s="415"/>
      <c r="B550" s="549"/>
      <c r="C550" s="387"/>
      <c r="D550" s="462"/>
      <c r="E550" s="388" t="s">
        <v>1052</v>
      </c>
      <c r="F550" s="473"/>
      <c r="G550" s="386" t="s">
        <v>1049</v>
      </c>
      <c r="H550" s="400" t="str">
        <f t="shared" si="38"/>
        <v>L20-1</v>
      </c>
      <c r="I550" s="390">
        <v>1</v>
      </c>
      <c r="J550" s="399"/>
      <c r="K550" s="397"/>
      <c r="L550" s="397"/>
      <c r="M550" s="395" cm="1">
        <f t="array" ref="M550">IFERROR(_xlfn.IFS(N550=1,1,O550=1,1,P550=1,1,Q550=1,1),0)</f>
        <v>1</v>
      </c>
      <c r="N550" s="395">
        <v>1</v>
      </c>
    </row>
    <row r="551" spans="1:17" s="407" customFormat="1" ht="12" customHeight="1" outlineLevel="2">
      <c r="A551" s="415"/>
      <c r="B551" s="549"/>
      <c r="C551" s="387"/>
      <c r="D551" s="462"/>
      <c r="E551" s="388" t="s">
        <v>1053</v>
      </c>
      <c r="F551" s="473"/>
      <c r="G551" s="386" t="s">
        <v>1049</v>
      </c>
      <c r="H551" s="400" t="str">
        <f t="shared" si="38"/>
        <v>L20-1</v>
      </c>
      <c r="I551" s="390">
        <v>1</v>
      </c>
      <c r="J551" s="399"/>
      <c r="K551" s="397"/>
      <c r="L551" s="397"/>
      <c r="M551" s="395" cm="1">
        <f t="array" ref="M551">IFERROR(_xlfn.IFS(N551=1,1,O551=1,1,P551=1,1,Q551=1,1),0)</f>
        <v>1</v>
      </c>
      <c r="N551" s="395">
        <v>1</v>
      </c>
    </row>
    <row r="552" spans="1:17" s="407" customFormat="1" ht="12" customHeight="1" outlineLevel="2">
      <c r="A552" s="415"/>
      <c r="B552" s="549"/>
      <c r="C552" s="387"/>
      <c r="D552" s="462"/>
      <c r="E552" s="388" t="s">
        <v>1054</v>
      </c>
      <c r="F552" s="473"/>
      <c r="G552" s="386" t="s">
        <v>1049</v>
      </c>
      <c r="H552" s="400" t="str">
        <f t="shared" si="38"/>
        <v>L20-1</v>
      </c>
      <c r="I552" s="390">
        <v>1</v>
      </c>
      <c r="J552" s="399"/>
      <c r="K552" s="397"/>
      <c r="L552" s="397"/>
      <c r="M552" s="395" cm="1">
        <f t="array" ref="M552">IFERROR(_xlfn.IFS(N552=1,1,O552=1,1,P552=1,1,Q552=1,1),0)</f>
        <v>1</v>
      </c>
      <c r="N552" s="395">
        <v>1</v>
      </c>
    </row>
    <row r="553" spans="1:17" ht="3" customHeight="1" outlineLevel="1">
      <c r="A553" s="548"/>
      <c r="B553" s="552"/>
      <c r="K553" s="408"/>
      <c r="L553" s="408"/>
    </row>
    <row r="554" spans="1:17" outlineLevel="1">
      <c r="A554" s="460" t="s">
        <v>86</v>
      </c>
      <c r="B554" s="460" t="s">
        <v>87</v>
      </c>
      <c r="C554" s="460"/>
      <c r="D554" s="460"/>
      <c r="E554" s="460"/>
      <c r="G554" s="460"/>
      <c r="H554" s="460"/>
      <c r="I554" s="460"/>
      <c r="K554" s="408"/>
      <c r="L554" s="408"/>
    </row>
    <row r="555" spans="1:17" s="407" customFormat="1" ht="12" customHeight="1" outlineLevel="2">
      <c r="A555" s="415"/>
      <c r="B555" s="549"/>
      <c r="C555" s="387"/>
      <c r="D555" s="462"/>
      <c r="E555" s="388" t="s">
        <v>1048</v>
      </c>
      <c r="F555" s="473"/>
      <c r="G555" s="386" t="s">
        <v>1055</v>
      </c>
      <c r="H555" s="400" t="str">
        <f t="shared" ref="H555" si="39">CONCATENATE(G555,"-",I555)</f>
        <v>D35-1</v>
      </c>
      <c r="I555" s="390">
        <v>1</v>
      </c>
      <c r="J555" s="399"/>
      <c r="K555" s="397"/>
      <c r="L555" s="397"/>
      <c r="M555" s="395" cm="1">
        <f t="array" ref="M555">IFERROR(_xlfn.IFS(N555=1,1,O555=1,1,P555=1,1,Q555=1,1),0)</f>
        <v>1</v>
      </c>
      <c r="N555" s="395">
        <v>1</v>
      </c>
    </row>
    <row r="556" spans="1:17" s="407" customFormat="1" ht="12" customHeight="1" outlineLevel="2">
      <c r="A556" s="415"/>
      <c r="B556" s="549"/>
      <c r="C556" s="387"/>
      <c r="D556" s="462"/>
      <c r="E556" s="388" t="s">
        <v>1050</v>
      </c>
      <c r="F556" s="473"/>
      <c r="G556" s="386" t="s">
        <v>1055</v>
      </c>
      <c r="H556" s="400" t="str">
        <f t="shared" ref="H556:H560" si="40">CONCATENATE(G556,"-",I556)</f>
        <v>D35-1</v>
      </c>
      <c r="I556" s="390">
        <v>1</v>
      </c>
      <c r="J556" s="399"/>
      <c r="K556" s="397"/>
      <c r="L556" s="397"/>
      <c r="M556" s="395" cm="1">
        <f t="array" ref="M556">IFERROR(_xlfn.IFS(N556=1,1,O556=1,1,P556=1,1,Q556=1,1),0)</f>
        <v>1</v>
      </c>
      <c r="N556" s="395">
        <v>1</v>
      </c>
    </row>
    <row r="557" spans="1:17" s="407" customFormat="1" ht="12" customHeight="1" outlineLevel="2">
      <c r="A557" s="415"/>
      <c r="B557" s="549"/>
      <c r="C557" s="387"/>
      <c r="D557" s="462"/>
      <c r="E557" s="388" t="s">
        <v>1051</v>
      </c>
      <c r="F557" s="473"/>
      <c r="G557" s="386" t="s">
        <v>1055</v>
      </c>
      <c r="H557" s="400" t="str">
        <f t="shared" si="40"/>
        <v>D35-1</v>
      </c>
      <c r="I557" s="390">
        <v>1</v>
      </c>
      <c r="J557" s="399"/>
      <c r="K557" s="397"/>
      <c r="L557" s="397"/>
      <c r="M557" s="395" cm="1">
        <f t="array" ref="M557">IFERROR(_xlfn.IFS(N557=1,1,O557=1,1,P557=1,1,Q557=1,1),0)</f>
        <v>1</v>
      </c>
      <c r="N557" s="395">
        <v>1</v>
      </c>
    </row>
    <row r="558" spans="1:17" s="407" customFormat="1" ht="12" customHeight="1" outlineLevel="2">
      <c r="A558" s="415"/>
      <c r="B558" s="549"/>
      <c r="C558" s="387"/>
      <c r="D558" s="462"/>
      <c r="E558" s="388" t="s">
        <v>1052</v>
      </c>
      <c r="F558" s="473"/>
      <c r="G558" s="386" t="s">
        <v>1055</v>
      </c>
      <c r="H558" s="400" t="str">
        <f t="shared" si="40"/>
        <v>D35-1</v>
      </c>
      <c r="I558" s="390">
        <v>1</v>
      </c>
      <c r="J558" s="399"/>
      <c r="K558" s="397"/>
      <c r="L558" s="397"/>
      <c r="M558" s="395" cm="1">
        <f t="array" ref="M558">IFERROR(_xlfn.IFS(N558=1,1,O558=1,1,P558=1,1,Q558=1,1),0)</f>
        <v>1</v>
      </c>
      <c r="N558" s="395">
        <v>1</v>
      </c>
    </row>
    <row r="559" spans="1:17" s="407" customFormat="1" ht="12" customHeight="1" outlineLevel="2">
      <c r="A559" s="415"/>
      <c r="B559" s="549"/>
      <c r="C559" s="387"/>
      <c r="D559" s="462"/>
      <c r="E559" s="388" t="s">
        <v>1053</v>
      </c>
      <c r="F559" s="473"/>
      <c r="G559" s="386" t="s">
        <v>1055</v>
      </c>
      <c r="H559" s="400" t="str">
        <f t="shared" si="40"/>
        <v>D35-1</v>
      </c>
      <c r="I559" s="390">
        <v>1</v>
      </c>
      <c r="J559" s="399"/>
      <c r="K559" s="397"/>
      <c r="L559" s="397"/>
      <c r="M559" s="395" cm="1">
        <f t="array" ref="M559">IFERROR(_xlfn.IFS(N559=1,1,O559=1,1,P559=1,1,Q559=1,1),0)</f>
        <v>1</v>
      </c>
      <c r="N559" s="395">
        <v>1</v>
      </c>
      <c r="O559" s="395"/>
      <c r="P559" s="395"/>
      <c r="Q559" s="395"/>
    </row>
    <row r="560" spans="1:17" s="407" customFormat="1" ht="12" customHeight="1" outlineLevel="2">
      <c r="A560" s="415"/>
      <c r="B560" s="549"/>
      <c r="C560" s="387"/>
      <c r="D560" s="462"/>
      <c r="E560" s="388" t="s">
        <v>1054</v>
      </c>
      <c r="F560" s="473"/>
      <c r="G560" s="386" t="s">
        <v>1055</v>
      </c>
      <c r="H560" s="400" t="str">
        <f t="shared" si="40"/>
        <v>D35-1</v>
      </c>
      <c r="I560" s="390">
        <v>1</v>
      </c>
      <c r="J560" s="399"/>
      <c r="K560" s="397"/>
      <c r="L560" s="397"/>
      <c r="M560" s="395" cm="1">
        <f t="array" ref="M560">IFERROR(_xlfn.IFS(N560=1,1,O560=1,1,P560=1,1,Q560=1,1),0)</f>
        <v>1</v>
      </c>
      <c r="N560" s="395">
        <v>1</v>
      </c>
      <c r="O560" s="395"/>
      <c r="P560" s="395"/>
      <c r="Q560" s="395"/>
    </row>
    <row r="561" spans="1:17" ht="3" customHeight="1" outlineLevel="1">
      <c r="A561" s="548"/>
      <c r="B561" s="552"/>
      <c r="K561" s="408"/>
      <c r="L561" s="408"/>
    </row>
    <row r="562" spans="1:17" outlineLevel="1">
      <c r="A562" s="460" t="s">
        <v>88</v>
      </c>
      <c r="B562" s="460" t="s">
        <v>89</v>
      </c>
      <c r="C562" s="460"/>
      <c r="D562" s="460"/>
      <c r="E562" s="460"/>
      <c r="G562" s="460"/>
      <c r="H562" s="460"/>
      <c r="I562" s="460"/>
      <c r="K562" s="408"/>
      <c r="L562" s="408"/>
    </row>
    <row r="563" spans="1:17" s="407" customFormat="1" ht="12" customHeight="1" outlineLevel="2">
      <c r="A563" s="415"/>
      <c r="B563" s="549"/>
      <c r="C563" s="387"/>
      <c r="D563" s="462"/>
      <c r="E563" s="388" t="s">
        <v>1048</v>
      </c>
      <c r="F563" s="473"/>
      <c r="G563" s="386" t="s">
        <v>1056</v>
      </c>
      <c r="H563" s="400" t="str">
        <f t="shared" ref="H563:H565" si="41">CONCATENATE(G563,"-",I563)</f>
        <v>L22-1</v>
      </c>
      <c r="I563" s="390">
        <v>1</v>
      </c>
      <c r="J563" s="399"/>
      <c r="K563" s="397"/>
      <c r="L563" s="397"/>
      <c r="M563" s="395" cm="1">
        <f t="array" ref="M563">IFERROR(_xlfn.IFS(N563=1,1,O563=1,1,P563=1,1,Q563=1,1),0)</f>
        <v>1</v>
      </c>
      <c r="N563" s="395">
        <v>1</v>
      </c>
      <c r="O563" s="395"/>
      <c r="P563" s="395"/>
      <c r="Q563" s="395"/>
    </row>
    <row r="564" spans="1:17" s="407" customFormat="1" ht="12" customHeight="1" outlineLevel="2">
      <c r="A564" s="415"/>
      <c r="B564" s="549"/>
      <c r="C564" s="387"/>
      <c r="D564" s="462"/>
      <c r="E564" s="388" t="s">
        <v>1050</v>
      </c>
      <c r="F564" s="473"/>
      <c r="G564" s="386" t="s">
        <v>1056</v>
      </c>
      <c r="H564" s="400" t="str">
        <f t="shared" si="41"/>
        <v>L22-1</v>
      </c>
      <c r="I564" s="390">
        <v>1</v>
      </c>
      <c r="J564" s="399"/>
      <c r="K564" s="397"/>
      <c r="L564" s="397"/>
      <c r="M564" s="395" cm="1">
        <f t="array" ref="M564">IFERROR(_xlfn.IFS(N564=1,1,O564=1,1,P564=1,1,Q564=1,1),0)</f>
        <v>1</v>
      </c>
      <c r="N564" s="395">
        <v>1</v>
      </c>
      <c r="O564" s="395"/>
      <c r="P564" s="395"/>
      <c r="Q564" s="395"/>
    </row>
    <row r="565" spans="1:17" s="407" customFormat="1" ht="12" customHeight="1" outlineLevel="2">
      <c r="A565" s="415"/>
      <c r="B565" s="549"/>
      <c r="C565" s="387"/>
      <c r="D565" s="462"/>
      <c r="E565" s="388" t="s">
        <v>1051</v>
      </c>
      <c r="F565" s="473"/>
      <c r="G565" s="386" t="s">
        <v>1056</v>
      </c>
      <c r="H565" s="400" t="str">
        <f t="shared" si="41"/>
        <v>L22-1</v>
      </c>
      <c r="I565" s="390">
        <v>1</v>
      </c>
      <c r="J565" s="399"/>
      <c r="K565" s="397"/>
      <c r="L565" s="397"/>
      <c r="M565" s="395" cm="1">
        <f t="array" ref="M565">IFERROR(_xlfn.IFS(N565=1,1,O565=1,1,P565=1,1,Q565=1,1),0)</f>
        <v>1</v>
      </c>
      <c r="N565" s="395">
        <v>1</v>
      </c>
      <c r="O565" s="395"/>
      <c r="P565" s="395"/>
      <c r="Q565" s="395"/>
    </row>
    <row r="566" spans="1:17" s="407" customFormat="1" ht="12" customHeight="1" outlineLevel="2">
      <c r="A566" s="415"/>
      <c r="B566" s="549"/>
      <c r="C566" s="387"/>
      <c r="D566" s="462"/>
      <c r="E566" s="388" t="s">
        <v>1052</v>
      </c>
      <c r="F566" s="473"/>
      <c r="G566" s="386" t="s">
        <v>1056</v>
      </c>
      <c r="H566" s="400" t="str">
        <f t="shared" ref="H566:H568" si="42">CONCATENATE(G566,"-",I566)</f>
        <v>L22-1</v>
      </c>
      <c r="I566" s="390">
        <v>1</v>
      </c>
      <c r="J566" s="399"/>
      <c r="K566" s="397"/>
      <c r="L566" s="397"/>
      <c r="M566" s="395" cm="1">
        <f t="array" ref="M566">IFERROR(_xlfn.IFS(N566=1,1,O566=1,1,P566=1,1,Q566=1,1),0)</f>
        <v>1</v>
      </c>
      <c r="N566" s="395">
        <v>1</v>
      </c>
      <c r="O566" s="395"/>
      <c r="P566" s="395"/>
      <c r="Q566" s="395"/>
    </row>
    <row r="567" spans="1:17" s="407" customFormat="1" ht="12" customHeight="1" outlineLevel="2">
      <c r="A567" s="415"/>
      <c r="B567" s="549"/>
      <c r="C567" s="387"/>
      <c r="D567" s="462"/>
      <c r="E567" s="388" t="s">
        <v>1053</v>
      </c>
      <c r="F567" s="473"/>
      <c r="G567" s="386" t="s">
        <v>1056</v>
      </c>
      <c r="H567" s="400" t="str">
        <f t="shared" si="42"/>
        <v>L22-1</v>
      </c>
      <c r="I567" s="390">
        <v>1</v>
      </c>
      <c r="J567" s="399"/>
      <c r="K567" s="397"/>
      <c r="L567" s="397"/>
      <c r="M567" s="395" cm="1">
        <f t="array" ref="M567">IFERROR(_xlfn.IFS(N567=1,1,O567=1,1,P567=1,1,Q567=1,1),0)</f>
        <v>1</v>
      </c>
      <c r="N567" s="395">
        <v>1</v>
      </c>
      <c r="O567" s="395"/>
      <c r="P567" s="395"/>
      <c r="Q567" s="395"/>
    </row>
    <row r="568" spans="1:17" s="407" customFormat="1" ht="12" customHeight="1" outlineLevel="2">
      <c r="A568" s="415"/>
      <c r="B568" s="549"/>
      <c r="C568" s="387"/>
      <c r="D568" s="462"/>
      <c r="E568" s="388" t="s">
        <v>1054</v>
      </c>
      <c r="F568" s="473"/>
      <c r="G568" s="386" t="s">
        <v>1056</v>
      </c>
      <c r="H568" s="400" t="str">
        <f t="shared" si="42"/>
        <v>L22-1</v>
      </c>
      <c r="I568" s="390">
        <v>1</v>
      </c>
      <c r="J568" s="399"/>
      <c r="K568" s="397"/>
      <c r="L568" s="397"/>
      <c r="M568" s="395" cm="1">
        <f t="array" ref="M568">IFERROR(_xlfn.IFS(N568=1,1,O568=1,1,P568=1,1,Q568=1,1),0)</f>
        <v>1</v>
      </c>
      <c r="N568" s="395">
        <v>1</v>
      </c>
      <c r="O568" s="395"/>
      <c r="P568" s="395"/>
      <c r="Q568" s="395"/>
    </row>
    <row r="569" spans="1:17" ht="3" customHeight="1" outlineLevel="1">
      <c r="A569" s="548"/>
      <c r="B569" s="552"/>
      <c r="K569" s="408"/>
      <c r="L569" s="408"/>
    </row>
    <row r="570" spans="1:17" outlineLevel="1">
      <c r="A570" s="460" t="s">
        <v>90</v>
      </c>
      <c r="B570" s="460" t="s">
        <v>91</v>
      </c>
      <c r="C570" s="460"/>
      <c r="D570" s="460"/>
      <c r="E570" s="460"/>
      <c r="G570" s="460"/>
      <c r="H570" s="460"/>
      <c r="I570" s="460"/>
      <c r="K570" s="408"/>
      <c r="L570" s="408"/>
    </row>
    <row r="571" spans="1:17" s="407" customFormat="1" ht="12" customHeight="1" outlineLevel="2">
      <c r="A571" s="415"/>
      <c r="B571" s="549"/>
      <c r="C571" s="387"/>
      <c r="D571" s="462"/>
      <c r="E571" s="388" t="s">
        <v>1048</v>
      </c>
      <c r="F571" s="473"/>
      <c r="G571" s="386" t="s">
        <v>1057</v>
      </c>
      <c r="H571" s="400" t="str">
        <f t="shared" ref="H571" si="43">CONCATENATE(G571,"-",I571)</f>
        <v>R25P-1</v>
      </c>
      <c r="I571" s="390">
        <v>1</v>
      </c>
      <c r="J571" s="399"/>
      <c r="K571" s="397"/>
      <c r="L571" s="397"/>
      <c r="M571" s="395" cm="1">
        <f t="array" ref="M571">IFERROR(_xlfn.IFS(N571=1,1,O571=1,1,P571=1,1,Q571=1,1),0)</f>
        <v>1</v>
      </c>
      <c r="N571" s="395"/>
      <c r="O571" s="395">
        <v>1</v>
      </c>
      <c r="P571" s="418"/>
      <c r="Q571" s="397"/>
    </row>
    <row r="572" spans="1:17" s="407" customFormat="1" ht="12" customHeight="1" outlineLevel="2">
      <c r="A572" s="415"/>
      <c r="B572" s="549"/>
      <c r="C572" s="387"/>
      <c r="D572" s="462"/>
      <c r="E572" s="388" t="s">
        <v>1050</v>
      </c>
      <c r="F572" s="473"/>
      <c r="G572" s="386" t="s">
        <v>1057</v>
      </c>
      <c r="H572" s="400" t="str">
        <f t="shared" ref="H572:H576" si="44">CONCATENATE(G572,"-",I572)</f>
        <v>R25P-1</v>
      </c>
      <c r="I572" s="390">
        <v>1</v>
      </c>
      <c r="J572" s="399"/>
      <c r="K572" s="397"/>
      <c r="L572" s="397"/>
      <c r="M572" s="395" cm="1">
        <f t="array" ref="M572">IFERROR(_xlfn.IFS(N572=1,1,O572=1,1,P572=1,1,Q572=1,1),0)</f>
        <v>1</v>
      </c>
      <c r="N572" s="395"/>
      <c r="O572" s="395">
        <v>1</v>
      </c>
      <c r="P572" s="418"/>
      <c r="Q572" s="397"/>
    </row>
    <row r="573" spans="1:17" s="407" customFormat="1" ht="12" customHeight="1" outlineLevel="2">
      <c r="A573" s="415"/>
      <c r="B573" s="549"/>
      <c r="C573" s="387"/>
      <c r="D573" s="462"/>
      <c r="E573" s="388" t="s">
        <v>1051</v>
      </c>
      <c r="F573" s="473"/>
      <c r="G573" s="386" t="s">
        <v>1057</v>
      </c>
      <c r="H573" s="400" t="str">
        <f t="shared" si="44"/>
        <v>R25P-1</v>
      </c>
      <c r="I573" s="390">
        <v>1</v>
      </c>
      <c r="J573" s="399"/>
      <c r="K573" s="397"/>
      <c r="L573" s="397"/>
      <c r="M573" s="395" cm="1">
        <f t="array" ref="M573">IFERROR(_xlfn.IFS(N573=1,1,O573=1,1,P573=1,1,Q573=1,1),0)</f>
        <v>1</v>
      </c>
      <c r="N573" s="395"/>
      <c r="O573" s="395">
        <v>1</v>
      </c>
      <c r="P573" s="418"/>
      <c r="Q573" s="397"/>
    </row>
    <row r="574" spans="1:17" s="407" customFormat="1" ht="12" customHeight="1" outlineLevel="2">
      <c r="A574" s="415"/>
      <c r="B574" s="549"/>
      <c r="C574" s="387"/>
      <c r="D574" s="462"/>
      <c r="E574" s="388" t="s">
        <v>1052</v>
      </c>
      <c r="F574" s="473"/>
      <c r="G574" s="386" t="s">
        <v>1057</v>
      </c>
      <c r="H574" s="400" t="str">
        <f t="shared" si="44"/>
        <v>R25P-1</v>
      </c>
      <c r="I574" s="390">
        <v>1</v>
      </c>
      <c r="J574" s="399"/>
      <c r="K574" s="397"/>
      <c r="L574" s="397"/>
      <c r="M574" s="395" cm="1">
        <f t="array" ref="M574">IFERROR(_xlfn.IFS(N574=1,1,O574=1,1,P574=1,1,Q574=1,1),0)</f>
        <v>1</v>
      </c>
      <c r="N574" s="395"/>
      <c r="O574" s="395">
        <v>1</v>
      </c>
      <c r="P574" s="418"/>
      <c r="Q574" s="397"/>
    </row>
    <row r="575" spans="1:17" s="407" customFormat="1" ht="12" customHeight="1" outlineLevel="2">
      <c r="A575" s="415"/>
      <c r="B575" s="549"/>
      <c r="C575" s="387"/>
      <c r="D575" s="462"/>
      <c r="E575" s="388" t="s">
        <v>1053</v>
      </c>
      <c r="F575" s="473"/>
      <c r="G575" s="386" t="s">
        <v>1057</v>
      </c>
      <c r="H575" s="400" t="str">
        <f t="shared" si="44"/>
        <v>R25P-1</v>
      </c>
      <c r="I575" s="390">
        <v>1</v>
      </c>
      <c r="J575" s="399"/>
      <c r="K575" s="397"/>
      <c r="L575" s="397"/>
      <c r="M575" s="395" cm="1">
        <f t="array" ref="M575">IFERROR(_xlfn.IFS(N575=1,1,O575=1,1,P575=1,1,Q575=1,1),0)</f>
        <v>1</v>
      </c>
      <c r="N575" s="395"/>
      <c r="O575" s="395">
        <v>1</v>
      </c>
      <c r="P575" s="418"/>
      <c r="Q575" s="397"/>
    </row>
    <row r="576" spans="1:17" s="407" customFormat="1" ht="12" customHeight="1" outlineLevel="2">
      <c r="A576" s="415"/>
      <c r="B576" s="549"/>
      <c r="C576" s="387"/>
      <c r="D576" s="462"/>
      <c r="E576" s="388" t="s">
        <v>1054</v>
      </c>
      <c r="F576" s="473"/>
      <c r="G576" s="386" t="s">
        <v>1057</v>
      </c>
      <c r="H576" s="400" t="str">
        <f t="shared" si="44"/>
        <v>R25P-1</v>
      </c>
      <c r="I576" s="390">
        <v>1</v>
      </c>
      <c r="J576" s="399"/>
      <c r="K576" s="397"/>
      <c r="L576" s="397"/>
      <c r="M576" s="395" cm="1">
        <f t="array" ref="M576">IFERROR(_xlfn.IFS(N576=1,1,O576=1,1,P576=1,1,Q576=1,1),0)</f>
        <v>1</v>
      </c>
      <c r="N576" s="395"/>
      <c r="O576" s="395">
        <v>1</v>
      </c>
      <c r="P576" s="418"/>
      <c r="Q576" s="397"/>
    </row>
    <row r="577" spans="1:17" ht="3" customHeight="1" outlineLevel="1">
      <c r="A577" s="548"/>
      <c r="B577" s="552"/>
      <c r="K577" s="408"/>
      <c r="L577" s="408"/>
    </row>
    <row r="578" spans="1:17" outlineLevel="1">
      <c r="A578" s="460" t="s">
        <v>92</v>
      </c>
      <c r="B578" s="460" t="s">
        <v>93</v>
      </c>
      <c r="C578" s="460"/>
      <c r="D578" s="460"/>
      <c r="E578" s="460"/>
      <c r="G578" s="460"/>
      <c r="H578" s="460"/>
      <c r="I578" s="460"/>
      <c r="K578" s="408"/>
      <c r="L578" s="408"/>
    </row>
    <row r="579" spans="1:17" s="407" customFormat="1" ht="12" customHeight="1" outlineLevel="2">
      <c r="A579" s="415"/>
      <c r="B579" s="549"/>
      <c r="C579" s="387"/>
      <c r="D579" s="462"/>
      <c r="E579" s="388" t="s">
        <v>1048</v>
      </c>
      <c r="F579" s="473"/>
      <c r="G579" s="386" t="s">
        <v>1058</v>
      </c>
      <c r="H579" s="400" t="str">
        <f t="shared" ref="H579:H584" si="45">CONCATENATE(G579,"-",I579)</f>
        <v>L20P-1</v>
      </c>
      <c r="I579" s="390">
        <v>1</v>
      </c>
      <c r="J579" s="399"/>
      <c r="K579" s="397"/>
      <c r="L579" s="397"/>
      <c r="M579" s="395" cm="1">
        <f t="array" ref="M579">IFERROR(_xlfn.IFS(N579=1,1,O579=1,1,P579=1,1,Q579=1,1),0)</f>
        <v>1</v>
      </c>
      <c r="N579" s="395"/>
      <c r="O579" s="418"/>
      <c r="P579" s="395">
        <v>1</v>
      </c>
      <c r="Q579" s="418"/>
    </row>
    <row r="580" spans="1:17" s="407" customFormat="1" ht="12" customHeight="1" outlineLevel="2">
      <c r="A580" s="415"/>
      <c r="B580" s="549"/>
      <c r="C580" s="387"/>
      <c r="D580" s="462"/>
      <c r="E580" s="388" t="s">
        <v>1050</v>
      </c>
      <c r="F580" s="473"/>
      <c r="G580" s="386" t="s">
        <v>1058</v>
      </c>
      <c r="H580" s="400" t="str">
        <f t="shared" si="45"/>
        <v>L20P-1</v>
      </c>
      <c r="I580" s="390">
        <v>1</v>
      </c>
      <c r="J580" s="399"/>
      <c r="K580" s="397"/>
      <c r="L580" s="397"/>
      <c r="M580" s="395" cm="1">
        <f t="array" ref="M580">IFERROR(_xlfn.IFS(N580=1,1,O580=1,1,P580=1,1,Q580=1,1),0)</f>
        <v>1</v>
      </c>
      <c r="N580" s="395"/>
      <c r="O580" s="418"/>
      <c r="P580" s="395">
        <v>1</v>
      </c>
      <c r="Q580" s="418"/>
    </row>
    <row r="581" spans="1:17" s="407" customFormat="1" ht="12" customHeight="1" outlineLevel="2">
      <c r="A581" s="415"/>
      <c r="B581" s="549"/>
      <c r="C581" s="387"/>
      <c r="D581" s="462"/>
      <c r="E581" s="388" t="s">
        <v>1051</v>
      </c>
      <c r="F581" s="473"/>
      <c r="G581" s="386" t="s">
        <v>1058</v>
      </c>
      <c r="H581" s="400" t="str">
        <f t="shared" si="45"/>
        <v>L20P-1</v>
      </c>
      <c r="I581" s="390">
        <v>1</v>
      </c>
      <c r="J581" s="399"/>
      <c r="K581" s="397"/>
      <c r="L581" s="397"/>
      <c r="M581" s="395" cm="1">
        <f t="array" ref="M581">IFERROR(_xlfn.IFS(N581=1,1,O581=1,1,P581=1,1,Q581=1,1),0)</f>
        <v>1</v>
      </c>
      <c r="N581" s="395"/>
      <c r="O581" s="418"/>
      <c r="P581" s="395">
        <v>1</v>
      </c>
      <c r="Q581" s="418"/>
    </row>
    <row r="582" spans="1:17" s="407" customFormat="1" ht="12" customHeight="1" outlineLevel="2">
      <c r="A582" s="415"/>
      <c r="B582" s="549"/>
      <c r="C582" s="387"/>
      <c r="D582" s="462"/>
      <c r="E582" s="388" t="s">
        <v>1052</v>
      </c>
      <c r="F582" s="473"/>
      <c r="G582" s="386" t="s">
        <v>1058</v>
      </c>
      <c r="H582" s="400" t="str">
        <f t="shared" si="45"/>
        <v>L20P-1</v>
      </c>
      <c r="I582" s="390">
        <v>1</v>
      </c>
      <c r="J582" s="399"/>
      <c r="K582" s="397"/>
      <c r="L582" s="397"/>
      <c r="M582" s="395" cm="1">
        <f t="array" ref="M582">IFERROR(_xlfn.IFS(N582=1,1,O582=1,1,P582=1,1,Q582=1,1),0)</f>
        <v>1</v>
      </c>
      <c r="N582" s="395"/>
      <c r="O582" s="418"/>
      <c r="P582" s="395">
        <v>1</v>
      </c>
      <c r="Q582" s="418"/>
    </row>
    <row r="583" spans="1:17" s="407" customFormat="1" ht="12" customHeight="1" outlineLevel="2">
      <c r="A583" s="415"/>
      <c r="B583" s="549"/>
      <c r="C583" s="387"/>
      <c r="D583" s="462"/>
      <c r="E583" s="388" t="s">
        <v>1053</v>
      </c>
      <c r="F583" s="473"/>
      <c r="G583" s="386" t="s">
        <v>1058</v>
      </c>
      <c r="H583" s="400" t="str">
        <f t="shared" si="45"/>
        <v>L20P-1</v>
      </c>
      <c r="I583" s="390">
        <v>1</v>
      </c>
      <c r="J583" s="399"/>
      <c r="K583" s="397"/>
      <c r="L583" s="397"/>
      <c r="M583" s="395" cm="1">
        <f t="array" ref="M583">IFERROR(_xlfn.IFS(N583=1,1,O583=1,1,P583=1,1,Q583=1,1),0)</f>
        <v>1</v>
      </c>
      <c r="N583" s="395"/>
      <c r="O583" s="418"/>
      <c r="P583" s="395">
        <v>1</v>
      </c>
      <c r="Q583" s="418"/>
    </row>
    <row r="584" spans="1:17" s="407" customFormat="1" ht="12" customHeight="1" outlineLevel="2">
      <c r="A584" s="415"/>
      <c r="B584" s="549"/>
      <c r="C584" s="387"/>
      <c r="D584" s="462"/>
      <c r="E584" s="388" t="s">
        <v>1054</v>
      </c>
      <c r="F584" s="473"/>
      <c r="G584" s="386" t="s">
        <v>1058</v>
      </c>
      <c r="H584" s="400" t="str">
        <f t="shared" si="45"/>
        <v>L20P-1</v>
      </c>
      <c r="I584" s="390">
        <v>1</v>
      </c>
      <c r="J584" s="399"/>
      <c r="K584" s="397"/>
      <c r="L584" s="397"/>
      <c r="M584" s="395" cm="1">
        <f t="array" ref="M584">IFERROR(_xlfn.IFS(N584=1,1,O584=1,1,P584=1,1,Q584=1,1),0)</f>
        <v>1</v>
      </c>
      <c r="N584" s="395"/>
      <c r="O584" s="418"/>
      <c r="P584" s="395">
        <v>1</v>
      </c>
      <c r="Q584" s="418"/>
    </row>
    <row r="585" spans="1:17" ht="3" customHeight="1" outlineLevel="1">
      <c r="A585" s="548"/>
      <c r="B585" s="552"/>
      <c r="K585" s="408"/>
      <c r="L585" s="408"/>
    </row>
    <row r="586" spans="1:17" outlineLevel="1">
      <c r="A586" s="460" t="s">
        <v>94</v>
      </c>
      <c r="B586" s="460" t="s">
        <v>95</v>
      </c>
      <c r="C586" s="460"/>
      <c r="D586" s="460"/>
      <c r="E586" s="460"/>
      <c r="G586" s="460"/>
      <c r="H586" s="460"/>
      <c r="I586" s="460"/>
      <c r="K586" s="408"/>
      <c r="L586" s="408"/>
    </row>
    <row r="587" spans="1:17" s="407" customFormat="1" ht="12" customHeight="1" outlineLevel="2">
      <c r="A587" s="415"/>
      <c r="B587" s="549"/>
      <c r="C587" s="387"/>
      <c r="D587" s="462"/>
      <c r="E587" s="388" t="s">
        <v>1048</v>
      </c>
      <c r="F587" s="473"/>
      <c r="G587" s="386" t="s">
        <v>1059</v>
      </c>
      <c r="H587" s="400" t="str">
        <f t="shared" ref="H587:H592" si="46">CONCATENATE(G587,"-",I587)</f>
        <v>D35P-1</v>
      </c>
      <c r="I587" s="390">
        <v>1</v>
      </c>
      <c r="J587" s="399"/>
      <c r="K587" s="397"/>
      <c r="L587" s="397"/>
      <c r="M587" s="395" cm="1">
        <f t="array" ref="M587">IFERROR(_xlfn.IFS(N587=1,1,O587=1,1,P587=1,1,Q587=1,1),0)</f>
        <v>1</v>
      </c>
      <c r="N587" s="395"/>
      <c r="O587" s="418"/>
      <c r="P587" s="395">
        <v>1</v>
      </c>
      <c r="Q587" s="418"/>
    </row>
    <row r="588" spans="1:17" s="407" customFormat="1" ht="12" customHeight="1" outlineLevel="2">
      <c r="A588" s="415"/>
      <c r="B588" s="549"/>
      <c r="C588" s="387"/>
      <c r="D588" s="462"/>
      <c r="E588" s="388" t="s">
        <v>1050</v>
      </c>
      <c r="F588" s="473"/>
      <c r="G588" s="386" t="s">
        <v>1059</v>
      </c>
      <c r="H588" s="400" t="str">
        <f t="shared" si="46"/>
        <v>D35P-1</v>
      </c>
      <c r="I588" s="390">
        <v>1</v>
      </c>
      <c r="J588" s="399"/>
      <c r="K588" s="397"/>
      <c r="L588" s="397"/>
      <c r="M588" s="395" cm="1">
        <f t="array" ref="M588">IFERROR(_xlfn.IFS(N588=1,1,O588=1,1,P588=1,1,Q588=1,1),0)</f>
        <v>1</v>
      </c>
      <c r="N588" s="395"/>
      <c r="O588" s="418"/>
      <c r="P588" s="395">
        <v>1</v>
      </c>
      <c r="Q588" s="418"/>
    </row>
    <row r="589" spans="1:17" s="407" customFormat="1" ht="12" customHeight="1" outlineLevel="2">
      <c r="A589" s="415"/>
      <c r="B589" s="549"/>
      <c r="C589" s="387"/>
      <c r="D589" s="462"/>
      <c r="E589" s="388" t="s">
        <v>1051</v>
      </c>
      <c r="F589" s="473"/>
      <c r="G589" s="386" t="s">
        <v>1059</v>
      </c>
      <c r="H589" s="400" t="str">
        <f t="shared" si="46"/>
        <v>D35P-1</v>
      </c>
      <c r="I589" s="390">
        <v>1</v>
      </c>
      <c r="J589" s="399"/>
      <c r="K589" s="397"/>
      <c r="L589" s="397"/>
      <c r="M589" s="395" cm="1">
        <f t="array" ref="M589">IFERROR(_xlfn.IFS(N589=1,1,O589=1,1,P589=1,1,Q589=1,1),0)</f>
        <v>1</v>
      </c>
      <c r="N589" s="395"/>
      <c r="O589" s="418"/>
      <c r="P589" s="395">
        <v>1</v>
      </c>
      <c r="Q589" s="418"/>
    </row>
    <row r="590" spans="1:17" s="407" customFormat="1" ht="12" customHeight="1" outlineLevel="2">
      <c r="A590" s="415"/>
      <c r="B590" s="549"/>
      <c r="C590" s="387"/>
      <c r="D590" s="462"/>
      <c r="E590" s="388" t="s">
        <v>1052</v>
      </c>
      <c r="F590" s="473"/>
      <c r="G590" s="386" t="s">
        <v>1059</v>
      </c>
      <c r="H590" s="400" t="str">
        <f t="shared" si="46"/>
        <v>D35P-1</v>
      </c>
      <c r="I590" s="390">
        <v>1</v>
      </c>
      <c r="J590" s="399"/>
      <c r="K590" s="397"/>
      <c r="L590" s="397"/>
      <c r="M590" s="395" cm="1">
        <f t="array" ref="M590">IFERROR(_xlfn.IFS(N590=1,1,O590=1,1,P590=1,1,Q590=1,1),0)</f>
        <v>1</v>
      </c>
      <c r="N590" s="395"/>
      <c r="O590" s="418"/>
      <c r="P590" s="395">
        <v>1</v>
      </c>
      <c r="Q590" s="418"/>
    </row>
    <row r="591" spans="1:17" s="407" customFormat="1" ht="12" customHeight="1" outlineLevel="2">
      <c r="A591" s="415"/>
      <c r="B591" s="549"/>
      <c r="C591" s="387"/>
      <c r="D591" s="462"/>
      <c r="E591" s="388" t="s">
        <v>1053</v>
      </c>
      <c r="F591" s="473"/>
      <c r="G591" s="386" t="s">
        <v>1059</v>
      </c>
      <c r="H591" s="400" t="str">
        <f t="shared" si="46"/>
        <v>D35P-1</v>
      </c>
      <c r="I591" s="390">
        <v>1</v>
      </c>
      <c r="J591" s="399"/>
      <c r="K591" s="397"/>
      <c r="L591" s="397"/>
      <c r="M591" s="395" cm="1">
        <f t="array" ref="M591">IFERROR(_xlfn.IFS(N591=1,1,O591=1,1,P591=1,1,Q591=1,1),0)</f>
        <v>1</v>
      </c>
      <c r="N591" s="395"/>
      <c r="O591" s="418"/>
      <c r="P591" s="395">
        <v>1</v>
      </c>
      <c r="Q591" s="418"/>
    </row>
    <row r="592" spans="1:17" s="407" customFormat="1" ht="12" customHeight="1" outlineLevel="2">
      <c r="A592" s="415"/>
      <c r="B592" s="549"/>
      <c r="C592" s="387"/>
      <c r="D592" s="462"/>
      <c r="E592" s="388" t="s">
        <v>1054</v>
      </c>
      <c r="F592" s="473"/>
      <c r="G592" s="386" t="s">
        <v>1059</v>
      </c>
      <c r="H592" s="400" t="str">
        <f t="shared" si="46"/>
        <v>D35P-1</v>
      </c>
      <c r="I592" s="390">
        <v>1</v>
      </c>
      <c r="J592" s="399"/>
      <c r="K592" s="397"/>
      <c r="L592" s="397"/>
      <c r="M592" s="395" cm="1">
        <f t="array" ref="M592">IFERROR(_xlfn.IFS(N592=1,1,O592=1,1,P592=1,1,Q592=1,1),0)</f>
        <v>1</v>
      </c>
      <c r="N592" s="395"/>
      <c r="O592" s="418"/>
      <c r="P592" s="395">
        <v>1</v>
      </c>
      <c r="Q592" s="418"/>
    </row>
    <row r="593" spans="1:46" ht="3" customHeight="1" outlineLevel="1">
      <c r="A593" s="548"/>
      <c r="B593" s="552"/>
      <c r="K593" s="408"/>
      <c r="L593" s="408"/>
    </row>
    <row r="594" spans="1:46" outlineLevel="1">
      <c r="A594" s="460" t="s">
        <v>96</v>
      </c>
      <c r="B594" s="460" t="s">
        <v>97</v>
      </c>
      <c r="C594" s="460"/>
      <c r="D594" s="460"/>
      <c r="E594" s="460"/>
      <c r="G594" s="460"/>
      <c r="H594" s="460"/>
      <c r="I594" s="460"/>
      <c r="K594" s="408"/>
      <c r="L594" s="408"/>
    </row>
    <row r="595" spans="1:46" s="407" customFormat="1" ht="12" customHeight="1" outlineLevel="2">
      <c r="A595" s="415"/>
      <c r="B595" s="549"/>
      <c r="C595" s="387"/>
      <c r="D595" s="462"/>
      <c r="E595" s="388" t="s">
        <v>1048</v>
      </c>
      <c r="F595" s="473"/>
      <c r="G595" s="386" t="s">
        <v>1060</v>
      </c>
      <c r="H595" s="400" t="str">
        <f t="shared" ref="H595:H600" si="47">CONCATENATE(G595,"-",I595)</f>
        <v>L22P-1</v>
      </c>
      <c r="I595" s="390">
        <v>1</v>
      </c>
      <c r="J595" s="399"/>
      <c r="K595" s="397"/>
      <c r="L595" s="397"/>
      <c r="M595" s="395" cm="1">
        <f t="array" ref="M595">IFERROR(_xlfn.IFS(N595=1,1,O595=1,1,P595=1,1,Q595=1,1),0)</f>
        <v>1</v>
      </c>
      <c r="N595" s="395"/>
      <c r="O595" s="418"/>
      <c r="P595" s="395">
        <v>1</v>
      </c>
      <c r="Q595" s="418"/>
    </row>
    <row r="596" spans="1:46" s="407" customFormat="1" ht="12" customHeight="1" outlineLevel="2">
      <c r="A596" s="415"/>
      <c r="B596" s="549"/>
      <c r="C596" s="387"/>
      <c r="D596" s="462"/>
      <c r="E596" s="388" t="s">
        <v>1050</v>
      </c>
      <c r="F596" s="473"/>
      <c r="G596" s="386" t="s">
        <v>1060</v>
      </c>
      <c r="H596" s="400" t="str">
        <f t="shared" si="47"/>
        <v>L22P-1</v>
      </c>
      <c r="I596" s="390">
        <v>1</v>
      </c>
      <c r="J596" s="399"/>
      <c r="K596" s="397"/>
      <c r="L596" s="397"/>
      <c r="M596" s="395" cm="1">
        <f t="array" ref="M596">IFERROR(_xlfn.IFS(N596=1,1,O596=1,1,P596=1,1,Q596=1,1),0)</f>
        <v>1</v>
      </c>
      <c r="N596" s="395"/>
      <c r="O596" s="418"/>
      <c r="P596" s="395">
        <v>1</v>
      </c>
      <c r="Q596" s="418"/>
    </row>
    <row r="597" spans="1:46" s="407" customFormat="1" ht="12" customHeight="1" outlineLevel="2">
      <c r="A597" s="415"/>
      <c r="B597" s="549"/>
      <c r="C597" s="387"/>
      <c r="D597" s="462"/>
      <c r="E597" s="388" t="s">
        <v>1051</v>
      </c>
      <c r="F597" s="473"/>
      <c r="G597" s="386" t="s">
        <v>1060</v>
      </c>
      <c r="H597" s="400" t="str">
        <f t="shared" si="47"/>
        <v>L22P-1</v>
      </c>
      <c r="I597" s="390">
        <v>1</v>
      </c>
      <c r="J597" s="399"/>
      <c r="K597" s="397"/>
      <c r="L597" s="397"/>
      <c r="M597" s="395" cm="1">
        <f t="array" ref="M597">IFERROR(_xlfn.IFS(N597=1,1,O597=1,1,P597=1,1,Q597=1,1),0)</f>
        <v>1</v>
      </c>
      <c r="N597" s="395"/>
      <c r="O597" s="418"/>
      <c r="P597" s="395">
        <v>1</v>
      </c>
      <c r="Q597" s="418"/>
    </row>
    <row r="598" spans="1:46" s="407" customFormat="1" ht="12" customHeight="1" outlineLevel="2">
      <c r="A598" s="415"/>
      <c r="B598" s="549"/>
      <c r="C598" s="387"/>
      <c r="D598" s="462"/>
      <c r="E598" s="388" t="s">
        <v>1052</v>
      </c>
      <c r="F598" s="473"/>
      <c r="G598" s="386" t="s">
        <v>1060</v>
      </c>
      <c r="H598" s="400" t="str">
        <f t="shared" si="47"/>
        <v>L22P-1</v>
      </c>
      <c r="I598" s="390">
        <v>1</v>
      </c>
      <c r="J598" s="399"/>
      <c r="K598" s="397"/>
      <c r="L598" s="397"/>
      <c r="M598" s="395" cm="1">
        <f t="array" ref="M598">IFERROR(_xlfn.IFS(N598=1,1,O598=1,1,P598=1,1,Q598=1,1),0)</f>
        <v>1</v>
      </c>
      <c r="N598" s="395"/>
      <c r="O598" s="418"/>
      <c r="P598" s="395">
        <v>1</v>
      </c>
      <c r="Q598" s="418"/>
    </row>
    <row r="599" spans="1:46" s="407" customFormat="1" ht="12" customHeight="1" outlineLevel="2">
      <c r="A599" s="415"/>
      <c r="B599" s="549"/>
      <c r="C599" s="387"/>
      <c r="D599" s="462"/>
      <c r="E599" s="388" t="s">
        <v>1053</v>
      </c>
      <c r="F599" s="473"/>
      <c r="G599" s="386" t="s">
        <v>1060</v>
      </c>
      <c r="H599" s="400" t="str">
        <f t="shared" si="47"/>
        <v>L22P-1</v>
      </c>
      <c r="I599" s="390">
        <v>1</v>
      </c>
      <c r="J599" s="399"/>
      <c r="K599" s="397"/>
      <c r="L599" s="397"/>
      <c r="M599" s="395" cm="1">
        <f t="array" ref="M599">IFERROR(_xlfn.IFS(N599=1,1,O599=1,1,P599=1,1,Q599=1,1),0)</f>
        <v>1</v>
      </c>
      <c r="N599" s="395"/>
      <c r="O599" s="418"/>
      <c r="P599" s="395">
        <v>1</v>
      </c>
      <c r="Q599" s="418"/>
    </row>
    <row r="600" spans="1:46" s="407" customFormat="1" ht="12" customHeight="1" outlineLevel="2">
      <c r="A600" s="415"/>
      <c r="B600" s="549"/>
      <c r="C600" s="387"/>
      <c r="D600" s="462"/>
      <c r="E600" s="388" t="s">
        <v>1054</v>
      </c>
      <c r="F600" s="473"/>
      <c r="G600" s="386" t="s">
        <v>1060</v>
      </c>
      <c r="H600" s="400" t="str">
        <f t="shared" si="47"/>
        <v>L22P-1</v>
      </c>
      <c r="I600" s="390">
        <v>1</v>
      </c>
      <c r="J600" s="399"/>
      <c r="K600" s="397"/>
      <c r="L600" s="397"/>
      <c r="M600" s="395" cm="1">
        <f t="array" ref="M600">IFERROR(_xlfn.IFS(N600=1,1,O600=1,1,P600=1,1,Q600=1,1),0)</f>
        <v>1</v>
      </c>
      <c r="N600" s="395"/>
      <c r="O600" s="418"/>
      <c r="P600" s="395">
        <v>1</v>
      </c>
      <c r="Q600" s="418"/>
    </row>
    <row r="601" spans="1:46" ht="3" customHeight="1">
      <c r="A601" s="548"/>
      <c r="B601" s="552"/>
      <c r="K601" s="408"/>
      <c r="L601" s="408"/>
    </row>
    <row r="602" spans="1:46" s="407" customFormat="1" ht="12" customHeight="1">
      <c r="A602" s="466" t="s">
        <v>99</v>
      </c>
      <c r="B602" s="550"/>
      <c r="C602" s="467"/>
      <c r="D602" s="468"/>
      <c r="E602" s="469"/>
      <c r="F602" s="472"/>
      <c r="G602" s="469"/>
      <c r="H602" s="469"/>
      <c r="I602" s="469"/>
      <c r="J602" s="472"/>
      <c r="K602" s="469"/>
      <c r="L602" s="469"/>
      <c r="M602" s="469"/>
      <c r="N602" s="469"/>
      <c r="O602" s="469"/>
      <c r="P602" s="469"/>
      <c r="Q602" s="469"/>
      <c r="R602" s="469"/>
      <c r="S602" s="469"/>
      <c r="T602" s="469"/>
      <c r="U602" s="469"/>
      <c r="V602" s="469"/>
      <c r="W602" s="469"/>
      <c r="X602" s="469"/>
      <c r="Y602" s="469"/>
      <c r="Z602" s="469"/>
      <c r="AA602" s="469"/>
      <c r="AB602" s="469"/>
      <c r="AC602" s="469"/>
      <c r="AD602" s="469"/>
      <c r="AE602" s="469"/>
      <c r="AF602" s="469"/>
      <c r="AG602" s="469"/>
      <c r="AH602" s="469"/>
      <c r="AI602" s="469"/>
      <c r="AJ602" s="469"/>
      <c r="AK602" s="469"/>
      <c r="AL602" s="469"/>
      <c r="AM602" s="469"/>
      <c r="AN602" s="469"/>
      <c r="AO602" s="469"/>
      <c r="AP602" s="469"/>
      <c r="AQ602" s="469"/>
      <c r="AR602" s="469"/>
      <c r="AS602" s="469"/>
      <c r="AT602" s="469"/>
    </row>
    <row r="603" spans="1:46" ht="3" customHeight="1" outlineLevel="1">
      <c r="A603" s="548"/>
      <c r="B603" s="552"/>
      <c r="K603" s="408"/>
      <c r="L603" s="408"/>
    </row>
    <row r="604" spans="1:46" outlineLevel="1">
      <c r="A604" s="460" t="s">
        <v>163</v>
      </c>
      <c r="B604" s="460" t="s">
        <v>25</v>
      </c>
      <c r="C604" s="460"/>
      <c r="D604" s="460"/>
      <c r="E604" s="460"/>
      <c r="G604" s="460"/>
      <c r="H604" s="460"/>
      <c r="I604" s="460"/>
      <c r="K604" s="408"/>
      <c r="L604" s="408"/>
    </row>
    <row r="605" spans="1:46" s="407" customFormat="1" ht="12" customHeight="1" outlineLevel="2">
      <c r="A605" s="415"/>
      <c r="B605" s="549"/>
      <c r="C605" s="387"/>
      <c r="D605" s="462"/>
      <c r="E605" s="388" t="s">
        <v>223</v>
      </c>
      <c r="F605" s="473"/>
      <c r="G605" s="386" t="s">
        <v>98</v>
      </c>
      <c r="H605" s="400" t="str">
        <f t="shared" ref="H605:H608" si="48">CONCATENATE(G605,"-",I605)</f>
        <v>MP-1</v>
      </c>
      <c r="I605" s="390">
        <v>1</v>
      </c>
      <c r="J605" s="399"/>
      <c r="K605" s="397"/>
      <c r="L605" s="397"/>
      <c r="M605" s="395" cm="1">
        <f t="array" ref="M605">IFERROR(_xlfn.IFS(N605=1,1,O605=1,1,P605=1,1,Q605=1,1),0)</f>
        <v>1</v>
      </c>
      <c r="N605" s="395">
        <v>1</v>
      </c>
      <c r="O605" s="395"/>
      <c r="P605" s="395"/>
      <c r="Q605" s="395"/>
    </row>
    <row r="606" spans="1:46" s="407" customFormat="1" ht="12" customHeight="1" outlineLevel="2">
      <c r="A606" s="415"/>
      <c r="B606" s="549"/>
      <c r="C606" s="387"/>
      <c r="D606" s="462"/>
      <c r="E606" s="388" t="s">
        <v>222</v>
      </c>
      <c r="F606" s="473"/>
      <c r="G606" s="386" t="s">
        <v>98</v>
      </c>
      <c r="H606" s="400" t="str">
        <f t="shared" si="48"/>
        <v>MP-1</v>
      </c>
      <c r="I606" s="390">
        <v>1</v>
      </c>
      <c r="J606" s="399"/>
      <c r="K606" s="397"/>
      <c r="L606" s="397"/>
      <c r="M606" s="395" cm="1">
        <f t="array" ref="M606">IFERROR(_xlfn.IFS(N606=1,1,O606=1,1,P606=1,1,Q606=1,1),0)</f>
        <v>1</v>
      </c>
      <c r="N606" s="395">
        <v>1</v>
      </c>
      <c r="O606" s="395"/>
      <c r="P606" s="395"/>
      <c r="Q606" s="395"/>
    </row>
    <row r="607" spans="1:46" s="407" customFormat="1" ht="12" customHeight="1" outlineLevel="2">
      <c r="A607" s="415"/>
      <c r="B607" s="549"/>
      <c r="C607" s="387"/>
      <c r="D607" s="462"/>
      <c r="E607" s="388" t="s">
        <v>282</v>
      </c>
      <c r="F607" s="473"/>
      <c r="G607" s="386" t="s">
        <v>98</v>
      </c>
      <c r="H607" s="400" t="str">
        <f t="shared" si="48"/>
        <v>MP-1</v>
      </c>
      <c r="I607" s="390">
        <v>1</v>
      </c>
      <c r="J607" s="399"/>
      <c r="K607" s="397"/>
      <c r="L607" s="397"/>
      <c r="M607" s="395" cm="1">
        <f t="array" ref="M607">IFERROR(_xlfn.IFS(N607=1,1,O607=1,1,P607=1,1,Q607=1,1),0)</f>
        <v>1</v>
      </c>
      <c r="N607" s="395">
        <v>1</v>
      </c>
    </row>
    <row r="608" spans="1:46" s="407" customFormat="1" ht="12" customHeight="1" outlineLevel="2">
      <c r="A608" s="415"/>
      <c r="B608" s="549"/>
      <c r="C608" s="387"/>
      <c r="D608" s="462"/>
      <c r="E608" s="388" t="s">
        <v>1061</v>
      </c>
      <c r="F608" s="473"/>
      <c r="G608" s="386" t="s">
        <v>98</v>
      </c>
      <c r="H608" s="400" t="str">
        <f t="shared" si="48"/>
        <v>MP-1</v>
      </c>
      <c r="I608" s="390">
        <v>1</v>
      </c>
      <c r="J608" s="399"/>
      <c r="K608" s="397"/>
      <c r="L608" s="397"/>
      <c r="M608" s="395" cm="1">
        <f t="array" ref="M608">IFERROR(_xlfn.IFS(N608=1,1,O608=1,1,P608=1,1,Q608=1,1),0)</f>
        <v>1</v>
      </c>
      <c r="N608" s="395">
        <v>1</v>
      </c>
    </row>
    <row r="609" spans="1:20" s="407" customFormat="1" ht="12" customHeight="1" outlineLevel="2">
      <c r="A609" s="415"/>
      <c r="B609" s="549"/>
      <c r="C609" s="387"/>
      <c r="D609" s="462" t="s">
        <v>1062</v>
      </c>
      <c r="E609" s="388" t="s">
        <v>1063</v>
      </c>
      <c r="F609" s="473"/>
      <c r="G609" s="386" t="s">
        <v>98</v>
      </c>
      <c r="H609" s="400" t="str">
        <f t="shared" ref="H609" si="49">CONCATENATE(G609,"-",I609)</f>
        <v>MP-1</v>
      </c>
      <c r="I609" s="390">
        <v>1</v>
      </c>
      <c r="J609" s="473"/>
      <c r="K609" s="413"/>
      <c r="L609" s="572" t="s">
        <v>193</v>
      </c>
      <c r="M609" s="575">
        <v>1</v>
      </c>
      <c r="N609" s="395">
        <v>1</v>
      </c>
      <c r="O609" s="395"/>
      <c r="R609" s="395">
        <v>1</v>
      </c>
      <c r="S609" s="395"/>
      <c r="T609" s="576">
        <v>1</v>
      </c>
    </row>
    <row r="610" spans="1:20" s="407" customFormat="1" ht="12" customHeight="1" outlineLevel="2">
      <c r="A610" s="415"/>
      <c r="B610" s="549"/>
      <c r="C610" s="387"/>
      <c r="D610" s="462" t="s">
        <v>1064</v>
      </c>
      <c r="E610" s="388" t="s">
        <v>1065</v>
      </c>
      <c r="F610" s="473"/>
      <c r="G610" s="386" t="s">
        <v>98</v>
      </c>
      <c r="H610" s="400" t="str">
        <f t="shared" ref="H610" si="50">CONCATENATE(G610,"-",I610)</f>
        <v>MP-1</v>
      </c>
      <c r="I610" s="390">
        <v>1</v>
      </c>
      <c r="J610" s="473"/>
      <c r="K610" s="413"/>
      <c r="L610" s="572" t="s">
        <v>193</v>
      </c>
      <c r="M610" s="575">
        <v>1</v>
      </c>
      <c r="N610" s="395">
        <v>1</v>
      </c>
      <c r="O610" s="395"/>
      <c r="R610" s="395">
        <v>1</v>
      </c>
      <c r="S610" s="395"/>
      <c r="T610" s="576">
        <v>1</v>
      </c>
    </row>
    <row r="611" spans="1:20" ht="3" customHeight="1" outlineLevel="1">
      <c r="A611" s="548"/>
      <c r="B611" s="552"/>
      <c r="K611" s="408"/>
      <c r="L611" s="408"/>
    </row>
    <row r="612" spans="1:20" outlineLevel="1">
      <c r="A612" s="460" t="s">
        <v>164</v>
      </c>
      <c r="B612" s="460" t="s">
        <v>102</v>
      </c>
      <c r="C612" s="460"/>
      <c r="D612" s="460"/>
      <c r="E612" s="460"/>
      <c r="G612" s="460"/>
      <c r="H612" s="460"/>
      <c r="I612" s="460"/>
      <c r="K612" s="408"/>
      <c r="L612" s="408"/>
    </row>
    <row r="613" spans="1:20" s="407" customFormat="1" ht="12" customHeight="1" outlineLevel="2">
      <c r="A613" s="415"/>
      <c r="B613" s="549"/>
      <c r="C613" s="387"/>
      <c r="D613" s="558" t="s">
        <v>1066</v>
      </c>
      <c r="E613" s="388"/>
      <c r="F613" s="473"/>
      <c r="G613" s="386"/>
      <c r="H613" s="400"/>
      <c r="I613" s="390"/>
      <c r="J613" s="473"/>
      <c r="K613" s="413"/>
      <c r="L613" s="392"/>
      <c r="M613" s="395"/>
      <c r="N613" s="395"/>
      <c r="T613" s="576"/>
    </row>
    <row r="614" spans="1:20" s="407" customFormat="1" ht="12" customHeight="1" outlineLevel="2">
      <c r="A614" s="415"/>
      <c r="B614" s="549"/>
      <c r="C614" s="387"/>
      <c r="D614" s="462" t="s">
        <v>1067</v>
      </c>
      <c r="E614" s="388" t="s">
        <v>1068</v>
      </c>
      <c r="F614" s="473"/>
      <c r="G614" s="386" t="s">
        <v>98</v>
      </c>
      <c r="H614" s="400" t="str">
        <f t="shared" ref="H614:H615" si="51">CONCATENATE(G614,"-",I614)</f>
        <v>MP-2</v>
      </c>
      <c r="I614" s="390">
        <v>2</v>
      </c>
      <c r="J614" s="473"/>
      <c r="K614" s="413"/>
      <c r="L614" s="572" t="s">
        <v>193</v>
      </c>
      <c r="M614" s="575">
        <v>1</v>
      </c>
      <c r="N614" s="395">
        <v>1</v>
      </c>
      <c r="O614" s="395"/>
      <c r="R614" s="395">
        <v>1</v>
      </c>
      <c r="S614" s="395"/>
      <c r="T614" s="576">
        <v>1</v>
      </c>
    </row>
    <row r="615" spans="1:20" s="407" customFormat="1" ht="12" customHeight="1" outlineLevel="2">
      <c r="A615" s="415"/>
      <c r="B615" s="549"/>
      <c r="C615" s="387"/>
      <c r="D615" s="462" t="s">
        <v>1069</v>
      </c>
      <c r="E615" s="388" t="s">
        <v>1070</v>
      </c>
      <c r="F615" s="473"/>
      <c r="G615" s="386" t="s">
        <v>98</v>
      </c>
      <c r="H615" s="400" t="str">
        <f t="shared" si="51"/>
        <v>MP-2</v>
      </c>
      <c r="I615" s="390">
        <v>2</v>
      </c>
      <c r="J615" s="473"/>
      <c r="K615" s="413"/>
      <c r="L615" s="572" t="s">
        <v>193</v>
      </c>
      <c r="M615" s="575">
        <v>1</v>
      </c>
      <c r="N615" s="395">
        <v>1</v>
      </c>
      <c r="O615" s="395"/>
      <c r="R615" s="395">
        <v>1</v>
      </c>
      <c r="S615" s="395"/>
      <c r="T615" s="576">
        <v>1</v>
      </c>
    </row>
    <row r="616" spans="1:20" s="407" customFormat="1" ht="12" customHeight="1" outlineLevel="2">
      <c r="A616" s="415"/>
      <c r="B616" s="549"/>
      <c r="C616" s="387"/>
      <c r="D616" s="462" t="s">
        <v>1071</v>
      </c>
      <c r="E616" s="388" t="s">
        <v>1072</v>
      </c>
      <c r="F616" s="473"/>
      <c r="G616" s="386" t="s">
        <v>98</v>
      </c>
      <c r="H616" s="400" t="str">
        <f t="shared" ref="H616:H617" si="52">CONCATENATE(G616,"-",I616)</f>
        <v>MP-2</v>
      </c>
      <c r="I616" s="390">
        <v>2</v>
      </c>
      <c r="J616" s="473"/>
      <c r="K616" s="413"/>
      <c r="L616" s="572" t="s">
        <v>193</v>
      </c>
      <c r="M616" s="575">
        <v>1</v>
      </c>
      <c r="N616" s="395">
        <v>1</v>
      </c>
      <c r="O616" s="395"/>
      <c r="R616" s="395">
        <v>1</v>
      </c>
      <c r="S616" s="395"/>
      <c r="T616" s="576">
        <v>1</v>
      </c>
    </row>
    <row r="617" spans="1:20" s="407" customFormat="1" ht="12" customHeight="1" outlineLevel="2">
      <c r="A617" s="415"/>
      <c r="B617" s="549"/>
      <c r="C617" s="387"/>
      <c r="D617" s="462" t="s">
        <v>1073</v>
      </c>
      <c r="E617" s="388" t="s">
        <v>1072</v>
      </c>
      <c r="F617" s="473"/>
      <c r="G617" s="386" t="s">
        <v>98</v>
      </c>
      <c r="H617" s="400" t="str">
        <f t="shared" si="52"/>
        <v>MP-2</v>
      </c>
      <c r="I617" s="390">
        <v>2</v>
      </c>
      <c r="J617" s="473"/>
      <c r="K617" s="413"/>
      <c r="L617" s="572" t="s">
        <v>193</v>
      </c>
      <c r="M617" s="575">
        <v>1</v>
      </c>
      <c r="N617" s="395">
        <v>1</v>
      </c>
      <c r="O617" s="395"/>
      <c r="R617" s="395">
        <v>1</v>
      </c>
      <c r="S617" s="395"/>
      <c r="T617" s="576">
        <v>1</v>
      </c>
    </row>
    <row r="618" spans="1:20" s="407" customFormat="1" ht="12" customHeight="1" outlineLevel="2">
      <c r="A618" s="415"/>
      <c r="B618" s="549"/>
      <c r="C618" s="387"/>
      <c r="D618" s="462" t="s">
        <v>1074</v>
      </c>
      <c r="E618" s="388" t="s">
        <v>1072</v>
      </c>
      <c r="F618" s="473"/>
      <c r="G618" s="386" t="s">
        <v>98</v>
      </c>
      <c r="H618" s="400" t="str">
        <f t="shared" ref="H618:H619" si="53">CONCATENATE(G618,"-",I618)</f>
        <v>MP-2</v>
      </c>
      <c r="I618" s="390">
        <v>2</v>
      </c>
      <c r="J618" s="473"/>
      <c r="K618" s="413"/>
      <c r="L618" s="572" t="s">
        <v>193</v>
      </c>
      <c r="M618" s="575">
        <v>1</v>
      </c>
      <c r="N618" s="395">
        <v>1</v>
      </c>
      <c r="O618" s="395"/>
      <c r="R618" s="395">
        <v>1</v>
      </c>
      <c r="S618" s="395"/>
      <c r="T618" s="576">
        <v>1</v>
      </c>
    </row>
    <row r="619" spans="1:20" s="407" customFormat="1" ht="12" customHeight="1" outlineLevel="2">
      <c r="A619" s="415"/>
      <c r="B619" s="549"/>
      <c r="C619" s="387"/>
      <c r="D619" s="462" t="s">
        <v>1075</v>
      </c>
      <c r="E619" s="388" t="s">
        <v>1072</v>
      </c>
      <c r="F619" s="473"/>
      <c r="G619" s="386" t="s">
        <v>98</v>
      </c>
      <c r="H619" s="400" t="str">
        <f t="shared" si="53"/>
        <v>MP-2</v>
      </c>
      <c r="I619" s="390">
        <v>2</v>
      </c>
      <c r="J619" s="473"/>
      <c r="K619" s="413"/>
      <c r="L619" s="572" t="s">
        <v>193</v>
      </c>
      <c r="M619" s="575">
        <v>1</v>
      </c>
      <c r="N619" s="395">
        <v>1</v>
      </c>
      <c r="O619" s="395"/>
      <c r="R619" s="395">
        <v>1</v>
      </c>
      <c r="S619" s="395"/>
      <c r="T619" s="576">
        <v>1</v>
      </c>
    </row>
    <row r="620" spans="1:20" s="407" customFormat="1" ht="12" customHeight="1" outlineLevel="2">
      <c r="A620" s="415"/>
      <c r="B620" s="549"/>
      <c r="C620" s="387"/>
      <c r="D620" s="462"/>
      <c r="E620" s="388" t="s">
        <v>223</v>
      </c>
      <c r="F620" s="473"/>
      <c r="G620" s="386" t="s">
        <v>98</v>
      </c>
      <c r="H620" s="400" t="str">
        <f t="shared" ref="H620" si="54">CONCATENATE(G620,"-",I620)</f>
        <v>MP-2</v>
      </c>
      <c r="I620" s="390">
        <v>2</v>
      </c>
      <c r="J620" s="399"/>
      <c r="K620" s="397"/>
      <c r="L620" s="397"/>
      <c r="M620" s="395" cm="1">
        <f t="array" ref="M620">IFERROR(_xlfn.IFS(N620=1,1,O620=1,1,P620=1,1,Q620=1,1),0)</f>
        <v>1</v>
      </c>
      <c r="N620" s="395">
        <v>1</v>
      </c>
    </row>
    <row r="621" spans="1:20" s="407" customFormat="1" ht="12" customHeight="1" outlineLevel="2">
      <c r="A621" s="415"/>
      <c r="B621" s="549"/>
      <c r="C621" s="387"/>
      <c r="D621" s="462"/>
      <c r="E621" s="388" t="s">
        <v>227</v>
      </c>
      <c r="F621" s="473"/>
      <c r="G621" s="386" t="s">
        <v>98</v>
      </c>
      <c r="H621" s="400" t="str">
        <f t="shared" ref="H621:H643" si="55">CONCATENATE(G621,"-",I621)</f>
        <v>MP-2</v>
      </c>
      <c r="I621" s="390">
        <v>2</v>
      </c>
      <c r="J621" s="399"/>
      <c r="K621" s="397"/>
      <c r="L621" s="397"/>
      <c r="M621" s="395" cm="1">
        <f t="array" ref="M621">IFERROR(_xlfn.IFS(N621=1,1,O621=1,1,P621=1,1,Q621=1,1),0)</f>
        <v>1</v>
      </c>
      <c r="N621" s="395">
        <v>1</v>
      </c>
    </row>
    <row r="622" spans="1:20" s="407" customFormat="1" ht="12" customHeight="1" outlineLevel="2">
      <c r="A622" s="415"/>
      <c r="B622" s="549"/>
      <c r="C622" s="387"/>
      <c r="D622" s="462"/>
      <c r="E622" s="388" t="s">
        <v>230</v>
      </c>
      <c r="F622" s="473"/>
      <c r="G622" s="386" t="s">
        <v>98</v>
      </c>
      <c r="H622" s="400" t="str">
        <f t="shared" si="55"/>
        <v>MP-2</v>
      </c>
      <c r="I622" s="390">
        <v>2</v>
      </c>
      <c r="J622" s="399"/>
      <c r="K622" s="397"/>
      <c r="L622" s="397"/>
      <c r="M622" s="395" cm="1">
        <f t="array" ref="M622">IFERROR(_xlfn.IFS(N622=1,1,O622=1,1,P622=1,1,Q622=1,1),0)</f>
        <v>1</v>
      </c>
      <c r="N622" s="395">
        <v>1</v>
      </c>
    </row>
    <row r="623" spans="1:20" s="407" customFormat="1" ht="12" customHeight="1" outlineLevel="2">
      <c r="A623" s="415"/>
      <c r="B623" s="549"/>
      <c r="C623" s="387"/>
      <c r="D623" s="462"/>
      <c r="E623" s="388" t="s">
        <v>269</v>
      </c>
      <c r="F623" s="473"/>
      <c r="G623" s="386" t="s">
        <v>98</v>
      </c>
      <c r="H623" s="400" t="str">
        <f t="shared" si="55"/>
        <v>MP-2</v>
      </c>
      <c r="I623" s="390">
        <v>2</v>
      </c>
      <c r="J623" s="399"/>
      <c r="K623" s="397"/>
      <c r="L623" s="397"/>
      <c r="M623" s="395" cm="1">
        <f t="array" ref="M623">IFERROR(_xlfn.IFS(N623=1,1,O623=1,1,P623=1,1,Q623=1,1),0)</f>
        <v>1</v>
      </c>
      <c r="N623" s="395">
        <v>1</v>
      </c>
    </row>
    <row r="624" spans="1:20" s="407" customFormat="1" ht="12" customHeight="1" outlineLevel="2">
      <c r="A624" s="415"/>
      <c r="B624" s="549"/>
      <c r="C624" s="387"/>
      <c r="D624" s="462"/>
      <c r="E624" s="388" t="s">
        <v>1076</v>
      </c>
      <c r="F624" s="473"/>
      <c r="G624" s="386" t="s">
        <v>98</v>
      </c>
      <c r="H624" s="400" t="str">
        <f t="shared" si="55"/>
        <v>MP-2</v>
      </c>
      <c r="I624" s="390">
        <v>2</v>
      </c>
      <c r="J624" s="399"/>
      <c r="K624" s="397"/>
      <c r="L624" s="397"/>
      <c r="M624" s="395" cm="1">
        <f t="array" ref="M624">IFERROR(_xlfn.IFS(N624=1,1,O624=1,1,P624=1,1,Q624=1,1),0)</f>
        <v>1</v>
      </c>
      <c r="N624" s="395">
        <v>1</v>
      </c>
    </row>
    <row r="625" spans="1:14" s="407" customFormat="1" ht="12" customHeight="1" outlineLevel="2">
      <c r="A625" s="415"/>
      <c r="B625" s="549"/>
      <c r="C625" s="387"/>
      <c r="D625" s="462"/>
      <c r="E625" s="388" t="s">
        <v>270</v>
      </c>
      <c r="F625" s="473"/>
      <c r="G625" s="386" t="s">
        <v>98</v>
      </c>
      <c r="H625" s="400" t="str">
        <f t="shared" si="55"/>
        <v>MP-2</v>
      </c>
      <c r="I625" s="390">
        <v>2</v>
      </c>
      <c r="J625" s="399"/>
      <c r="K625" s="397"/>
      <c r="L625" s="397"/>
      <c r="M625" s="395" cm="1">
        <f t="array" ref="M625">IFERROR(_xlfn.IFS(N625=1,1,O625=1,1,P625=1,1,Q625=1,1),0)</f>
        <v>1</v>
      </c>
      <c r="N625" s="395">
        <v>1</v>
      </c>
    </row>
    <row r="626" spans="1:14" s="407" customFormat="1" ht="12" customHeight="1" outlineLevel="2">
      <c r="A626" s="415"/>
      <c r="B626" s="549"/>
      <c r="C626" s="387"/>
      <c r="D626" s="462"/>
      <c r="E626" s="388" t="s">
        <v>1077</v>
      </c>
      <c r="F626" s="473"/>
      <c r="G626" s="386" t="s">
        <v>98</v>
      </c>
      <c r="H626" s="400" t="str">
        <f t="shared" si="55"/>
        <v>MP-2</v>
      </c>
      <c r="I626" s="390">
        <v>2</v>
      </c>
      <c r="J626" s="399"/>
      <c r="K626" s="397"/>
      <c r="L626" s="397"/>
      <c r="M626" s="395" cm="1">
        <f t="array" ref="M626">IFERROR(_xlfn.IFS(N626=1,1,O626=1,1,P626=1,1,Q626=1,1),0)</f>
        <v>1</v>
      </c>
      <c r="N626" s="395">
        <v>1</v>
      </c>
    </row>
    <row r="627" spans="1:14" s="407" customFormat="1" ht="12" customHeight="1" outlineLevel="2">
      <c r="A627" s="415"/>
      <c r="B627" s="549"/>
      <c r="C627" s="387"/>
      <c r="D627" s="462"/>
      <c r="E627" s="388" t="s">
        <v>275</v>
      </c>
      <c r="F627" s="473"/>
      <c r="G627" s="386" t="s">
        <v>98</v>
      </c>
      <c r="H627" s="400" t="str">
        <f t="shared" si="55"/>
        <v>MP-2</v>
      </c>
      <c r="I627" s="390">
        <v>2</v>
      </c>
      <c r="J627" s="399"/>
      <c r="K627" s="397"/>
      <c r="L627" s="397"/>
      <c r="M627" s="395" cm="1">
        <f t="array" ref="M627">IFERROR(_xlfn.IFS(N627=1,1,O627=1,1,P627=1,1,Q627=1,1),0)</f>
        <v>1</v>
      </c>
      <c r="N627" s="395">
        <v>1</v>
      </c>
    </row>
    <row r="628" spans="1:14" s="407" customFormat="1" ht="12" customHeight="1" outlineLevel="2">
      <c r="A628" s="415"/>
      <c r="B628" s="549"/>
      <c r="C628" s="387"/>
      <c r="D628" s="462"/>
      <c r="E628" s="388" t="s">
        <v>1078</v>
      </c>
      <c r="F628" s="473"/>
      <c r="G628" s="386" t="s">
        <v>98</v>
      </c>
      <c r="H628" s="400" t="str">
        <f t="shared" si="55"/>
        <v>MP-2</v>
      </c>
      <c r="I628" s="390">
        <v>2</v>
      </c>
      <c r="J628" s="399"/>
      <c r="K628" s="397"/>
      <c r="L628" s="397"/>
      <c r="M628" s="395" cm="1">
        <f t="array" ref="M628">IFERROR(_xlfn.IFS(N628=1,1,O628=1,1,P628=1,1,Q628=1,1),0)</f>
        <v>1</v>
      </c>
      <c r="N628" s="395">
        <v>1</v>
      </c>
    </row>
    <row r="629" spans="1:14" s="407" customFormat="1" ht="12" customHeight="1" outlineLevel="2">
      <c r="A629" s="415"/>
      <c r="B629" s="549"/>
      <c r="C629" s="387"/>
      <c r="D629" s="462"/>
      <c r="E629" s="388" t="s">
        <v>1079</v>
      </c>
      <c r="F629" s="473"/>
      <c r="G629" s="386" t="s">
        <v>98</v>
      </c>
      <c r="H629" s="400" t="str">
        <f t="shared" si="55"/>
        <v>MP-2</v>
      </c>
      <c r="I629" s="390">
        <v>2</v>
      </c>
      <c r="J629" s="399"/>
      <c r="K629" s="397"/>
      <c r="L629" s="397"/>
      <c r="M629" s="395" cm="1">
        <f t="array" ref="M629">IFERROR(_xlfn.IFS(N629=1,1,O629=1,1,P629=1,1,Q629=1,1),0)</f>
        <v>1</v>
      </c>
      <c r="N629" s="395">
        <v>1</v>
      </c>
    </row>
    <row r="630" spans="1:14" s="407" customFormat="1" ht="12" customHeight="1" outlineLevel="2">
      <c r="A630" s="415"/>
      <c r="B630" s="549"/>
      <c r="C630" s="387"/>
      <c r="D630" s="462"/>
      <c r="E630" s="388" t="s">
        <v>273</v>
      </c>
      <c r="F630" s="473"/>
      <c r="G630" s="386" t="s">
        <v>98</v>
      </c>
      <c r="H630" s="400" t="str">
        <f t="shared" si="55"/>
        <v>MP-2</v>
      </c>
      <c r="I630" s="390">
        <v>2</v>
      </c>
      <c r="J630" s="399"/>
      <c r="K630" s="397"/>
      <c r="L630" s="397"/>
      <c r="M630" s="395" cm="1">
        <f t="array" ref="M630">IFERROR(_xlfn.IFS(N630=1,1,O630=1,1,P630=1,1,Q630=1,1),0)</f>
        <v>1</v>
      </c>
      <c r="N630" s="395">
        <v>1</v>
      </c>
    </row>
    <row r="631" spans="1:14" s="407" customFormat="1" ht="12" customHeight="1" outlineLevel="2">
      <c r="D631" s="462"/>
      <c r="E631" s="388" t="s">
        <v>274</v>
      </c>
      <c r="F631" s="473"/>
      <c r="G631" s="386" t="s">
        <v>98</v>
      </c>
      <c r="H631" s="400" t="str">
        <f t="shared" si="55"/>
        <v>MP-2</v>
      </c>
      <c r="I631" s="390">
        <v>2</v>
      </c>
      <c r="J631" s="399"/>
      <c r="K631" s="397"/>
      <c r="L631" s="397"/>
      <c r="M631" s="395" cm="1">
        <f t="array" ref="M631">IFERROR(_xlfn.IFS(N631=1,1,O631=1,1,P631=1,1,Q631=1,1),0)</f>
        <v>1</v>
      </c>
      <c r="N631" s="395">
        <v>1</v>
      </c>
    </row>
    <row r="632" spans="1:14" s="407" customFormat="1" ht="12" customHeight="1" outlineLevel="2">
      <c r="D632" s="462"/>
      <c r="E632" s="388" t="s">
        <v>276</v>
      </c>
      <c r="F632" s="473"/>
      <c r="G632" s="386" t="s">
        <v>98</v>
      </c>
      <c r="H632" s="400" t="str">
        <f t="shared" si="55"/>
        <v>MP-2</v>
      </c>
      <c r="I632" s="390">
        <v>2</v>
      </c>
      <c r="J632" s="399"/>
      <c r="K632" s="397"/>
      <c r="L632" s="397"/>
      <c r="M632" s="395" cm="1">
        <f t="array" ref="M632">IFERROR(_xlfn.IFS(N632=1,1,O632=1,1,P632=1,1,Q632=1,1),0)</f>
        <v>1</v>
      </c>
      <c r="N632" s="395">
        <v>1</v>
      </c>
    </row>
    <row r="633" spans="1:14" s="407" customFormat="1" ht="12" customHeight="1" outlineLevel="2">
      <c r="D633" s="462"/>
      <c r="E633" s="388" t="s">
        <v>277</v>
      </c>
      <c r="F633" s="473"/>
      <c r="G633" s="386" t="s">
        <v>98</v>
      </c>
      <c r="H633" s="400" t="str">
        <f t="shared" si="55"/>
        <v>MP-2</v>
      </c>
      <c r="I633" s="390">
        <v>2</v>
      </c>
      <c r="J633" s="399"/>
      <c r="K633" s="397"/>
      <c r="L633" s="397"/>
      <c r="M633" s="395" cm="1">
        <f t="array" ref="M633">IFERROR(_xlfn.IFS(N633=1,1,O633=1,1,P633=1,1,Q633=1,1),0)</f>
        <v>1</v>
      </c>
      <c r="N633" s="395">
        <v>1</v>
      </c>
    </row>
    <row r="634" spans="1:14" s="407" customFormat="1" ht="12" customHeight="1" outlineLevel="2">
      <c r="D634" s="462"/>
      <c r="E634" s="388" t="s">
        <v>278</v>
      </c>
      <c r="F634" s="473"/>
      <c r="G634" s="386" t="s">
        <v>98</v>
      </c>
      <c r="H634" s="400" t="str">
        <f t="shared" si="55"/>
        <v>MP-2</v>
      </c>
      <c r="I634" s="390">
        <v>2</v>
      </c>
      <c r="J634" s="399"/>
      <c r="K634" s="397"/>
      <c r="L634" s="397"/>
      <c r="M634" s="395" cm="1">
        <f t="array" ref="M634">IFERROR(_xlfn.IFS(N634=1,1,O634=1,1,P634=1,1,Q634=1,1),0)</f>
        <v>1</v>
      </c>
      <c r="N634" s="395">
        <v>1</v>
      </c>
    </row>
    <row r="635" spans="1:14" s="407" customFormat="1" ht="12" customHeight="1" outlineLevel="2">
      <c r="D635" s="462"/>
      <c r="E635" s="388" t="s">
        <v>1080</v>
      </c>
      <c r="F635" s="473"/>
      <c r="G635" s="386" t="s">
        <v>98</v>
      </c>
      <c r="H635" s="400" t="str">
        <f t="shared" si="55"/>
        <v>MP-2</v>
      </c>
      <c r="I635" s="390">
        <v>2</v>
      </c>
      <c r="J635" s="399"/>
      <c r="K635" s="397"/>
      <c r="L635" s="397"/>
      <c r="M635" s="395" cm="1">
        <f t="array" ref="M635">IFERROR(_xlfn.IFS(N635=1,1,O635=1,1,P635=1,1,Q635=1,1),0)</f>
        <v>1</v>
      </c>
      <c r="N635" s="395">
        <v>1</v>
      </c>
    </row>
    <row r="636" spans="1:14" s="407" customFormat="1" ht="12" customHeight="1" outlineLevel="2">
      <c r="D636" s="462"/>
      <c r="E636" s="388" t="s">
        <v>1081</v>
      </c>
      <c r="F636" s="473"/>
      <c r="G636" s="386" t="s">
        <v>98</v>
      </c>
      <c r="H636" s="400" t="str">
        <f t="shared" si="55"/>
        <v>MP-2</v>
      </c>
      <c r="I636" s="390">
        <v>2</v>
      </c>
      <c r="J636" s="399"/>
      <c r="K636" s="397"/>
      <c r="L636" s="397"/>
      <c r="M636" s="395" cm="1">
        <f t="array" ref="M636">IFERROR(_xlfn.IFS(N636=1,1,O636=1,1,P636=1,1,Q636=1,1),0)</f>
        <v>1</v>
      </c>
      <c r="N636" s="395">
        <v>1</v>
      </c>
    </row>
    <row r="637" spans="1:14" s="407" customFormat="1" ht="12" customHeight="1" outlineLevel="2">
      <c r="D637" s="462"/>
      <c r="E637" s="388" t="s">
        <v>1082</v>
      </c>
      <c r="F637" s="473"/>
      <c r="G637" s="386" t="s">
        <v>98</v>
      </c>
      <c r="H637" s="400" t="str">
        <f t="shared" si="55"/>
        <v>MP-2</v>
      </c>
      <c r="I637" s="390">
        <v>2</v>
      </c>
      <c r="J637" s="399"/>
      <c r="K637" s="397"/>
      <c r="L637" s="397"/>
      <c r="M637" s="395" cm="1">
        <f t="array" ref="M637">IFERROR(_xlfn.IFS(N637=1,1,O637=1,1,P637=1,1,Q637=1,1),0)</f>
        <v>1</v>
      </c>
      <c r="N637" s="395">
        <v>1</v>
      </c>
    </row>
    <row r="638" spans="1:14" s="407" customFormat="1" ht="12" customHeight="1" outlineLevel="2">
      <c r="D638" s="462"/>
      <c r="E638" s="388" t="s">
        <v>1083</v>
      </c>
      <c r="F638" s="473"/>
      <c r="G638" s="386" t="s">
        <v>98</v>
      </c>
      <c r="H638" s="400" t="str">
        <f t="shared" si="55"/>
        <v>MP-2</v>
      </c>
      <c r="I638" s="390">
        <v>2</v>
      </c>
      <c r="J638" s="399"/>
      <c r="K638" s="397"/>
      <c r="L638" s="397"/>
      <c r="M638" s="395" cm="1">
        <f t="array" ref="M638">IFERROR(_xlfn.IFS(N638=1,1,O638=1,1,P638=1,1,Q638=1,1),0)</f>
        <v>1</v>
      </c>
      <c r="N638" s="395">
        <v>1</v>
      </c>
    </row>
    <row r="639" spans="1:14" s="407" customFormat="1" ht="12" customHeight="1" outlineLevel="2">
      <c r="D639" s="462"/>
      <c r="E639" s="388" t="s">
        <v>1084</v>
      </c>
      <c r="F639" s="473"/>
      <c r="G639" s="386" t="s">
        <v>98</v>
      </c>
      <c r="H639" s="400" t="str">
        <f t="shared" si="55"/>
        <v>MP-2</v>
      </c>
      <c r="I639" s="390">
        <v>2</v>
      </c>
      <c r="J639" s="399"/>
      <c r="K639" s="397"/>
      <c r="L639" s="397"/>
      <c r="M639" s="395" cm="1">
        <f t="array" ref="M639">IFERROR(_xlfn.IFS(N639=1,1,O639=1,1,P639=1,1,Q639=1,1),0)</f>
        <v>1</v>
      </c>
      <c r="N639" s="395">
        <v>1</v>
      </c>
    </row>
    <row r="640" spans="1:14" s="407" customFormat="1" ht="12" customHeight="1" outlineLevel="2">
      <c r="D640" s="462"/>
      <c r="E640" s="388" t="s">
        <v>1085</v>
      </c>
      <c r="F640" s="473"/>
      <c r="G640" s="386" t="s">
        <v>98</v>
      </c>
      <c r="H640" s="400" t="str">
        <f t="shared" si="55"/>
        <v>MP-2</v>
      </c>
      <c r="I640" s="390">
        <v>2</v>
      </c>
      <c r="J640" s="399"/>
      <c r="K640" s="397"/>
      <c r="L640" s="397"/>
      <c r="M640" s="395" cm="1">
        <f t="array" ref="M640">IFERROR(_xlfn.IFS(N640=1,1,O640=1,1,P640=1,1,Q640=1,1),0)</f>
        <v>1</v>
      </c>
      <c r="N640" s="395">
        <v>1</v>
      </c>
    </row>
    <row r="641" spans="1:15" s="407" customFormat="1" ht="12" customHeight="1" outlineLevel="2">
      <c r="D641" s="462"/>
      <c r="E641" s="388" t="s">
        <v>271</v>
      </c>
      <c r="F641" s="473"/>
      <c r="G641" s="386" t="s">
        <v>98</v>
      </c>
      <c r="H641" s="400" t="str">
        <f t="shared" si="55"/>
        <v>MP-2</v>
      </c>
      <c r="I641" s="390">
        <v>2</v>
      </c>
      <c r="J641" s="399"/>
      <c r="K641" s="397"/>
      <c r="L641" s="397"/>
      <c r="M641" s="395" cm="1">
        <f t="array" ref="M641">IFERROR(_xlfn.IFS(N641=1,1,O641=1,1,P641=1,1,Q641=1,1),0)</f>
        <v>1</v>
      </c>
      <c r="N641" s="395">
        <v>1</v>
      </c>
    </row>
    <row r="642" spans="1:15" s="407" customFormat="1" ht="12" customHeight="1" outlineLevel="2">
      <c r="D642" s="462"/>
      <c r="E642" s="388" t="s">
        <v>1086</v>
      </c>
      <c r="F642" s="473"/>
      <c r="G642" s="386" t="s">
        <v>98</v>
      </c>
      <c r="H642" s="400" t="str">
        <f t="shared" si="55"/>
        <v>MP-2</v>
      </c>
      <c r="I642" s="390">
        <v>2</v>
      </c>
      <c r="J642" s="399"/>
      <c r="K642" s="397"/>
      <c r="L642" s="397"/>
      <c r="M642" s="395" cm="1">
        <f t="array" ref="M642">IFERROR(_xlfn.IFS(N642=1,1,O642=1,1,P642=1,1,Q642=1,1),0)</f>
        <v>1</v>
      </c>
      <c r="N642" s="395">
        <v>1</v>
      </c>
    </row>
    <row r="643" spans="1:15" s="407" customFormat="1" ht="12" customHeight="1" outlineLevel="2">
      <c r="D643" s="462"/>
      <c r="E643" s="388" t="s">
        <v>1087</v>
      </c>
      <c r="F643" s="473"/>
      <c r="G643" s="386" t="s">
        <v>98</v>
      </c>
      <c r="H643" s="400" t="str">
        <f t="shared" si="55"/>
        <v>MP-2</v>
      </c>
      <c r="I643" s="390">
        <v>2</v>
      </c>
      <c r="J643" s="399"/>
      <c r="K643" s="397"/>
      <c r="L643" s="397"/>
      <c r="M643" s="395" cm="1">
        <f t="array" ref="M643">IFERROR(_xlfn.IFS(N643=1,1,O643=1,1,P643=1,1,Q643=1,1),0)</f>
        <v>1</v>
      </c>
      <c r="N643" s="395">
        <v>1</v>
      </c>
    </row>
    <row r="644" spans="1:15" s="407" customFormat="1" ht="12" customHeight="1" outlineLevel="2">
      <c r="D644" s="558" t="s">
        <v>1088</v>
      </c>
      <c r="E644" s="388"/>
      <c r="F644" s="473"/>
      <c r="G644" s="386"/>
      <c r="H644" s="400"/>
      <c r="I644" s="390"/>
      <c r="J644" s="473"/>
      <c r="K644" s="413"/>
      <c r="L644" s="392"/>
      <c r="M644" s="395"/>
      <c r="N644" s="395"/>
    </row>
    <row r="645" spans="1:15" s="407" customFormat="1" ht="12" customHeight="1" outlineLevel="2">
      <c r="D645" s="462"/>
      <c r="E645" s="388" t="s">
        <v>223</v>
      </c>
      <c r="F645" s="473"/>
      <c r="G645" s="386" t="s">
        <v>98</v>
      </c>
      <c r="H645" s="400" t="str">
        <f t="shared" ref="H645:H653" si="56">CONCATENATE(G645,"-",I645)</f>
        <v>MP-2</v>
      </c>
      <c r="I645" s="390">
        <v>2</v>
      </c>
      <c r="J645" s="399"/>
      <c r="K645" s="397"/>
      <c r="L645" s="397"/>
      <c r="M645" s="395" cm="1">
        <f t="array" ref="M645">IFERROR(_xlfn.IFS(N645=1,1,O645=1,1,P645=1,1,Q645=1,1),0)</f>
        <v>1</v>
      </c>
      <c r="N645" s="395">
        <v>1</v>
      </c>
    </row>
    <row r="646" spans="1:15" s="407" customFormat="1" ht="12" customHeight="1" outlineLevel="2">
      <c r="D646" s="462"/>
      <c r="E646" s="388" t="s">
        <v>1089</v>
      </c>
      <c r="F646" s="473"/>
      <c r="G646" s="386" t="s">
        <v>98</v>
      </c>
      <c r="H646" s="400" t="str">
        <f t="shared" si="56"/>
        <v>MP-2</v>
      </c>
      <c r="I646" s="390">
        <v>2</v>
      </c>
      <c r="J646" s="399"/>
      <c r="K646" s="397"/>
      <c r="L646" s="397"/>
      <c r="M646" s="395" cm="1">
        <f t="array" ref="M646">IFERROR(_xlfn.IFS(N646=1,1,O646=1,1,P646=1,1,Q646=1,1),0)</f>
        <v>1</v>
      </c>
      <c r="N646" s="395">
        <v>1</v>
      </c>
    </row>
    <row r="647" spans="1:15" s="407" customFormat="1" ht="12" customHeight="1" outlineLevel="2">
      <c r="A647" s="415"/>
      <c r="B647" s="549"/>
      <c r="C647" s="387"/>
      <c r="D647" s="462"/>
      <c r="E647" s="388" t="s">
        <v>1090</v>
      </c>
      <c r="F647" s="473"/>
      <c r="G647" s="386" t="s">
        <v>98</v>
      </c>
      <c r="H647" s="400" t="str">
        <f t="shared" si="56"/>
        <v>MP-2</v>
      </c>
      <c r="I647" s="390">
        <v>2</v>
      </c>
      <c r="J647" s="399"/>
      <c r="K647" s="397"/>
      <c r="L647" s="397"/>
      <c r="M647" s="395" cm="1">
        <f t="array" ref="M647">IFERROR(_xlfn.IFS(N647=1,1,O647=1,1,P647=1,1,Q647=1,1),0)</f>
        <v>1</v>
      </c>
      <c r="N647" s="395">
        <v>1</v>
      </c>
      <c r="O647" s="395"/>
    </row>
    <row r="648" spans="1:15" s="407" customFormat="1" ht="12" customHeight="1" outlineLevel="2">
      <c r="A648" s="415"/>
      <c r="B648" s="549"/>
      <c r="C648" s="387"/>
      <c r="D648" s="462"/>
      <c r="E648" s="388" t="s">
        <v>221</v>
      </c>
      <c r="F648" s="473"/>
      <c r="G648" s="386" t="s">
        <v>98</v>
      </c>
      <c r="H648" s="400" t="str">
        <f t="shared" si="56"/>
        <v>MP-2</v>
      </c>
      <c r="I648" s="390">
        <v>2</v>
      </c>
      <c r="J648" s="399"/>
      <c r="K648" s="397"/>
      <c r="L648" s="397"/>
      <c r="M648" s="395" cm="1">
        <f t="array" ref="M648">IFERROR(_xlfn.IFS(N648=1,1,O648=1,1,P648=1,1,Q648=1,1),0)</f>
        <v>1</v>
      </c>
      <c r="N648" s="395">
        <v>1</v>
      </c>
      <c r="O648" s="395"/>
    </row>
    <row r="649" spans="1:15" s="407" customFormat="1" ht="12" customHeight="1" outlineLevel="2">
      <c r="A649" s="415"/>
      <c r="B649" s="549"/>
      <c r="C649" s="387"/>
      <c r="D649" s="462"/>
      <c r="E649" s="388" t="s">
        <v>274</v>
      </c>
      <c r="F649" s="473"/>
      <c r="G649" s="386" t="s">
        <v>98</v>
      </c>
      <c r="H649" s="400" t="str">
        <f t="shared" si="56"/>
        <v>MP-2</v>
      </c>
      <c r="I649" s="390">
        <v>2</v>
      </c>
      <c r="J649" s="399"/>
      <c r="K649" s="397"/>
      <c r="L649" s="397"/>
      <c r="M649" s="395" cm="1">
        <f t="array" ref="M649">IFERROR(_xlfn.IFS(N649=1,1,O649=1,1,P649=1,1,Q649=1,1),0)</f>
        <v>1</v>
      </c>
      <c r="N649" s="395">
        <v>1</v>
      </c>
      <c r="O649" s="395"/>
    </row>
    <row r="650" spans="1:15" s="407" customFormat="1" ht="12" customHeight="1" outlineLevel="2">
      <c r="A650" s="415"/>
      <c r="B650" s="549"/>
      <c r="C650" s="387"/>
      <c r="D650" s="462"/>
      <c r="E650" s="388" t="s">
        <v>1091</v>
      </c>
      <c r="F650" s="473"/>
      <c r="G650" s="386" t="s">
        <v>98</v>
      </c>
      <c r="H650" s="400" t="str">
        <f t="shared" si="56"/>
        <v>MP-2</v>
      </c>
      <c r="I650" s="390">
        <v>2</v>
      </c>
      <c r="J650" s="399"/>
      <c r="K650" s="397"/>
      <c r="L650" s="397"/>
      <c r="M650" s="395" cm="1">
        <f t="array" ref="M650">IFERROR(_xlfn.IFS(N650=1,1,O650=1,1,P650=1,1,Q650=1,1),0)</f>
        <v>1</v>
      </c>
      <c r="N650" s="395">
        <v>1</v>
      </c>
      <c r="O650" s="395"/>
    </row>
    <row r="651" spans="1:15" s="407" customFormat="1" ht="12" customHeight="1" outlineLevel="2">
      <c r="A651" s="415"/>
      <c r="B651" s="549"/>
      <c r="C651" s="387"/>
      <c r="D651" s="462"/>
      <c r="E651" s="388" t="s">
        <v>1092</v>
      </c>
      <c r="F651" s="473"/>
      <c r="G651" s="386" t="s">
        <v>98</v>
      </c>
      <c r="H651" s="400" t="str">
        <f t="shared" si="56"/>
        <v>MP-2</v>
      </c>
      <c r="I651" s="390">
        <v>2</v>
      </c>
      <c r="J651" s="399"/>
      <c r="K651" s="397"/>
      <c r="L651" s="397"/>
      <c r="M651" s="395" cm="1">
        <f t="array" ref="M651">IFERROR(_xlfn.IFS(N651=1,1,O651=1,1,P651=1,1,Q651=1,1),0)</f>
        <v>1</v>
      </c>
      <c r="N651" s="395">
        <v>1</v>
      </c>
      <c r="O651" s="395"/>
    </row>
    <row r="652" spans="1:15" s="407" customFormat="1" ht="12" customHeight="1" outlineLevel="2">
      <c r="A652" s="415"/>
      <c r="B652" s="549"/>
      <c r="C652" s="387"/>
      <c r="D652" s="462"/>
      <c r="E652" s="388" t="s">
        <v>277</v>
      </c>
      <c r="F652" s="473"/>
      <c r="G652" s="386" t="s">
        <v>98</v>
      </c>
      <c r="H652" s="400" t="str">
        <f t="shared" si="56"/>
        <v>MP-2</v>
      </c>
      <c r="I652" s="390">
        <v>2</v>
      </c>
      <c r="J652" s="399"/>
      <c r="K652" s="397"/>
      <c r="L652" s="397"/>
      <c r="M652" s="395" cm="1">
        <f t="array" ref="M652">IFERROR(_xlfn.IFS(N652=1,1,O652=1,1,P652=1,1,Q652=1,1),0)</f>
        <v>1</v>
      </c>
      <c r="N652" s="395">
        <v>1</v>
      </c>
      <c r="O652" s="395"/>
    </row>
    <row r="653" spans="1:15" s="407" customFormat="1" ht="12" customHeight="1" outlineLevel="2">
      <c r="A653" s="415"/>
      <c r="B653" s="549"/>
      <c r="C653" s="387"/>
      <c r="D653" s="462"/>
      <c r="E653" s="388" t="s">
        <v>1093</v>
      </c>
      <c r="F653" s="473"/>
      <c r="G653" s="386" t="s">
        <v>98</v>
      </c>
      <c r="H653" s="400" t="str">
        <f t="shared" si="56"/>
        <v>MP-2</v>
      </c>
      <c r="I653" s="390">
        <v>2</v>
      </c>
      <c r="J653" s="399"/>
      <c r="K653" s="397"/>
      <c r="L653" s="397"/>
      <c r="M653" s="395" cm="1">
        <f t="array" ref="M653">IFERROR(_xlfn.IFS(N653=1,1,O653=1,1,P653=1,1,Q653=1,1),0)</f>
        <v>1</v>
      </c>
      <c r="N653" s="395">
        <v>1</v>
      </c>
      <c r="O653" s="395"/>
    </row>
    <row r="654" spans="1:15" ht="3" customHeight="1" outlineLevel="1">
      <c r="A654" s="548"/>
      <c r="B654" s="552"/>
      <c r="K654" s="408"/>
      <c r="L654" s="408"/>
    </row>
    <row r="655" spans="1:15" outlineLevel="1">
      <c r="A655" s="460" t="s">
        <v>165</v>
      </c>
      <c r="B655" s="460" t="s">
        <v>104</v>
      </c>
      <c r="C655" s="460"/>
      <c r="D655" s="460"/>
      <c r="E655" s="460"/>
      <c r="G655" s="460"/>
      <c r="H655" s="460"/>
      <c r="I655" s="460"/>
      <c r="K655" s="408"/>
      <c r="L655" s="408"/>
    </row>
    <row r="656" spans="1:15" s="407" customFormat="1" ht="12" customHeight="1" outlineLevel="2">
      <c r="A656" s="415"/>
      <c r="B656" s="549"/>
      <c r="C656" s="387"/>
      <c r="D656" s="558" t="s">
        <v>1094</v>
      </c>
      <c r="E656" s="388"/>
      <c r="F656" s="473"/>
      <c r="G656" s="386"/>
      <c r="H656" s="400"/>
      <c r="I656" s="390"/>
      <c r="J656" s="473"/>
      <c r="K656" s="413"/>
      <c r="L656" s="392"/>
      <c r="M656" s="395"/>
      <c r="N656" s="395"/>
      <c r="O656" s="395"/>
    </row>
    <row r="657" spans="1:15" s="407" customFormat="1" ht="12" customHeight="1" outlineLevel="2">
      <c r="A657" s="415"/>
      <c r="B657" s="549"/>
      <c r="C657" s="387"/>
      <c r="D657" s="462"/>
      <c r="E657" s="388" t="s">
        <v>1095</v>
      </c>
      <c r="F657" s="473"/>
      <c r="G657" s="386" t="s">
        <v>98</v>
      </c>
      <c r="H657" s="400" t="str">
        <f t="shared" ref="H657" si="57">CONCATENATE(G657,"-",I657)</f>
        <v>MP-3</v>
      </c>
      <c r="I657" s="390">
        <v>3</v>
      </c>
      <c r="J657" s="399"/>
      <c r="K657" s="397"/>
      <c r="L657" s="397"/>
      <c r="M657" s="395" cm="1">
        <f t="array" ref="M657">IFERROR(_xlfn.IFS(N657=1,1,O657=1,1,P657=1,1,Q657=1,1),0)</f>
        <v>1</v>
      </c>
      <c r="N657" s="395">
        <v>1</v>
      </c>
      <c r="O657" s="418"/>
    </row>
    <row r="658" spans="1:15" s="407" customFormat="1" ht="12" customHeight="1" outlineLevel="2">
      <c r="A658" s="415"/>
      <c r="B658" s="549"/>
      <c r="C658" s="387"/>
      <c r="D658" s="462"/>
      <c r="E658" s="388" t="s">
        <v>282</v>
      </c>
      <c r="F658" s="473"/>
      <c r="G658" s="386" t="s">
        <v>98</v>
      </c>
      <c r="H658" s="400" t="str">
        <f t="shared" ref="H658:H667" si="58">CONCATENATE(G658,"-",I658)</f>
        <v>MP-3</v>
      </c>
      <c r="I658" s="390">
        <v>3</v>
      </c>
      <c r="J658" s="399"/>
      <c r="K658" s="397"/>
      <c r="L658" s="397"/>
      <c r="M658" s="395" cm="1">
        <f t="array" ref="M658">IFERROR(_xlfn.IFS(N658=1,1,O658=1,1,P658=1,1,Q658=1,1),0)</f>
        <v>1</v>
      </c>
      <c r="N658" s="395">
        <v>1</v>
      </c>
      <c r="O658" s="418"/>
    </row>
    <row r="659" spans="1:15" s="407" customFormat="1" ht="12" customHeight="1" outlineLevel="2">
      <c r="A659" s="415"/>
      <c r="B659" s="549"/>
      <c r="C659" s="387"/>
      <c r="D659" s="462"/>
      <c r="E659" s="388" t="s">
        <v>230</v>
      </c>
      <c r="F659" s="473"/>
      <c r="G659" s="386" t="s">
        <v>98</v>
      </c>
      <c r="H659" s="400" t="str">
        <f t="shared" si="58"/>
        <v>MP-3</v>
      </c>
      <c r="I659" s="390">
        <v>3</v>
      </c>
      <c r="J659" s="399"/>
      <c r="K659" s="397"/>
      <c r="L659" s="397"/>
      <c r="M659" s="395" cm="1">
        <f t="array" ref="M659">IFERROR(_xlfn.IFS(N659=1,1,O659=1,1,P659=1,1,Q659=1,1),0)</f>
        <v>1</v>
      </c>
      <c r="N659" s="395">
        <v>1</v>
      </c>
      <c r="O659" s="418"/>
    </row>
    <row r="660" spans="1:15" s="407" customFormat="1" ht="12" customHeight="1" outlineLevel="2">
      <c r="A660" s="415"/>
      <c r="B660" s="549"/>
      <c r="C660" s="387"/>
      <c r="D660" s="462"/>
      <c r="E660" s="388" t="s">
        <v>269</v>
      </c>
      <c r="F660" s="473"/>
      <c r="G660" s="386" t="s">
        <v>98</v>
      </c>
      <c r="H660" s="400" t="str">
        <f t="shared" si="58"/>
        <v>MP-3</v>
      </c>
      <c r="I660" s="390">
        <v>3</v>
      </c>
      <c r="J660" s="399"/>
      <c r="K660" s="397"/>
      <c r="L660" s="397"/>
      <c r="M660" s="395" cm="1">
        <f t="array" ref="M660">IFERROR(_xlfn.IFS(N660=1,1,O660=1,1,P660=1,1,Q660=1,1),0)</f>
        <v>1</v>
      </c>
      <c r="N660" s="395">
        <v>1</v>
      </c>
      <c r="O660" s="418"/>
    </row>
    <row r="661" spans="1:15" s="407" customFormat="1" ht="12" customHeight="1" outlineLevel="2">
      <c r="A661" s="415"/>
      <c r="B661" s="549"/>
      <c r="C661" s="387"/>
      <c r="D661" s="462"/>
      <c r="E661" s="388" t="s">
        <v>270</v>
      </c>
      <c r="F661" s="473"/>
      <c r="G661" s="386" t="s">
        <v>98</v>
      </c>
      <c r="H661" s="400" t="str">
        <f t="shared" si="58"/>
        <v>MP-3</v>
      </c>
      <c r="I661" s="390">
        <v>3</v>
      </c>
      <c r="J661" s="399"/>
      <c r="K661" s="397"/>
      <c r="L661" s="397"/>
      <c r="M661" s="395" cm="1">
        <f t="array" ref="M661">IFERROR(_xlfn.IFS(N661=1,1,O661=1,1,P661=1,1,Q661=1,1),0)</f>
        <v>1</v>
      </c>
      <c r="N661" s="395">
        <v>1</v>
      </c>
      <c r="O661" s="418"/>
    </row>
    <row r="662" spans="1:15" s="407" customFormat="1" ht="12" customHeight="1" outlineLevel="2">
      <c r="A662" s="415"/>
      <c r="B662" s="549"/>
      <c r="C662" s="387"/>
      <c r="D662" s="462"/>
      <c r="E662" s="388" t="s">
        <v>1078</v>
      </c>
      <c r="F662" s="473"/>
      <c r="G662" s="386" t="s">
        <v>98</v>
      </c>
      <c r="H662" s="400" t="str">
        <f t="shared" si="58"/>
        <v>MP-3</v>
      </c>
      <c r="I662" s="390">
        <v>3</v>
      </c>
      <c r="J662" s="399"/>
      <c r="K662" s="397"/>
      <c r="L662" s="397"/>
      <c r="M662" s="395" cm="1">
        <f t="array" ref="M662">IFERROR(_xlfn.IFS(N662=1,1,O662=1,1,P662=1,1,Q662=1,1),0)</f>
        <v>1</v>
      </c>
      <c r="N662" s="395">
        <v>1</v>
      </c>
      <c r="O662" s="418"/>
    </row>
    <row r="663" spans="1:15" s="407" customFormat="1" ht="12" customHeight="1" outlineLevel="2">
      <c r="D663" s="462"/>
      <c r="E663" s="388" t="s">
        <v>228</v>
      </c>
      <c r="F663" s="473"/>
      <c r="G663" s="386" t="s">
        <v>98</v>
      </c>
      <c r="H663" s="400" t="str">
        <f t="shared" si="58"/>
        <v>MP-3</v>
      </c>
      <c r="I663" s="390">
        <v>3</v>
      </c>
      <c r="J663" s="399"/>
      <c r="K663" s="397"/>
      <c r="L663" s="397"/>
      <c r="M663" s="395" cm="1">
        <f t="array" ref="M663">IFERROR(_xlfn.IFS(N663=1,1,O663=1,1,P663=1,1,Q663=1,1),0)</f>
        <v>1</v>
      </c>
      <c r="N663" s="395">
        <v>1</v>
      </c>
      <c r="O663" s="418"/>
    </row>
    <row r="664" spans="1:15" s="407" customFormat="1" ht="12" customHeight="1" outlineLevel="2">
      <c r="D664" s="462"/>
      <c r="E664" s="388" t="s">
        <v>276</v>
      </c>
      <c r="F664" s="473"/>
      <c r="G664" s="386" t="s">
        <v>98</v>
      </c>
      <c r="H664" s="400" t="str">
        <f t="shared" si="58"/>
        <v>MP-3</v>
      </c>
      <c r="I664" s="390">
        <v>3</v>
      </c>
      <c r="J664" s="399"/>
      <c r="K664" s="397"/>
      <c r="L664" s="397"/>
      <c r="M664" s="395" cm="1">
        <f t="array" ref="M664">IFERROR(_xlfn.IFS(N664=1,1,O664=1,1,P664=1,1,Q664=1,1),0)</f>
        <v>1</v>
      </c>
      <c r="N664" s="395">
        <v>1</v>
      </c>
      <c r="O664" s="418"/>
    </row>
    <row r="665" spans="1:15" s="407" customFormat="1" ht="12" customHeight="1" outlineLevel="2">
      <c r="D665" s="462"/>
      <c r="E665" s="388" t="s">
        <v>1081</v>
      </c>
      <c r="F665" s="473"/>
      <c r="G665" s="386" t="s">
        <v>98</v>
      </c>
      <c r="H665" s="400" t="str">
        <f t="shared" si="58"/>
        <v>MP-3</v>
      </c>
      <c r="I665" s="390">
        <v>3</v>
      </c>
      <c r="J665" s="399"/>
      <c r="K665" s="397"/>
      <c r="L665" s="397"/>
      <c r="M665" s="395" cm="1">
        <f t="array" ref="M665">IFERROR(_xlfn.IFS(N665=1,1,O665=1,1,P665=1,1,Q665=1,1),0)</f>
        <v>1</v>
      </c>
      <c r="N665" s="395">
        <v>1</v>
      </c>
      <c r="O665" s="418"/>
    </row>
    <row r="666" spans="1:15" s="407" customFormat="1" ht="12" customHeight="1" outlineLevel="2">
      <c r="D666" s="462"/>
      <c r="E666" s="388" t="s">
        <v>1082</v>
      </c>
      <c r="F666" s="473"/>
      <c r="G666" s="386" t="s">
        <v>98</v>
      </c>
      <c r="H666" s="400" t="str">
        <f t="shared" si="58"/>
        <v>MP-3</v>
      </c>
      <c r="I666" s="390">
        <v>3</v>
      </c>
      <c r="J666" s="399"/>
      <c r="K666" s="397"/>
      <c r="L666" s="397"/>
      <c r="M666" s="395" cm="1">
        <f t="array" ref="M666">IFERROR(_xlfn.IFS(N666=1,1,O666=1,1,P666=1,1,Q666=1,1),0)</f>
        <v>1</v>
      </c>
      <c r="N666" s="395">
        <v>1</v>
      </c>
      <c r="O666" s="418"/>
    </row>
    <row r="667" spans="1:15" s="407" customFormat="1" ht="12" customHeight="1" outlineLevel="2">
      <c r="D667" s="462"/>
      <c r="E667" s="388" t="s">
        <v>1084</v>
      </c>
      <c r="F667" s="473"/>
      <c r="G667" s="386" t="s">
        <v>98</v>
      </c>
      <c r="H667" s="400" t="str">
        <f t="shared" si="58"/>
        <v>MP-3</v>
      </c>
      <c r="I667" s="390">
        <v>3</v>
      </c>
      <c r="J667" s="399"/>
      <c r="K667" s="397"/>
      <c r="L667" s="397"/>
      <c r="M667" s="395" cm="1">
        <f t="array" ref="M667">IFERROR(_xlfn.IFS(N667=1,1,O667=1,1,P667=1,1,Q667=1,1),0)</f>
        <v>1</v>
      </c>
      <c r="N667" s="395">
        <v>1</v>
      </c>
      <c r="O667" s="418"/>
    </row>
    <row r="668" spans="1:15" s="407" customFormat="1" ht="12" customHeight="1" outlineLevel="2">
      <c r="D668" s="558" t="s">
        <v>1096</v>
      </c>
      <c r="E668" s="388"/>
      <c r="F668" s="473"/>
      <c r="G668" s="386"/>
      <c r="H668" s="400"/>
      <c r="I668" s="390"/>
      <c r="J668" s="473"/>
      <c r="K668" s="413"/>
      <c r="L668" s="392"/>
      <c r="M668" s="395"/>
      <c r="N668" s="395"/>
      <c r="O668" s="395"/>
    </row>
    <row r="669" spans="1:15" s="407" customFormat="1" ht="12" customHeight="1" outlineLevel="2">
      <c r="D669" s="462"/>
      <c r="E669" s="388" t="s">
        <v>1097</v>
      </c>
      <c r="F669" s="473"/>
      <c r="G669" s="386" t="s">
        <v>98</v>
      </c>
      <c r="H669" s="400" t="str">
        <f t="shared" ref="H669:H679" si="59">CONCATENATE(G669,"-",I669)</f>
        <v>MP-3</v>
      </c>
      <c r="I669" s="390">
        <v>3</v>
      </c>
      <c r="J669" s="399"/>
      <c r="K669" s="397"/>
      <c r="L669" s="397"/>
      <c r="M669" s="395" cm="1">
        <f t="array" ref="M669">IFERROR(_xlfn.IFS(N669=1,1,O669=1,1,P669=1,1,Q669=1,1),0)</f>
        <v>1</v>
      </c>
      <c r="N669" s="395">
        <v>1</v>
      </c>
      <c r="O669" s="418"/>
    </row>
    <row r="670" spans="1:15" s="407" customFormat="1" ht="12" customHeight="1" outlineLevel="2">
      <c r="D670" s="462"/>
      <c r="E670" s="388" t="s">
        <v>282</v>
      </c>
      <c r="F670" s="473"/>
      <c r="G670" s="386" t="s">
        <v>98</v>
      </c>
      <c r="H670" s="400" t="str">
        <f t="shared" si="59"/>
        <v>MP-3</v>
      </c>
      <c r="I670" s="390">
        <v>3</v>
      </c>
      <c r="J670" s="399"/>
      <c r="K670" s="397"/>
      <c r="L670" s="397"/>
      <c r="M670" s="395" cm="1">
        <f t="array" ref="M670">IFERROR(_xlfn.IFS(N670=1,1,O670=1,1,P670=1,1,Q670=1,1),0)</f>
        <v>1</v>
      </c>
      <c r="N670" s="395">
        <v>1</v>
      </c>
      <c r="O670" s="418"/>
    </row>
    <row r="671" spans="1:15" s="407" customFormat="1" ht="12" customHeight="1" outlineLevel="2">
      <c r="D671" s="462"/>
      <c r="E671" s="388" t="s">
        <v>230</v>
      </c>
      <c r="F671" s="473"/>
      <c r="G671" s="386" t="s">
        <v>98</v>
      </c>
      <c r="H671" s="400" t="str">
        <f t="shared" si="59"/>
        <v>MP-3</v>
      </c>
      <c r="I671" s="390">
        <v>3</v>
      </c>
      <c r="J671" s="399"/>
      <c r="K671" s="397"/>
      <c r="L671" s="397"/>
      <c r="M671" s="395" cm="1">
        <f t="array" ref="M671">IFERROR(_xlfn.IFS(N671=1,1,O671=1,1,P671=1,1,Q671=1,1),0)</f>
        <v>1</v>
      </c>
      <c r="N671" s="395">
        <v>1</v>
      </c>
      <c r="O671" s="418"/>
    </row>
    <row r="672" spans="1:15" s="407" customFormat="1" ht="12" customHeight="1" outlineLevel="2">
      <c r="D672" s="462"/>
      <c r="E672" s="388" t="s">
        <v>269</v>
      </c>
      <c r="F672" s="473"/>
      <c r="G672" s="386" t="s">
        <v>98</v>
      </c>
      <c r="H672" s="400" t="str">
        <f t="shared" si="59"/>
        <v>MP-3</v>
      </c>
      <c r="I672" s="390">
        <v>3</v>
      </c>
      <c r="J672" s="399"/>
      <c r="K672" s="397"/>
      <c r="L672" s="397"/>
      <c r="M672" s="395" cm="1">
        <f t="array" ref="M672">IFERROR(_xlfn.IFS(N672=1,1,O672=1,1,P672=1,1,Q672=1,1),0)</f>
        <v>1</v>
      </c>
      <c r="N672" s="395">
        <v>1</v>
      </c>
      <c r="O672" s="418"/>
    </row>
    <row r="673" spans="4:15" s="407" customFormat="1" ht="12" customHeight="1" outlineLevel="2">
      <c r="D673" s="462"/>
      <c r="E673" s="388" t="s">
        <v>270</v>
      </c>
      <c r="F673" s="473"/>
      <c r="G673" s="386" t="s">
        <v>98</v>
      </c>
      <c r="H673" s="400" t="str">
        <f t="shared" si="59"/>
        <v>MP-3</v>
      </c>
      <c r="I673" s="390">
        <v>3</v>
      </c>
      <c r="J673" s="399"/>
      <c r="K673" s="397"/>
      <c r="L673" s="397"/>
      <c r="M673" s="395" cm="1">
        <f t="array" ref="M673">IFERROR(_xlfn.IFS(N673=1,1,O673=1,1,P673=1,1,Q673=1,1),0)</f>
        <v>1</v>
      </c>
      <c r="N673" s="395">
        <v>1</v>
      </c>
      <c r="O673" s="418"/>
    </row>
    <row r="674" spans="4:15" s="407" customFormat="1" ht="12" customHeight="1" outlineLevel="2">
      <c r="D674" s="462"/>
      <c r="E674" s="388" t="s">
        <v>1078</v>
      </c>
      <c r="F674" s="473"/>
      <c r="G674" s="386" t="s">
        <v>98</v>
      </c>
      <c r="H674" s="400" t="str">
        <f t="shared" si="59"/>
        <v>MP-3</v>
      </c>
      <c r="I674" s="390">
        <v>3</v>
      </c>
      <c r="J674" s="399"/>
      <c r="K674" s="397"/>
      <c r="L674" s="397"/>
      <c r="M674" s="395" cm="1">
        <f t="array" ref="M674">IFERROR(_xlfn.IFS(N674=1,1,O674=1,1,P674=1,1,Q674=1,1),0)</f>
        <v>1</v>
      </c>
      <c r="N674" s="395">
        <v>1</v>
      </c>
      <c r="O674" s="418"/>
    </row>
    <row r="675" spans="4:15" s="407" customFormat="1" ht="12" customHeight="1" outlineLevel="2">
      <c r="D675" s="462"/>
      <c r="E675" s="388" t="s">
        <v>228</v>
      </c>
      <c r="F675" s="473"/>
      <c r="G675" s="386" t="s">
        <v>98</v>
      </c>
      <c r="H675" s="400" t="str">
        <f t="shared" si="59"/>
        <v>MP-3</v>
      </c>
      <c r="I675" s="390">
        <v>3</v>
      </c>
      <c r="J675" s="399"/>
      <c r="K675" s="397"/>
      <c r="L675" s="397"/>
      <c r="M675" s="395" cm="1">
        <f t="array" ref="M675">IFERROR(_xlfn.IFS(N675=1,1,O675=1,1,P675=1,1,Q675=1,1),0)</f>
        <v>1</v>
      </c>
      <c r="N675" s="395">
        <v>1</v>
      </c>
      <c r="O675" s="418"/>
    </row>
    <row r="676" spans="4:15" s="407" customFormat="1" ht="12" customHeight="1" outlineLevel="2">
      <c r="D676" s="462"/>
      <c r="E676" s="388" t="s">
        <v>276</v>
      </c>
      <c r="F676" s="473"/>
      <c r="G676" s="386" t="s">
        <v>98</v>
      </c>
      <c r="H676" s="400" t="str">
        <f t="shared" si="59"/>
        <v>MP-3</v>
      </c>
      <c r="I676" s="390">
        <v>3</v>
      </c>
      <c r="J676" s="399"/>
      <c r="K676" s="397"/>
      <c r="L676" s="397"/>
      <c r="M676" s="395" cm="1">
        <f t="array" ref="M676">IFERROR(_xlfn.IFS(N676=1,1,O676=1,1,P676=1,1,Q676=1,1),0)</f>
        <v>1</v>
      </c>
      <c r="N676" s="395">
        <v>1</v>
      </c>
      <c r="O676" s="418"/>
    </row>
    <row r="677" spans="4:15" s="407" customFormat="1" ht="12" customHeight="1" outlineLevel="2">
      <c r="D677" s="462"/>
      <c r="E677" s="388" t="s">
        <v>1081</v>
      </c>
      <c r="F677" s="473"/>
      <c r="G677" s="386" t="s">
        <v>98</v>
      </c>
      <c r="H677" s="400" t="str">
        <f t="shared" si="59"/>
        <v>MP-3</v>
      </c>
      <c r="I677" s="390">
        <v>3</v>
      </c>
      <c r="J677" s="399"/>
      <c r="K677" s="397"/>
      <c r="L677" s="397"/>
      <c r="M677" s="395" cm="1">
        <f t="array" ref="M677">IFERROR(_xlfn.IFS(N677=1,1,O677=1,1,P677=1,1,Q677=1,1),0)</f>
        <v>1</v>
      </c>
      <c r="N677" s="395">
        <v>1</v>
      </c>
      <c r="O677" s="418"/>
    </row>
    <row r="678" spans="4:15" s="407" customFormat="1" ht="12" customHeight="1" outlineLevel="2">
      <c r="D678" s="462"/>
      <c r="E678" s="388" t="s">
        <v>1082</v>
      </c>
      <c r="F678" s="473"/>
      <c r="G678" s="386" t="s">
        <v>98</v>
      </c>
      <c r="H678" s="400" t="str">
        <f t="shared" si="59"/>
        <v>MP-3</v>
      </c>
      <c r="I678" s="390">
        <v>3</v>
      </c>
      <c r="J678" s="399"/>
      <c r="K678" s="397"/>
      <c r="L678" s="397"/>
      <c r="M678" s="395" cm="1">
        <f t="array" ref="M678">IFERROR(_xlfn.IFS(N678=1,1,O678=1,1,P678=1,1,Q678=1,1),0)</f>
        <v>1</v>
      </c>
      <c r="N678" s="395">
        <v>1</v>
      </c>
      <c r="O678" s="418"/>
    </row>
    <row r="679" spans="4:15" s="407" customFormat="1" ht="12" customHeight="1" outlineLevel="2">
      <c r="D679" s="462"/>
      <c r="E679" s="388" t="s">
        <v>1084</v>
      </c>
      <c r="F679" s="473"/>
      <c r="G679" s="386" t="s">
        <v>98</v>
      </c>
      <c r="H679" s="400" t="str">
        <f t="shared" si="59"/>
        <v>MP-3</v>
      </c>
      <c r="I679" s="390">
        <v>3</v>
      </c>
      <c r="J679" s="399"/>
      <c r="K679" s="397"/>
      <c r="L679" s="397"/>
      <c r="M679" s="395" cm="1">
        <f t="array" ref="M679">IFERROR(_xlfn.IFS(N679=1,1,O679=1,1,P679=1,1,Q679=1,1),0)</f>
        <v>1</v>
      </c>
      <c r="N679" s="395">
        <v>1</v>
      </c>
      <c r="O679" s="418"/>
    </row>
    <row r="680" spans="4:15" s="407" customFormat="1" ht="12" customHeight="1" outlineLevel="2">
      <c r="D680" s="558" t="s">
        <v>1098</v>
      </c>
      <c r="E680" s="388"/>
      <c r="F680" s="473"/>
      <c r="G680" s="386"/>
      <c r="H680" s="400"/>
      <c r="I680" s="390"/>
      <c r="J680" s="473"/>
      <c r="K680" s="413"/>
      <c r="L680" s="392"/>
      <c r="M680" s="395"/>
      <c r="N680" s="395"/>
      <c r="O680" s="395"/>
    </row>
    <row r="681" spans="4:15" s="407" customFormat="1" ht="12" customHeight="1" outlineLevel="2">
      <c r="D681" s="462"/>
      <c r="E681" s="388" t="s">
        <v>1099</v>
      </c>
      <c r="F681" s="473"/>
      <c r="G681" s="386" t="s">
        <v>98</v>
      </c>
      <c r="H681" s="400" t="str">
        <f t="shared" ref="H681:H691" si="60">CONCATENATE(G681,"-",I681)</f>
        <v>MP-3</v>
      </c>
      <c r="I681" s="390">
        <v>3</v>
      </c>
      <c r="J681" s="399"/>
      <c r="K681" s="397"/>
      <c r="L681" s="397"/>
      <c r="M681" s="395" cm="1">
        <f t="array" ref="M681">IFERROR(_xlfn.IFS(N681=1,1,O681=1,1,P681=1,1,Q681=1,1),0)</f>
        <v>1</v>
      </c>
      <c r="N681" s="395">
        <v>1</v>
      </c>
      <c r="O681" s="418"/>
    </row>
    <row r="682" spans="4:15" s="407" customFormat="1" ht="12" customHeight="1" outlineLevel="2">
      <c r="D682" s="462"/>
      <c r="E682" s="388" t="s">
        <v>282</v>
      </c>
      <c r="F682" s="473"/>
      <c r="G682" s="386" t="s">
        <v>98</v>
      </c>
      <c r="H682" s="400" t="str">
        <f t="shared" si="60"/>
        <v>MP-3</v>
      </c>
      <c r="I682" s="390">
        <v>3</v>
      </c>
      <c r="J682" s="399"/>
      <c r="K682" s="397"/>
      <c r="L682" s="397"/>
      <c r="M682" s="395" cm="1">
        <f t="array" ref="M682">IFERROR(_xlfn.IFS(N682=1,1,O682=1,1,P682=1,1,Q682=1,1),0)</f>
        <v>1</v>
      </c>
      <c r="N682" s="395">
        <v>1</v>
      </c>
      <c r="O682" s="418"/>
    </row>
    <row r="683" spans="4:15" s="407" customFormat="1" ht="12" customHeight="1" outlineLevel="2">
      <c r="D683" s="462"/>
      <c r="E683" s="388" t="s">
        <v>230</v>
      </c>
      <c r="F683" s="473"/>
      <c r="G683" s="386" t="s">
        <v>98</v>
      </c>
      <c r="H683" s="400" t="str">
        <f t="shared" si="60"/>
        <v>MP-3</v>
      </c>
      <c r="I683" s="390">
        <v>3</v>
      </c>
      <c r="J683" s="399"/>
      <c r="K683" s="397"/>
      <c r="L683" s="397"/>
      <c r="M683" s="395" cm="1">
        <f t="array" ref="M683">IFERROR(_xlfn.IFS(N683=1,1,O683=1,1,P683=1,1,Q683=1,1),0)</f>
        <v>1</v>
      </c>
      <c r="N683" s="395">
        <v>1</v>
      </c>
      <c r="O683" s="418"/>
    </row>
    <row r="684" spans="4:15" s="407" customFormat="1" ht="12" customHeight="1" outlineLevel="2">
      <c r="D684" s="462"/>
      <c r="E684" s="388" t="s">
        <v>269</v>
      </c>
      <c r="F684" s="473"/>
      <c r="G684" s="386" t="s">
        <v>98</v>
      </c>
      <c r="H684" s="400" t="str">
        <f t="shared" si="60"/>
        <v>MP-3</v>
      </c>
      <c r="I684" s="390">
        <v>3</v>
      </c>
      <c r="J684" s="399"/>
      <c r="K684" s="397"/>
      <c r="L684" s="397"/>
      <c r="M684" s="395" cm="1">
        <f t="array" ref="M684">IFERROR(_xlfn.IFS(N684=1,1,O684=1,1,P684=1,1,Q684=1,1),0)</f>
        <v>1</v>
      </c>
      <c r="N684" s="395">
        <v>1</v>
      </c>
      <c r="O684" s="418"/>
    </row>
    <row r="685" spans="4:15" s="407" customFormat="1" ht="12" customHeight="1" outlineLevel="2">
      <c r="D685" s="462"/>
      <c r="E685" s="388" t="s">
        <v>270</v>
      </c>
      <c r="F685" s="473"/>
      <c r="G685" s="386" t="s">
        <v>98</v>
      </c>
      <c r="H685" s="400" t="str">
        <f t="shared" si="60"/>
        <v>MP-3</v>
      </c>
      <c r="I685" s="390">
        <v>3</v>
      </c>
      <c r="J685" s="399"/>
      <c r="K685" s="397"/>
      <c r="L685" s="397"/>
      <c r="M685" s="395" cm="1">
        <f t="array" ref="M685">IFERROR(_xlfn.IFS(N685=1,1,O685=1,1,P685=1,1,Q685=1,1),0)</f>
        <v>1</v>
      </c>
      <c r="N685" s="395">
        <v>1</v>
      </c>
      <c r="O685" s="418"/>
    </row>
    <row r="686" spans="4:15" s="407" customFormat="1" ht="12" customHeight="1" outlineLevel="2">
      <c r="D686" s="462"/>
      <c r="E686" s="388" t="s">
        <v>1078</v>
      </c>
      <c r="F686" s="473"/>
      <c r="G686" s="386" t="s">
        <v>98</v>
      </c>
      <c r="H686" s="400" t="str">
        <f t="shared" si="60"/>
        <v>MP-3</v>
      </c>
      <c r="I686" s="390">
        <v>3</v>
      </c>
      <c r="J686" s="399"/>
      <c r="K686" s="397"/>
      <c r="L686" s="397"/>
      <c r="M686" s="395" cm="1">
        <f t="array" ref="M686">IFERROR(_xlfn.IFS(N686=1,1,O686=1,1,P686=1,1,Q686=1,1),0)</f>
        <v>1</v>
      </c>
      <c r="N686" s="395">
        <v>1</v>
      </c>
      <c r="O686" s="418"/>
    </row>
    <row r="687" spans="4:15" s="407" customFormat="1" ht="12" customHeight="1" outlineLevel="2">
      <c r="D687" s="462"/>
      <c r="E687" s="388" t="s">
        <v>228</v>
      </c>
      <c r="F687" s="473"/>
      <c r="G687" s="386" t="s">
        <v>98</v>
      </c>
      <c r="H687" s="400" t="str">
        <f t="shared" si="60"/>
        <v>MP-3</v>
      </c>
      <c r="I687" s="390">
        <v>3</v>
      </c>
      <c r="J687" s="399"/>
      <c r="K687" s="397"/>
      <c r="L687" s="397"/>
      <c r="M687" s="395" cm="1">
        <f t="array" ref="M687">IFERROR(_xlfn.IFS(N687=1,1,O687=1,1,P687=1,1,Q687=1,1),0)</f>
        <v>1</v>
      </c>
      <c r="N687" s="395">
        <v>1</v>
      </c>
      <c r="O687" s="418"/>
    </row>
    <row r="688" spans="4:15" s="407" customFormat="1" ht="12" customHeight="1" outlineLevel="2">
      <c r="D688" s="462"/>
      <c r="E688" s="388" t="s">
        <v>276</v>
      </c>
      <c r="F688" s="473"/>
      <c r="G688" s="386" t="s">
        <v>98</v>
      </c>
      <c r="H688" s="400" t="str">
        <f t="shared" si="60"/>
        <v>MP-3</v>
      </c>
      <c r="I688" s="390">
        <v>3</v>
      </c>
      <c r="J688" s="399"/>
      <c r="K688" s="397"/>
      <c r="L688" s="397"/>
      <c r="M688" s="395" cm="1">
        <f t="array" ref="M688">IFERROR(_xlfn.IFS(N688=1,1,O688=1,1,P688=1,1,Q688=1,1),0)</f>
        <v>1</v>
      </c>
      <c r="N688" s="395">
        <v>1</v>
      </c>
      <c r="O688" s="418"/>
    </row>
    <row r="689" spans="1:16" s="407" customFormat="1" ht="12" customHeight="1" outlineLevel="2">
      <c r="D689" s="462"/>
      <c r="E689" s="388" t="s">
        <v>1081</v>
      </c>
      <c r="F689" s="473"/>
      <c r="G689" s="386" t="s">
        <v>98</v>
      </c>
      <c r="H689" s="400" t="str">
        <f t="shared" si="60"/>
        <v>MP-3</v>
      </c>
      <c r="I689" s="390">
        <v>3</v>
      </c>
      <c r="J689" s="399"/>
      <c r="K689" s="397"/>
      <c r="L689" s="397"/>
      <c r="M689" s="395" cm="1">
        <f t="array" ref="M689">IFERROR(_xlfn.IFS(N689=1,1,O689=1,1,P689=1,1,Q689=1,1),0)</f>
        <v>1</v>
      </c>
      <c r="N689" s="395">
        <v>1</v>
      </c>
      <c r="O689" s="418"/>
    </row>
    <row r="690" spans="1:16" s="407" customFormat="1" ht="12" customHeight="1" outlineLevel="2">
      <c r="D690" s="462"/>
      <c r="E690" s="388" t="s">
        <v>1082</v>
      </c>
      <c r="F690" s="473"/>
      <c r="G690" s="386" t="s">
        <v>98</v>
      </c>
      <c r="H690" s="400" t="str">
        <f t="shared" si="60"/>
        <v>MP-3</v>
      </c>
      <c r="I690" s="390">
        <v>3</v>
      </c>
      <c r="J690" s="399"/>
      <c r="K690" s="397"/>
      <c r="L690" s="397"/>
      <c r="M690" s="395" cm="1">
        <f t="array" ref="M690">IFERROR(_xlfn.IFS(N690=1,1,O690=1,1,P690=1,1,Q690=1,1),0)</f>
        <v>1</v>
      </c>
      <c r="N690" s="395">
        <v>1</v>
      </c>
      <c r="O690" s="418"/>
    </row>
    <row r="691" spans="1:16" s="407" customFormat="1" ht="12" customHeight="1" outlineLevel="2">
      <c r="D691" s="462"/>
      <c r="E691" s="388" t="s">
        <v>1084</v>
      </c>
      <c r="F691" s="473"/>
      <c r="G691" s="386" t="s">
        <v>98</v>
      </c>
      <c r="H691" s="400" t="str">
        <f t="shared" si="60"/>
        <v>MP-3</v>
      </c>
      <c r="I691" s="390">
        <v>3</v>
      </c>
      <c r="J691" s="399"/>
      <c r="K691" s="397"/>
      <c r="L691" s="397"/>
      <c r="M691" s="395" cm="1">
        <f t="array" ref="M691">IFERROR(_xlfn.IFS(N691=1,1,O691=1,1,P691=1,1,Q691=1,1),0)</f>
        <v>1</v>
      </c>
      <c r="N691" s="395">
        <v>1</v>
      </c>
      <c r="O691" s="418"/>
    </row>
    <row r="692" spans="1:16" s="407" customFormat="1" ht="12" customHeight="1" outlineLevel="2">
      <c r="D692" s="558" t="s">
        <v>1100</v>
      </c>
      <c r="E692" s="388"/>
      <c r="F692" s="473"/>
      <c r="G692" s="386"/>
      <c r="H692" s="400"/>
      <c r="I692" s="390"/>
      <c r="J692" s="473"/>
      <c r="K692" s="413"/>
      <c r="L692" s="392"/>
      <c r="M692" s="395"/>
      <c r="N692" s="395"/>
      <c r="O692" s="395"/>
    </row>
    <row r="693" spans="1:16" s="407" customFormat="1" ht="12" customHeight="1" outlineLevel="2">
      <c r="D693" s="462"/>
      <c r="E693" s="388" t="s">
        <v>1101</v>
      </c>
      <c r="F693" s="473"/>
      <c r="G693" s="386" t="s">
        <v>98</v>
      </c>
      <c r="H693" s="400" t="str">
        <f t="shared" ref="H693:H704" si="61">CONCATENATE(G693,"-",I693)</f>
        <v>MP-3</v>
      </c>
      <c r="I693" s="390">
        <v>3</v>
      </c>
      <c r="J693" s="399"/>
      <c r="K693" s="397"/>
      <c r="L693" s="397"/>
      <c r="M693" s="395" cm="1">
        <f t="array" ref="M693">IFERROR(_xlfn.IFS(N693=1,1,O693=1,1,P693=1,1,Q693=1,1),0)</f>
        <v>1</v>
      </c>
      <c r="N693" s="395">
        <v>1</v>
      </c>
      <c r="O693" s="418"/>
    </row>
    <row r="694" spans="1:16" s="407" customFormat="1" ht="12" customHeight="1" outlineLevel="2">
      <c r="D694" s="462"/>
      <c r="E694" s="388" t="s">
        <v>282</v>
      </c>
      <c r="F694" s="473"/>
      <c r="G694" s="386" t="s">
        <v>98</v>
      </c>
      <c r="H694" s="400" t="str">
        <f t="shared" si="61"/>
        <v>MP-3</v>
      </c>
      <c r="I694" s="390">
        <v>3</v>
      </c>
      <c r="J694" s="399"/>
      <c r="K694" s="397"/>
      <c r="L694" s="397"/>
      <c r="M694" s="395" cm="1">
        <f t="array" ref="M694">IFERROR(_xlfn.IFS(N694=1,1,O694=1,1,P694=1,1,Q694=1,1),0)</f>
        <v>1</v>
      </c>
      <c r="N694" s="395">
        <v>1</v>
      </c>
      <c r="O694" s="418"/>
    </row>
    <row r="695" spans="1:16" s="407" customFormat="1" ht="12" customHeight="1" outlineLevel="2">
      <c r="A695" s="415"/>
      <c r="B695" s="549"/>
      <c r="C695" s="387"/>
      <c r="D695" s="462"/>
      <c r="E695" s="388" t="s">
        <v>230</v>
      </c>
      <c r="F695" s="473"/>
      <c r="G695" s="386" t="s">
        <v>98</v>
      </c>
      <c r="H695" s="400" t="str">
        <f t="shared" si="61"/>
        <v>MP-3</v>
      </c>
      <c r="I695" s="390">
        <v>3</v>
      </c>
      <c r="J695" s="399"/>
      <c r="K695" s="397"/>
      <c r="L695" s="397"/>
      <c r="M695" s="395" cm="1">
        <f t="array" ref="M695">IFERROR(_xlfn.IFS(N695=1,1,O695=1,1,P695=1,1,Q695=1,1),0)</f>
        <v>1</v>
      </c>
      <c r="N695" s="395">
        <v>1</v>
      </c>
      <c r="O695" s="418"/>
      <c r="P695" s="395"/>
    </row>
    <row r="696" spans="1:16" s="407" customFormat="1" ht="12" customHeight="1" outlineLevel="2">
      <c r="A696" s="415"/>
      <c r="B696" s="549"/>
      <c r="C696" s="387"/>
      <c r="D696" s="462"/>
      <c r="E696" s="388" t="s">
        <v>269</v>
      </c>
      <c r="F696" s="473"/>
      <c r="G696" s="386" t="s">
        <v>98</v>
      </c>
      <c r="H696" s="400" t="str">
        <f t="shared" si="61"/>
        <v>MP-3</v>
      </c>
      <c r="I696" s="390">
        <v>3</v>
      </c>
      <c r="J696" s="399"/>
      <c r="K696" s="397"/>
      <c r="L696" s="397"/>
      <c r="M696" s="395" cm="1">
        <f t="array" ref="M696">IFERROR(_xlfn.IFS(N696=1,1,O696=1,1,P696=1,1,Q696=1,1),0)</f>
        <v>1</v>
      </c>
      <c r="N696" s="395">
        <v>1</v>
      </c>
      <c r="O696" s="418"/>
      <c r="P696" s="395"/>
    </row>
    <row r="697" spans="1:16" s="407" customFormat="1" ht="12" customHeight="1" outlineLevel="2">
      <c r="A697" s="415"/>
      <c r="B697" s="549"/>
      <c r="C697" s="387"/>
      <c r="D697" s="462"/>
      <c r="E697" s="388" t="s">
        <v>270</v>
      </c>
      <c r="F697" s="473"/>
      <c r="G697" s="386" t="s">
        <v>98</v>
      </c>
      <c r="H697" s="400" t="str">
        <f t="shared" si="61"/>
        <v>MP-3</v>
      </c>
      <c r="I697" s="390">
        <v>3</v>
      </c>
      <c r="J697" s="399"/>
      <c r="K697" s="397"/>
      <c r="L697" s="397"/>
      <c r="M697" s="395" cm="1">
        <f t="array" ref="M697">IFERROR(_xlfn.IFS(N697=1,1,O697=1,1,P697=1,1,Q697=1,1),0)</f>
        <v>1</v>
      </c>
      <c r="N697" s="395">
        <v>1</v>
      </c>
      <c r="O697" s="418"/>
      <c r="P697" s="395"/>
    </row>
    <row r="698" spans="1:16" s="407" customFormat="1" ht="12" customHeight="1" outlineLevel="2">
      <c r="A698" s="415"/>
      <c r="B698" s="549"/>
      <c r="C698" s="387"/>
      <c r="D698" s="462"/>
      <c r="E698" s="388" t="s">
        <v>1078</v>
      </c>
      <c r="F698" s="473"/>
      <c r="G698" s="386" t="s">
        <v>98</v>
      </c>
      <c r="H698" s="400" t="str">
        <f t="shared" si="61"/>
        <v>MP-3</v>
      </c>
      <c r="I698" s="390">
        <v>3</v>
      </c>
      <c r="J698" s="399"/>
      <c r="K698" s="397"/>
      <c r="L698" s="397"/>
      <c r="M698" s="395" cm="1">
        <f t="array" ref="M698">IFERROR(_xlfn.IFS(N698=1,1,O698=1,1,P698=1,1,Q698=1,1),0)</f>
        <v>1</v>
      </c>
      <c r="N698" s="395">
        <v>1</v>
      </c>
      <c r="O698" s="418"/>
      <c r="P698" s="395"/>
    </row>
    <row r="699" spans="1:16" s="407" customFormat="1" ht="12" customHeight="1" outlineLevel="2">
      <c r="A699" s="415"/>
      <c r="B699" s="549"/>
      <c r="C699" s="387"/>
      <c r="D699" s="462"/>
      <c r="E699" s="388" t="s">
        <v>228</v>
      </c>
      <c r="F699" s="473"/>
      <c r="G699" s="386" t="s">
        <v>98</v>
      </c>
      <c r="H699" s="400" t="str">
        <f t="shared" si="61"/>
        <v>MP-3</v>
      </c>
      <c r="I699" s="390">
        <v>3</v>
      </c>
      <c r="J699" s="399"/>
      <c r="K699" s="397"/>
      <c r="L699" s="397"/>
      <c r="M699" s="395" cm="1">
        <f t="array" ref="M699">IFERROR(_xlfn.IFS(N699=1,1,O699=1,1,P699=1,1,Q699=1,1),0)</f>
        <v>1</v>
      </c>
      <c r="N699" s="395">
        <v>1</v>
      </c>
      <c r="O699" s="418"/>
      <c r="P699" s="395"/>
    </row>
    <row r="700" spans="1:16" s="407" customFormat="1" ht="12" customHeight="1" outlineLevel="2">
      <c r="A700" s="415"/>
      <c r="B700" s="549"/>
      <c r="C700" s="387"/>
      <c r="D700" s="462"/>
      <c r="E700" s="388" t="s">
        <v>276</v>
      </c>
      <c r="F700" s="473"/>
      <c r="G700" s="386" t="s">
        <v>98</v>
      </c>
      <c r="H700" s="400" t="str">
        <f t="shared" si="61"/>
        <v>MP-3</v>
      </c>
      <c r="I700" s="390">
        <v>3</v>
      </c>
      <c r="J700" s="399"/>
      <c r="K700" s="397"/>
      <c r="L700" s="397"/>
      <c r="M700" s="395" cm="1">
        <f t="array" ref="M700">IFERROR(_xlfn.IFS(N700=1,1,O700=1,1,P700=1,1,Q700=1,1),0)</f>
        <v>1</v>
      </c>
      <c r="N700" s="395">
        <v>1</v>
      </c>
      <c r="O700" s="418"/>
      <c r="P700" s="395"/>
    </row>
    <row r="701" spans="1:16" s="407" customFormat="1" ht="12" customHeight="1" outlineLevel="2">
      <c r="A701" s="415"/>
      <c r="B701" s="549"/>
      <c r="C701" s="387"/>
      <c r="D701" s="462"/>
      <c r="E701" s="388" t="s">
        <v>1081</v>
      </c>
      <c r="F701" s="473"/>
      <c r="G701" s="386" t="s">
        <v>98</v>
      </c>
      <c r="H701" s="400" t="str">
        <f t="shared" si="61"/>
        <v>MP-3</v>
      </c>
      <c r="I701" s="390">
        <v>3</v>
      </c>
      <c r="J701" s="399"/>
      <c r="K701" s="397"/>
      <c r="L701" s="397"/>
      <c r="M701" s="395" cm="1">
        <f t="array" ref="M701">IFERROR(_xlfn.IFS(N701=1,1,O701=1,1,P701=1,1,Q701=1,1),0)</f>
        <v>1</v>
      </c>
      <c r="N701" s="395">
        <v>1</v>
      </c>
      <c r="O701" s="418"/>
      <c r="P701" s="395"/>
    </row>
    <row r="702" spans="1:16" s="407" customFormat="1" ht="12" customHeight="1" outlineLevel="2">
      <c r="A702" s="415"/>
      <c r="B702" s="549"/>
      <c r="C702" s="387"/>
      <c r="D702" s="462"/>
      <c r="E702" s="388" t="s">
        <v>1082</v>
      </c>
      <c r="F702" s="473"/>
      <c r="G702" s="386" t="s">
        <v>98</v>
      </c>
      <c r="H702" s="400" t="str">
        <f t="shared" si="61"/>
        <v>MP-3</v>
      </c>
      <c r="I702" s="390">
        <v>3</v>
      </c>
      <c r="J702" s="399"/>
      <c r="K702" s="397"/>
      <c r="L702" s="397"/>
      <c r="M702" s="395" cm="1">
        <f t="array" ref="M702">IFERROR(_xlfn.IFS(N702=1,1,O702=1,1,P702=1,1,Q702=1,1),0)</f>
        <v>1</v>
      </c>
      <c r="N702" s="395">
        <v>1</v>
      </c>
      <c r="O702" s="418"/>
      <c r="P702" s="395"/>
    </row>
    <row r="703" spans="1:16" s="407" customFormat="1" ht="12" customHeight="1" outlineLevel="2">
      <c r="A703" s="415"/>
      <c r="B703" s="549"/>
      <c r="C703" s="387"/>
      <c r="D703" s="462"/>
      <c r="E703" s="388" t="s">
        <v>1084</v>
      </c>
      <c r="F703" s="473"/>
      <c r="G703" s="386" t="s">
        <v>98</v>
      </c>
      <c r="H703" s="400" t="str">
        <f t="shared" si="61"/>
        <v>MP-3</v>
      </c>
      <c r="I703" s="390">
        <v>3</v>
      </c>
      <c r="J703" s="399"/>
      <c r="K703" s="397"/>
      <c r="L703" s="397"/>
      <c r="M703" s="395" cm="1">
        <f t="array" ref="M703">IFERROR(_xlfn.IFS(N703=1,1,O703=1,1,P703=1,1,Q703=1,1),0)</f>
        <v>1</v>
      </c>
      <c r="N703" s="395">
        <v>1</v>
      </c>
      <c r="O703" s="418"/>
      <c r="P703" s="395"/>
    </row>
    <row r="704" spans="1:16" s="407" customFormat="1" ht="12" customHeight="1" outlineLevel="2">
      <c r="A704" s="415"/>
      <c r="B704" s="549"/>
      <c r="C704" s="387"/>
      <c r="D704" s="462"/>
      <c r="E704" s="388" t="s">
        <v>1102</v>
      </c>
      <c r="F704" s="473"/>
      <c r="G704" s="386" t="s">
        <v>98</v>
      </c>
      <c r="H704" s="400" t="str">
        <f t="shared" si="61"/>
        <v>MP-3</v>
      </c>
      <c r="I704" s="390">
        <v>3</v>
      </c>
      <c r="J704" s="399"/>
      <c r="K704" s="397"/>
      <c r="L704" s="397"/>
      <c r="M704" s="395" cm="1">
        <f t="array" ref="M704">IFERROR(_xlfn.IFS(N704=1,1,O704=1,1,P704=1,1,Q704=1,1),0)</f>
        <v>1</v>
      </c>
      <c r="N704" s="395">
        <v>1</v>
      </c>
      <c r="O704" s="418"/>
      <c r="P704" s="395"/>
    </row>
    <row r="705" spans="1:46" ht="3" customHeight="1" outlineLevel="1">
      <c r="A705" s="548"/>
      <c r="B705" s="552"/>
      <c r="K705" s="408"/>
      <c r="L705" s="408"/>
    </row>
    <row r="706" spans="1:46" outlineLevel="1">
      <c r="A706" s="460" t="s">
        <v>166</v>
      </c>
      <c r="B706" s="460" t="s">
        <v>106</v>
      </c>
      <c r="C706" s="460"/>
      <c r="D706" s="460"/>
      <c r="E706" s="460"/>
      <c r="G706" s="460"/>
      <c r="H706" s="460"/>
      <c r="I706" s="460"/>
      <c r="K706" s="408"/>
      <c r="L706" s="408"/>
    </row>
    <row r="707" spans="1:46" s="407" customFormat="1" ht="12" customHeight="1" outlineLevel="2">
      <c r="A707" s="415"/>
      <c r="B707" s="549"/>
      <c r="C707" s="387"/>
      <c r="D707" s="462"/>
      <c r="E707" s="388" t="s">
        <v>223</v>
      </c>
      <c r="F707" s="473"/>
      <c r="G707" s="386" t="s">
        <v>98</v>
      </c>
      <c r="H707" s="400" t="str">
        <f t="shared" ref="H707:H708" si="62">CONCATENATE(G707,"-",I707)</f>
        <v>MP-4</v>
      </c>
      <c r="I707" s="390">
        <v>4</v>
      </c>
      <c r="J707" s="399"/>
      <c r="K707" s="397"/>
      <c r="L707" s="397"/>
      <c r="M707" s="395" cm="1">
        <f t="array" ref="M707">IFERROR(_xlfn.IFS(N707=1,1,O707=1,1,P707=1,1,Q707=1,1),0)</f>
        <v>1</v>
      </c>
      <c r="N707" s="395">
        <v>1</v>
      </c>
      <c r="O707" s="418"/>
      <c r="P707" s="418"/>
    </row>
    <row r="708" spans="1:46" s="407" customFormat="1" ht="12" customHeight="1" outlineLevel="2">
      <c r="A708" s="415"/>
      <c r="B708" s="549"/>
      <c r="C708" s="387"/>
      <c r="D708" s="462"/>
      <c r="E708" s="388" t="s">
        <v>1103</v>
      </c>
      <c r="F708" s="473"/>
      <c r="G708" s="386" t="s">
        <v>98</v>
      </c>
      <c r="H708" s="400" t="str">
        <f t="shared" si="62"/>
        <v>MP-4</v>
      </c>
      <c r="I708" s="390">
        <v>4</v>
      </c>
      <c r="J708" s="399"/>
      <c r="K708" s="397"/>
      <c r="L708" s="397"/>
      <c r="M708" s="395" cm="1">
        <f t="array" ref="M708">IFERROR(_xlfn.IFS(N708=1,1,O708=1,1,P708=1,1,Q708=1,1),0)</f>
        <v>1</v>
      </c>
      <c r="N708" s="395">
        <v>1</v>
      </c>
      <c r="O708" s="418"/>
      <c r="P708" s="418"/>
    </row>
    <row r="709" spans="1:46" s="407" customFormat="1" ht="12" customHeight="1" outlineLevel="2"/>
    <row r="711" spans="1:46" s="407" customFormat="1" ht="12" customHeight="1">
      <c r="A711" s="466" t="s">
        <v>108</v>
      </c>
      <c r="B711" s="550"/>
      <c r="C711" s="467"/>
      <c r="D711" s="468"/>
      <c r="E711" s="469"/>
      <c r="F711" s="472"/>
      <c r="G711" s="469"/>
      <c r="H711" s="469"/>
      <c r="I711" s="469"/>
      <c r="J711" s="472"/>
      <c r="K711" s="469"/>
      <c r="L711" s="469"/>
      <c r="M711" s="469"/>
      <c r="N711" s="469"/>
      <c r="O711" s="469"/>
      <c r="P711" s="469"/>
      <c r="Q711" s="469"/>
      <c r="R711" s="469"/>
      <c r="S711" s="469"/>
      <c r="T711" s="469"/>
      <c r="U711" s="469"/>
      <c r="V711" s="469"/>
      <c r="W711" s="469"/>
      <c r="X711" s="469"/>
      <c r="Y711" s="469"/>
      <c r="Z711" s="469"/>
      <c r="AA711" s="469"/>
      <c r="AB711" s="469"/>
      <c r="AC711" s="469"/>
      <c r="AD711" s="469"/>
      <c r="AE711" s="469"/>
      <c r="AF711" s="469"/>
      <c r="AG711" s="469"/>
      <c r="AH711" s="469"/>
      <c r="AI711" s="469"/>
      <c r="AJ711" s="469"/>
      <c r="AK711" s="469"/>
      <c r="AL711" s="469"/>
      <c r="AM711" s="469"/>
      <c r="AN711" s="469"/>
      <c r="AO711" s="469"/>
      <c r="AP711" s="469"/>
      <c r="AQ711" s="469"/>
      <c r="AR711" s="469"/>
      <c r="AS711" s="469"/>
      <c r="AT711" s="469"/>
    </row>
    <row r="712" spans="1:46" ht="3" customHeight="1" outlineLevel="1">
      <c r="A712" s="548"/>
      <c r="B712" s="552"/>
      <c r="K712" s="408"/>
      <c r="L712" s="408"/>
    </row>
    <row r="713" spans="1:46" outlineLevel="1">
      <c r="A713" s="460" t="s">
        <v>167</v>
      </c>
      <c r="B713" s="460" t="s">
        <v>110</v>
      </c>
      <c r="C713" s="460"/>
      <c r="D713" s="460"/>
      <c r="E713" s="460"/>
      <c r="G713" s="460"/>
      <c r="H713" s="460"/>
      <c r="I713" s="460"/>
      <c r="K713" s="408"/>
      <c r="L713" s="408"/>
    </row>
    <row r="714" spans="1:46" s="407" customFormat="1" ht="12" customHeight="1" outlineLevel="2">
      <c r="A714" s="415"/>
      <c r="B714" s="549"/>
      <c r="C714" s="387"/>
      <c r="D714" s="462"/>
      <c r="E714" s="388" t="s">
        <v>228</v>
      </c>
      <c r="F714" s="473"/>
      <c r="G714" s="386" t="s">
        <v>107</v>
      </c>
      <c r="H714" s="400" t="str">
        <f>CONCATENATE(G714,"-",I714)</f>
        <v>AM-1</v>
      </c>
      <c r="I714" s="390">
        <v>1</v>
      </c>
      <c r="J714" s="399"/>
      <c r="K714" s="397"/>
      <c r="L714" s="397"/>
      <c r="M714" s="395" cm="1">
        <f t="array" ref="M714">IFERROR(_xlfn.IFS(N714=1,1,O714=1,1,P714=1,1,Q714=1,1),0)</f>
        <v>1</v>
      </c>
      <c r="N714" s="395">
        <v>1</v>
      </c>
      <c r="O714" s="395"/>
    </row>
    <row r="715" spans="1:46" customFormat="1" ht="12" customHeight="1" outlineLevel="2">
      <c r="A715" s="415"/>
      <c r="B715" s="549"/>
      <c r="C715" s="387"/>
      <c r="D715" s="462"/>
      <c r="E715" s="388" t="s">
        <v>227</v>
      </c>
      <c r="F715" s="559"/>
      <c r="G715" s="386" t="s">
        <v>107</v>
      </c>
      <c r="H715" s="400" t="str">
        <f t="shared" ref="H715:H723" si="63">CONCATENATE(G715,"-",I715)</f>
        <v>AM-1</v>
      </c>
      <c r="I715" s="390">
        <v>1</v>
      </c>
      <c r="J715" s="399"/>
      <c r="K715" s="397"/>
      <c r="L715" s="397"/>
      <c r="M715" s="395" cm="1">
        <f t="array" ref="M715">IFERROR(_xlfn.IFS(N715=1,1,O715=1,1,P715=1,1,Q715=1,1),0)</f>
        <v>1</v>
      </c>
      <c r="N715" s="395">
        <v>1</v>
      </c>
      <c r="O715" s="465"/>
    </row>
    <row r="716" spans="1:46" customFormat="1" ht="12" customHeight="1" outlineLevel="2">
      <c r="A716" s="415"/>
      <c r="B716" s="549"/>
      <c r="C716" s="387"/>
      <c r="D716" s="462"/>
      <c r="E716" s="388" t="s">
        <v>280</v>
      </c>
      <c r="F716" s="559"/>
      <c r="G716" s="386" t="s">
        <v>107</v>
      </c>
      <c r="H716" s="400" t="str">
        <f t="shared" si="63"/>
        <v>AM-1</v>
      </c>
      <c r="I716" s="390">
        <v>1</v>
      </c>
      <c r="J716" s="399"/>
      <c r="K716" s="397"/>
      <c r="L716" s="397"/>
      <c r="M716" s="395" cm="1">
        <f t="array" ref="M716">IFERROR(_xlfn.IFS(N716=1,1,O716=1,1,P716=1,1,Q716=1,1),0)</f>
        <v>1</v>
      </c>
      <c r="N716" s="395">
        <v>1</v>
      </c>
      <c r="O716" s="465"/>
    </row>
    <row r="717" spans="1:46" customFormat="1" ht="12" customHeight="1" outlineLevel="2">
      <c r="A717" s="415"/>
      <c r="B717" s="549"/>
      <c r="C717" s="387"/>
      <c r="D717" s="462"/>
      <c r="E717" s="388" t="s">
        <v>222</v>
      </c>
      <c r="F717" s="559"/>
      <c r="G717" s="386" t="s">
        <v>107</v>
      </c>
      <c r="H717" s="400" t="str">
        <f t="shared" si="63"/>
        <v>AM-1</v>
      </c>
      <c r="I717" s="390">
        <v>1</v>
      </c>
      <c r="J717" s="399"/>
      <c r="K717" s="397"/>
      <c r="L717" s="397"/>
      <c r="M717" s="395" cm="1">
        <f t="array" ref="M717">IFERROR(_xlfn.IFS(N717=1,1,O717=1,1,P717=1,1,Q717=1,1),0)</f>
        <v>1</v>
      </c>
      <c r="N717" s="395">
        <v>1</v>
      </c>
      <c r="O717" s="465"/>
    </row>
    <row r="718" spans="1:46" customFormat="1" ht="12" customHeight="1" outlineLevel="2">
      <c r="A718" s="415"/>
      <c r="B718" s="549"/>
      <c r="C718" s="387"/>
      <c r="D718" s="462"/>
      <c r="E718" s="388" t="s">
        <v>1076</v>
      </c>
      <c r="F718" s="559"/>
      <c r="G718" s="386" t="s">
        <v>107</v>
      </c>
      <c r="H718" s="400" t="str">
        <f t="shared" si="63"/>
        <v>AM-1</v>
      </c>
      <c r="I718" s="390">
        <v>1</v>
      </c>
      <c r="J718" s="399"/>
      <c r="K718" s="397"/>
      <c r="L718" s="397"/>
      <c r="M718" s="395" cm="1">
        <f t="array" ref="M718">IFERROR(_xlfn.IFS(N718=1,1,O718=1,1,P718=1,1,Q718=1,1),0)</f>
        <v>1</v>
      </c>
      <c r="N718" s="395">
        <v>1</v>
      </c>
      <c r="O718" s="465"/>
    </row>
    <row r="719" spans="1:46" customFormat="1" ht="12" customHeight="1" outlineLevel="2">
      <c r="A719" s="415"/>
      <c r="B719" s="549"/>
      <c r="C719" s="387"/>
      <c r="D719" s="462"/>
      <c r="E719" s="388" t="s">
        <v>1104</v>
      </c>
      <c r="F719" s="559"/>
      <c r="G719" s="386" t="s">
        <v>107</v>
      </c>
      <c r="H719" s="400" t="str">
        <f t="shared" si="63"/>
        <v>AM-1</v>
      </c>
      <c r="I719" s="390">
        <v>1</v>
      </c>
      <c r="J719" s="399"/>
      <c r="K719" s="397"/>
      <c r="L719" s="397"/>
      <c r="M719" s="395" cm="1">
        <f t="array" ref="M719">IFERROR(_xlfn.IFS(N719=1,1,O719=1,1,P719=1,1,Q719=1,1),0)</f>
        <v>1</v>
      </c>
      <c r="N719" s="395">
        <v>1</v>
      </c>
      <c r="O719" s="465"/>
    </row>
    <row r="720" spans="1:46" customFormat="1" ht="12" customHeight="1" outlineLevel="2">
      <c r="A720" s="415"/>
      <c r="B720" s="549"/>
      <c r="C720" s="387"/>
      <c r="D720" s="462"/>
      <c r="E720" s="388" t="s">
        <v>271</v>
      </c>
      <c r="F720" s="559"/>
      <c r="G720" s="386" t="s">
        <v>107</v>
      </c>
      <c r="H720" s="400" t="str">
        <f t="shared" si="63"/>
        <v>AM-1</v>
      </c>
      <c r="I720" s="390">
        <v>1</v>
      </c>
      <c r="J720" s="399"/>
      <c r="K720" s="397"/>
      <c r="L720" s="397"/>
      <c r="M720" s="395" cm="1">
        <f t="array" ref="M720">IFERROR(_xlfn.IFS(N720=1,1,O720=1,1,P720=1,1,Q720=1,1),0)</f>
        <v>1</v>
      </c>
      <c r="N720" s="395">
        <v>1</v>
      </c>
      <c r="O720" s="465"/>
    </row>
    <row r="721" spans="1:15" customFormat="1" ht="12" customHeight="1" outlineLevel="2">
      <c r="A721" s="415"/>
      <c r="B721" s="549"/>
      <c r="C721" s="387"/>
      <c r="D721" s="462"/>
      <c r="E721" s="388" t="s">
        <v>275</v>
      </c>
      <c r="F721" s="559"/>
      <c r="G721" s="386" t="s">
        <v>107</v>
      </c>
      <c r="H721" s="400" t="str">
        <f t="shared" si="63"/>
        <v>AM-1</v>
      </c>
      <c r="I721" s="390">
        <v>1</v>
      </c>
      <c r="J721" s="399"/>
      <c r="K721" s="397"/>
      <c r="L721" s="397"/>
      <c r="M721" s="395" cm="1">
        <f t="array" ref="M721">IFERROR(_xlfn.IFS(N721=1,1,O721=1,1,P721=1,1,Q721=1,1),0)</f>
        <v>1</v>
      </c>
      <c r="N721" s="395">
        <v>1</v>
      </c>
      <c r="O721" s="465"/>
    </row>
    <row r="722" spans="1:15" customFormat="1" ht="12" customHeight="1" outlineLevel="2">
      <c r="A722" s="415"/>
      <c r="B722" s="549"/>
      <c r="C722" s="387"/>
      <c r="D722" s="462"/>
      <c r="E722" s="388" t="s">
        <v>230</v>
      </c>
      <c r="F722" s="559"/>
      <c r="G722" s="386" t="s">
        <v>107</v>
      </c>
      <c r="H722" s="400" t="str">
        <f t="shared" si="63"/>
        <v>AM-1</v>
      </c>
      <c r="I722" s="390">
        <v>1</v>
      </c>
      <c r="J722" s="399"/>
      <c r="K722" s="397"/>
      <c r="L722" s="397"/>
      <c r="M722" s="395" cm="1">
        <f t="array" ref="M722">IFERROR(_xlfn.IFS(N722=1,1,O722=1,1,P722=1,1,Q722=1,1),0)</f>
        <v>1</v>
      </c>
      <c r="N722" s="395">
        <v>1</v>
      </c>
      <c r="O722" s="465"/>
    </row>
    <row r="723" spans="1:15" customFormat="1" ht="12" customHeight="1" outlineLevel="2">
      <c r="A723" s="415"/>
      <c r="B723" s="549"/>
      <c r="C723" s="387"/>
      <c r="D723" s="462"/>
      <c r="E723" s="388" t="s">
        <v>269</v>
      </c>
      <c r="F723" s="559"/>
      <c r="G723" s="386" t="s">
        <v>107</v>
      </c>
      <c r="H723" s="400" t="str">
        <f t="shared" si="63"/>
        <v>AM-1</v>
      </c>
      <c r="I723" s="390">
        <v>1</v>
      </c>
      <c r="J723" s="399"/>
      <c r="K723" s="397"/>
      <c r="L723" s="397"/>
      <c r="M723" s="395" cm="1">
        <f t="array" ref="M723">IFERROR(_xlfn.IFS(N723=1,1,O723=1,1,P723=1,1,Q723=1,1),0)</f>
        <v>1</v>
      </c>
      <c r="N723" s="395">
        <v>1</v>
      </c>
      <c r="O723" s="465"/>
    </row>
    <row r="724" spans="1:15" s="568" customFormat="1" ht="3" customHeight="1" outlineLevel="1">
      <c r="A724" s="560"/>
      <c r="B724" s="561"/>
      <c r="C724" s="463"/>
      <c r="D724" s="562"/>
      <c r="E724" s="563"/>
      <c r="F724" s="563"/>
      <c r="G724" s="564"/>
      <c r="H724" s="564"/>
      <c r="I724" s="565"/>
      <c r="J724" s="563"/>
      <c r="K724" s="565"/>
      <c r="L724" s="565"/>
      <c r="M724" s="566"/>
      <c r="N724" s="567"/>
      <c r="O724" s="566"/>
    </row>
    <row r="725" spans="1:15" outlineLevel="1">
      <c r="A725" s="460" t="s">
        <v>168</v>
      </c>
      <c r="B725" s="460" t="s">
        <v>112</v>
      </c>
      <c r="C725" s="460"/>
      <c r="D725" s="460"/>
      <c r="E725" s="460"/>
      <c r="G725" s="460"/>
      <c r="H725" s="460"/>
      <c r="I725" s="460"/>
      <c r="K725" s="408"/>
      <c r="L725" s="408"/>
    </row>
    <row r="726" spans="1:15" customFormat="1" ht="12" customHeight="1" outlineLevel="2">
      <c r="A726" s="415"/>
      <c r="B726" s="549"/>
      <c r="C726" s="387"/>
      <c r="D726" s="462"/>
      <c r="E726" s="388" t="s">
        <v>230</v>
      </c>
      <c r="F726" s="559"/>
      <c r="G726" s="386" t="s">
        <v>107</v>
      </c>
      <c r="H726" s="400" t="str">
        <f t="shared" ref="H726:H750" si="64">CONCATENATE(G726,"-",I726)</f>
        <v>AM-2</v>
      </c>
      <c r="I726" s="390">
        <v>2</v>
      </c>
      <c r="J726" s="399"/>
      <c r="K726" s="397"/>
      <c r="L726" s="397"/>
      <c r="M726" s="395" cm="1">
        <f t="array" ref="M726">IFERROR(_xlfn.IFS(N726=1,1,O726=1,1,P726=1,1,Q726=1,1),0)</f>
        <v>1</v>
      </c>
      <c r="N726" s="395"/>
      <c r="O726" s="395">
        <v>1</v>
      </c>
    </row>
    <row r="727" spans="1:15" customFormat="1" ht="12" customHeight="1" outlineLevel="2">
      <c r="B727" s="549"/>
      <c r="C727" s="387"/>
      <c r="D727" s="462"/>
      <c r="E727" s="388" t="s">
        <v>269</v>
      </c>
      <c r="F727" s="559"/>
      <c r="G727" s="386" t="s">
        <v>107</v>
      </c>
      <c r="H727" s="400" t="str">
        <f t="shared" si="64"/>
        <v>AM-2</v>
      </c>
      <c r="I727" s="390">
        <v>2</v>
      </c>
      <c r="J727" s="399"/>
      <c r="K727" s="397"/>
      <c r="L727" s="397"/>
      <c r="M727" s="395" cm="1">
        <f t="array" ref="M727">IFERROR(_xlfn.IFS(N727=1,1,O727=1,1,P727=1,1,Q727=1,1),0)</f>
        <v>1</v>
      </c>
      <c r="N727" s="395"/>
      <c r="O727" s="395">
        <v>1</v>
      </c>
    </row>
    <row r="728" spans="1:15" customFormat="1" ht="12" customHeight="1" outlineLevel="2">
      <c r="B728" s="549"/>
      <c r="C728" s="387"/>
      <c r="D728" s="462"/>
      <c r="E728" s="388" t="s">
        <v>270</v>
      </c>
      <c r="F728" s="559"/>
      <c r="G728" s="386" t="s">
        <v>107</v>
      </c>
      <c r="H728" s="400" t="str">
        <f t="shared" si="64"/>
        <v>AM-2</v>
      </c>
      <c r="I728" s="390">
        <v>2</v>
      </c>
      <c r="J728" s="399"/>
      <c r="K728" s="397"/>
      <c r="L728" s="397"/>
      <c r="M728" s="395" cm="1">
        <f t="array" ref="M728">IFERROR(_xlfn.IFS(N728=1,1,O728=1,1,P728=1,1,Q728=1,1),0)</f>
        <v>1</v>
      </c>
      <c r="N728" s="395"/>
      <c r="O728" s="395">
        <v>1</v>
      </c>
    </row>
    <row r="729" spans="1:15" customFormat="1" ht="12" customHeight="1" outlineLevel="2">
      <c r="B729" s="549"/>
      <c r="C729" s="387"/>
      <c r="D729" s="462"/>
      <c r="E729" s="388" t="s">
        <v>1078</v>
      </c>
      <c r="F729" s="559"/>
      <c r="G729" s="386" t="s">
        <v>107</v>
      </c>
      <c r="H729" s="400" t="str">
        <f t="shared" si="64"/>
        <v>AM-2</v>
      </c>
      <c r="I729" s="390">
        <v>2</v>
      </c>
      <c r="J729" s="399"/>
      <c r="K729" s="397"/>
      <c r="L729" s="397"/>
      <c r="M729" s="395" cm="1">
        <f t="array" ref="M729">IFERROR(_xlfn.IFS(N729=1,1,O729=1,1,P729=1,1,Q729=1,1),0)</f>
        <v>1</v>
      </c>
      <c r="N729" s="395"/>
      <c r="O729" s="395">
        <v>1</v>
      </c>
    </row>
    <row r="730" spans="1:15" customFormat="1" ht="12" customHeight="1" outlineLevel="2">
      <c r="B730" s="549"/>
      <c r="C730" s="387"/>
      <c r="D730" s="462"/>
      <c r="E730" s="388" t="s">
        <v>1079</v>
      </c>
      <c r="F730" s="559"/>
      <c r="G730" s="386" t="s">
        <v>107</v>
      </c>
      <c r="H730" s="400" t="str">
        <f t="shared" si="64"/>
        <v>AM-2</v>
      </c>
      <c r="I730" s="390">
        <v>2</v>
      </c>
      <c r="J730" s="399"/>
      <c r="K730" s="397"/>
      <c r="L730" s="397"/>
      <c r="M730" s="395" cm="1">
        <f t="array" ref="M730">IFERROR(_xlfn.IFS(N730=1,1,O730=1,1,P730=1,1,Q730=1,1),0)</f>
        <v>1</v>
      </c>
      <c r="N730" s="395"/>
      <c r="O730" s="395">
        <v>1</v>
      </c>
    </row>
    <row r="731" spans="1:15" customFormat="1" ht="12" customHeight="1" outlineLevel="2">
      <c r="B731" s="549"/>
      <c r="C731" s="387"/>
      <c r="D731" s="462"/>
      <c r="E731" s="388" t="s">
        <v>273</v>
      </c>
      <c r="F731" s="559"/>
      <c r="G731" s="386" t="s">
        <v>107</v>
      </c>
      <c r="H731" s="400" t="str">
        <f t="shared" si="64"/>
        <v>AM-2</v>
      </c>
      <c r="I731" s="390">
        <v>2</v>
      </c>
      <c r="J731" s="399"/>
      <c r="K731" s="397"/>
      <c r="L731" s="397"/>
      <c r="M731" s="395" cm="1">
        <f t="array" ref="M731">IFERROR(_xlfn.IFS(N731=1,1,O731=1,1,P731=1,1,Q731=1,1),0)</f>
        <v>1</v>
      </c>
      <c r="N731" s="395"/>
      <c r="O731" s="395">
        <v>1</v>
      </c>
    </row>
    <row r="732" spans="1:15" customFormat="1" ht="12" customHeight="1" outlineLevel="2">
      <c r="B732" s="549"/>
      <c r="C732" s="387"/>
      <c r="D732" s="462"/>
      <c r="E732" s="388" t="s">
        <v>274</v>
      </c>
      <c r="F732" s="559"/>
      <c r="G732" s="386" t="s">
        <v>107</v>
      </c>
      <c r="H732" s="400" t="str">
        <f t="shared" si="64"/>
        <v>AM-2</v>
      </c>
      <c r="I732" s="390">
        <v>2</v>
      </c>
      <c r="J732" s="399"/>
      <c r="K732" s="397"/>
      <c r="L732" s="397"/>
      <c r="M732" s="395" cm="1">
        <f t="array" ref="M732">IFERROR(_xlfn.IFS(N732=1,1,O732=1,1,P732=1,1,Q732=1,1),0)</f>
        <v>1</v>
      </c>
      <c r="N732" s="395"/>
      <c r="O732" s="395">
        <v>1</v>
      </c>
    </row>
    <row r="733" spans="1:15" customFormat="1" ht="12" customHeight="1" outlineLevel="2">
      <c r="B733" s="549"/>
      <c r="C733" s="387"/>
      <c r="D733" s="462"/>
      <c r="E733" s="388" t="s">
        <v>276</v>
      </c>
      <c r="F733" s="559"/>
      <c r="G733" s="386" t="s">
        <v>107</v>
      </c>
      <c r="H733" s="400" t="str">
        <f t="shared" si="64"/>
        <v>AM-2</v>
      </c>
      <c r="I733" s="390">
        <v>2</v>
      </c>
      <c r="J733" s="399"/>
      <c r="K733" s="397"/>
      <c r="L733" s="397"/>
      <c r="M733" s="395" cm="1">
        <f t="array" ref="M733">IFERROR(_xlfn.IFS(N733=1,1,O733=1,1,P733=1,1,Q733=1,1),0)</f>
        <v>1</v>
      </c>
      <c r="N733" s="395"/>
      <c r="O733" s="395">
        <v>1</v>
      </c>
    </row>
    <row r="734" spans="1:15" customFormat="1" ht="12" customHeight="1" outlineLevel="2">
      <c r="B734" s="549"/>
      <c r="C734" s="387"/>
      <c r="D734" s="462"/>
      <c r="E734" s="388" t="s">
        <v>277</v>
      </c>
      <c r="F734" s="559"/>
      <c r="G734" s="386" t="s">
        <v>107</v>
      </c>
      <c r="H734" s="400" t="str">
        <f t="shared" si="64"/>
        <v>AM-2</v>
      </c>
      <c r="I734" s="390">
        <v>2</v>
      </c>
      <c r="J734" s="399"/>
      <c r="K734" s="397"/>
      <c r="L734" s="397"/>
      <c r="M734" s="395" cm="1">
        <f t="array" ref="M734">IFERROR(_xlfn.IFS(N734=1,1,O734=1,1,P734=1,1,Q734=1,1),0)</f>
        <v>1</v>
      </c>
      <c r="N734" s="395"/>
      <c r="O734" s="395">
        <v>1</v>
      </c>
    </row>
    <row r="735" spans="1:15" customFormat="1" ht="12" customHeight="1" outlineLevel="2">
      <c r="B735" s="549"/>
      <c r="C735" s="387"/>
      <c r="D735" s="462"/>
      <c r="E735" s="388" t="s">
        <v>278</v>
      </c>
      <c r="F735" s="559"/>
      <c r="G735" s="386" t="s">
        <v>107</v>
      </c>
      <c r="H735" s="400" t="str">
        <f t="shared" si="64"/>
        <v>AM-2</v>
      </c>
      <c r="I735" s="390">
        <v>2</v>
      </c>
      <c r="J735" s="399"/>
      <c r="K735" s="397"/>
      <c r="L735" s="397"/>
      <c r="M735" s="395" cm="1">
        <f t="array" ref="M735">IFERROR(_xlfn.IFS(N735=1,1,O735=1,1,P735=1,1,Q735=1,1),0)</f>
        <v>1</v>
      </c>
      <c r="N735" s="395"/>
      <c r="O735" s="395">
        <v>1</v>
      </c>
    </row>
    <row r="736" spans="1:15" customFormat="1" ht="12" customHeight="1" outlineLevel="2">
      <c r="B736" s="549"/>
      <c r="C736" s="387"/>
      <c r="D736" s="462"/>
      <c r="E736" s="388" t="s">
        <v>279</v>
      </c>
      <c r="F736" s="559"/>
      <c r="G736" s="386" t="s">
        <v>107</v>
      </c>
      <c r="H736" s="400" t="str">
        <f t="shared" si="64"/>
        <v>AM-2</v>
      </c>
      <c r="I736" s="390">
        <v>2</v>
      </c>
      <c r="J736" s="399"/>
      <c r="K736" s="397"/>
      <c r="L736" s="397"/>
      <c r="M736" s="395" cm="1">
        <f t="array" ref="M736">IFERROR(_xlfn.IFS(N736=1,1,O736=1,1,P736=1,1,Q736=1,1),0)</f>
        <v>1</v>
      </c>
      <c r="N736" s="395"/>
      <c r="O736" s="395">
        <v>1</v>
      </c>
    </row>
    <row r="737" spans="1:15" customFormat="1" ht="12" customHeight="1" outlineLevel="2">
      <c r="B737" s="549"/>
      <c r="C737" s="387"/>
      <c r="D737" s="462"/>
      <c r="E737" s="388" t="s">
        <v>1080</v>
      </c>
      <c r="F737" s="559"/>
      <c r="G737" s="386" t="s">
        <v>107</v>
      </c>
      <c r="H737" s="400" t="str">
        <f t="shared" si="64"/>
        <v>AM-2</v>
      </c>
      <c r="I737" s="390">
        <v>2</v>
      </c>
      <c r="J737" s="399"/>
      <c r="K737" s="397"/>
      <c r="L737" s="397"/>
      <c r="M737" s="395" cm="1">
        <f t="array" ref="M737">IFERROR(_xlfn.IFS(N737=1,1,O737=1,1,P737=1,1,Q737=1,1),0)</f>
        <v>1</v>
      </c>
      <c r="N737" s="395"/>
      <c r="O737" s="395">
        <v>1</v>
      </c>
    </row>
    <row r="738" spans="1:15" customFormat="1" ht="12" customHeight="1" outlineLevel="2">
      <c r="B738" s="549"/>
      <c r="C738" s="387"/>
      <c r="D738" s="462"/>
      <c r="E738" s="388" t="s">
        <v>1081</v>
      </c>
      <c r="F738" s="559"/>
      <c r="G738" s="386" t="s">
        <v>107</v>
      </c>
      <c r="H738" s="400" t="str">
        <f t="shared" si="64"/>
        <v>AM-2</v>
      </c>
      <c r="I738" s="390">
        <v>2</v>
      </c>
      <c r="J738" s="399"/>
      <c r="K738" s="397"/>
      <c r="L738" s="397"/>
      <c r="M738" s="395" cm="1">
        <f t="array" ref="M738">IFERROR(_xlfn.IFS(N738=1,1,O738=1,1,P738=1,1,Q738=1,1),0)</f>
        <v>1</v>
      </c>
      <c r="N738" s="395"/>
      <c r="O738" s="395">
        <v>1</v>
      </c>
    </row>
    <row r="739" spans="1:15" customFormat="1" ht="12" customHeight="1" outlineLevel="2">
      <c r="B739" s="549"/>
      <c r="C739" s="387"/>
      <c r="D739" s="462"/>
      <c r="E739" s="388" t="s">
        <v>1082</v>
      </c>
      <c r="F739" s="559"/>
      <c r="G739" s="386" t="s">
        <v>107</v>
      </c>
      <c r="H739" s="400" t="str">
        <f t="shared" si="64"/>
        <v>AM-2</v>
      </c>
      <c r="I739" s="390">
        <v>2</v>
      </c>
      <c r="J739" s="399"/>
      <c r="K739" s="397"/>
      <c r="L739" s="397"/>
      <c r="M739" s="395" cm="1">
        <f t="array" ref="M739">IFERROR(_xlfn.IFS(N739=1,1,O739=1,1,P739=1,1,Q739=1,1),0)</f>
        <v>1</v>
      </c>
      <c r="N739" s="395"/>
      <c r="O739" s="395">
        <v>1</v>
      </c>
    </row>
    <row r="740" spans="1:15" customFormat="1" ht="12" customHeight="1" outlineLevel="2">
      <c r="B740" s="549"/>
      <c r="C740" s="387"/>
      <c r="D740" s="462"/>
      <c r="E740" s="388" t="s">
        <v>1105</v>
      </c>
      <c r="F740" s="559"/>
      <c r="G740" s="386" t="s">
        <v>107</v>
      </c>
      <c r="H740" s="400" t="str">
        <f t="shared" si="64"/>
        <v>AM-2</v>
      </c>
      <c r="I740" s="390">
        <v>2</v>
      </c>
      <c r="J740" s="399"/>
      <c r="K740" s="397"/>
      <c r="L740" s="397"/>
      <c r="M740" s="395" cm="1">
        <f t="array" ref="M740">IFERROR(_xlfn.IFS(N740=1,1,O740=1,1,P740=1,1,Q740=1,1),0)</f>
        <v>1</v>
      </c>
      <c r="N740" s="395"/>
      <c r="O740" s="395">
        <v>1</v>
      </c>
    </row>
    <row r="741" spans="1:15" customFormat="1" ht="12" customHeight="1" outlineLevel="2">
      <c r="B741" s="549"/>
      <c r="C741" s="387"/>
      <c r="D741" s="462"/>
      <c r="E741" s="388" t="s">
        <v>1106</v>
      </c>
      <c r="F741" s="559"/>
      <c r="G741" s="386" t="s">
        <v>107</v>
      </c>
      <c r="H741" s="400" t="str">
        <f t="shared" si="64"/>
        <v>AM-2</v>
      </c>
      <c r="I741" s="390">
        <v>2</v>
      </c>
      <c r="J741" s="399"/>
      <c r="K741" s="397"/>
      <c r="L741" s="397"/>
      <c r="M741" s="395" cm="1">
        <f t="array" ref="M741">IFERROR(_xlfn.IFS(N741=1,1,O741=1,1,P741=1,1,Q741=1,1),0)</f>
        <v>1</v>
      </c>
      <c r="N741" s="395"/>
      <c r="O741" s="395">
        <v>1</v>
      </c>
    </row>
    <row r="742" spans="1:15" customFormat="1" ht="12" customHeight="1" outlineLevel="2">
      <c r="B742" s="549"/>
      <c r="C742" s="387"/>
      <c r="D742" s="462"/>
      <c r="E742" s="388" t="s">
        <v>1107</v>
      </c>
      <c r="F742" s="559"/>
      <c r="G742" s="386" t="s">
        <v>107</v>
      </c>
      <c r="H742" s="400" t="str">
        <f t="shared" si="64"/>
        <v>AM-2</v>
      </c>
      <c r="I742" s="390">
        <v>2</v>
      </c>
      <c r="J742" s="399"/>
      <c r="K742" s="397"/>
      <c r="L742" s="397"/>
      <c r="M742" s="395" cm="1">
        <f t="array" ref="M742">IFERROR(_xlfn.IFS(N742=1,1,O742=1,1,P742=1,1,Q742=1,1),0)</f>
        <v>1</v>
      </c>
      <c r="N742" s="395"/>
      <c r="O742" s="395">
        <v>1</v>
      </c>
    </row>
    <row r="743" spans="1:15" customFormat="1" ht="12" customHeight="1" outlineLevel="2">
      <c r="A743" s="415"/>
      <c r="B743" s="549"/>
      <c r="C743" s="387"/>
      <c r="D743" s="462"/>
      <c r="E743" s="388" t="s">
        <v>1108</v>
      </c>
      <c r="F743" s="559"/>
      <c r="G743" s="386" t="s">
        <v>107</v>
      </c>
      <c r="H743" s="400" t="str">
        <f t="shared" si="64"/>
        <v>AM-2</v>
      </c>
      <c r="I743" s="390">
        <v>2</v>
      </c>
      <c r="J743" s="399"/>
      <c r="K743" s="397"/>
      <c r="L743" s="397"/>
      <c r="M743" s="395" cm="1">
        <f t="array" ref="M743">IFERROR(_xlfn.IFS(N743=1,1,O743=1,1,P743=1,1,Q743=1,1),0)</f>
        <v>1</v>
      </c>
      <c r="N743" s="395"/>
      <c r="O743" s="395">
        <v>1</v>
      </c>
    </row>
    <row r="744" spans="1:15" customFormat="1" ht="12" customHeight="1" outlineLevel="2">
      <c r="A744" s="415"/>
      <c r="B744" s="549"/>
      <c r="C744" s="387"/>
      <c r="D744" s="462"/>
      <c r="E744" s="388" t="s">
        <v>1083</v>
      </c>
      <c r="F744" s="559"/>
      <c r="G744" s="386" t="s">
        <v>107</v>
      </c>
      <c r="H744" s="400" t="str">
        <f t="shared" si="64"/>
        <v>AM-2</v>
      </c>
      <c r="I744" s="390">
        <v>2</v>
      </c>
      <c r="J744" s="399"/>
      <c r="K744" s="397"/>
      <c r="L744" s="397"/>
      <c r="M744" s="395" cm="1">
        <f t="array" ref="M744">IFERROR(_xlfn.IFS(N744=1,1,O744=1,1,P744=1,1,Q744=1,1),0)</f>
        <v>1</v>
      </c>
      <c r="N744" s="395"/>
      <c r="O744" s="395">
        <v>1</v>
      </c>
    </row>
    <row r="745" spans="1:15" customFormat="1" ht="12" customHeight="1" outlineLevel="2">
      <c r="A745" s="415"/>
      <c r="B745" s="549"/>
      <c r="C745" s="387"/>
      <c r="D745" s="462"/>
      <c r="E745" s="388" t="s">
        <v>1109</v>
      </c>
      <c r="F745" s="559"/>
      <c r="G745" s="386" t="s">
        <v>107</v>
      </c>
      <c r="H745" s="400" t="str">
        <f t="shared" si="64"/>
        <v>AM-2</v>
      </c>
      <c r="I745" s="390">
        <v>2</v>
      </c>
      <c r="J745" s="399"/>
      <c r="K745" s="397"/>
      <c r="L745" s="397"/>
      <c r="M745" s="395" cm="1">
        <f t="array" ref="M745">IFERROR(_xlfn.IFS(N745=1,1,O745=1,1,P745=1,1,Q745=1,1),0)</f>
        <v>1</v>
      </c>
      <c r="N745" s="395"/>
      <c r="O745" s="395">
        <v>1</v>
      </c>
    </row>
    <row r="746" spans="1:15" customFormat="1" ht="12" customHeight="1" outlineLevel="2">
      <c r="A746" s="415"/>
      <c r="B746" s="549"/>
      <c r="C746" s="387"/>
      <c r="D746" s="462"/>
      <c r="E746" s="388" t="s">
        <v>1084</v>
      </c>
      <c r="F746" s="559"/>
      <c r="G746" s="386" t="s">
        <v>107</v>
      </c>
      <c r="H746" s="400" t="str">
        <f t="shared" si="64"/>
        <v>AM-2</v>
      </c>
      <c r="I746" s="390">
        <v>2</v>
      </c>
      <c r="J746" s="399"/>
      <c r="K746" s="397"/>
      <c r="L746" s="397"/>
      <c r="M746" s="395" cm="1">
        <f t="array" ref="M746">IFERROR(_xlfn.IFS(N746=1,1,O746=1,1,P746=1,1,Q746=1,1),0)</f>
        <v>1</v>
      </c>
      <c r="N746" s="395"/>
      <c r="O746" s="395">
        <v>1</v>
      </c>
    </row>
    <row r="747" spans="1:15" customFormat="1" ht="12" customHeight="1" outlineLevel="2">
      <c r="A747" s="415"/>
      <c r="B747" s="549"/>
      <c r="C747" s="387"/>
      <c r="D747" s="462"/>
      <c r="E747" s="388" t="s">
        <v>1085</v>
      </c>
      <c r="F747" s="559"/>
      <c r="G747" s="386" t="s">
        <v>107</v>
      </c>
      <c r="H747" s="400" t="str">
        <f t="shared" si="64"/>
        <v>AM-2</v>
      </c>
      <c r="I747" s="390">
        <v>2</v>
      </c>
      <c r="J747" s="399"/>
      <c r="K747" s="397"/>
      <c r="L747" s="397"/>
      <c r="M747" s="395" cm="1">
        <f t="array" ref="M747">IFERROR(_xlfn.IFS(N747=1,1,O747=1,1,P747=1,1,Q747=1,1),0)</f>
        <v>1</v>
      </c>
      <c r="N747" s="395"/>
      <c r="O747" s="395">
        <v>1</v>
      </c>
    </row>
    <row r="748" spans="1:15" customFormat="1" ht="12" customHeight="1" outlineLevel="2">
      <c r="A748" s="415"/>
      <c r="B748" s="549"/>
      <c r="C748" s="387"/>
      <c r="D748" s="462"/>
      <c r="E748" s="388" t="s">
        <v>1110</v>
      </c>
      <c r="F748" s="559"/>
      <c r="G748" s="386" t="s">
        <v>107</v>
      </c>
      <c r="H748" s="400" t="str">
        <f t="shared" si="64"/>
        <v>AM-2</v>
      </c>
      <c r="I748" s="390">
        <v>2</v>
      </c>
      <c r="J748" s="399"/>
      <c r="K748" s="397"/>
      <c r="L748" s="397"/>
      <c r="M748" s="395" cm="1">
        <f t="array" ref="M748">IFERROR(_xlfn.IFS(N748=1,1,O748=1,1,P748=1,1,Q748=1,1),0)</f>
        <v>1</v>
      </c>
      <c r="N748" s="395"/>
      <c r="O748" s="395">
        <v>1</v>
      </c>
    </row>
    <row r="749" spans="1:15" customFormat="1" ht="12" customHeight="1" outlineLevel="2">
      <c r="A749" s="415"/>
      <c r="B749" s="549"/>
      <c r="C749" s="387"/>
      <c r="D749" s="462"/>
      <c r="E749" s="388" t="s">
        <v>271</v>
      </c>
      <c r="F749" s="559"/>
      <c r="G749" s="386" t="s">
        <v>107</v>
      </c>
      <c r="H749" s="400" t="str">
        <f t="shared" si="64"/>
        <v>AM-2</v>
      </c>
      <c r="I749" s="390">
        <v>2</v>
      </c>
      <c r="J749" s="399"/>
      <c r="K749" s="397"/>
      <c r="L749" s="397"/>
      <c r="M749" s="395" cm="1">
        <f t="array" ref="M749">IFERROR(_xlfn.IFS(N749=1,1,O749=1,1,P749=1,1,Q749=1,1),0)</f>
        <v>1</v>
      </c>
      <c r="N749" s="395"/>
      <c r="O749" s="395">
        <v>1</v>
      </c>
    </row>
    <row r="750" spans="1:15" customFormat="1" ht="12" customHeight="1" outlineLevel="2">
      <c r="A750" s="415"/>
      <c r="B750" s="549"/>
      <c r="C750" s="387"/>
      <c r="D750" s="462"/>
      <c r="E750" s="388" t="s">
        <v>1086</v>
      </c>
      <c r="F750" s="559"/>
      <c r="G750" s="386" t="s">
        <v>107</v>
      </c>
      <c r="H750" s="400" t="str">
        <f t="shared" si="64"/>
        <v>AM-2</v>
      </c>
      <c r="I750" s="390">
        <v>2</v>
      </c>
      <c r="J750" s="399"/>
      <c r="K750" s="397"/>
      <c r="L750" s="397"/>
      <c r="M750" s="395" cm="1">
        <f t="array" ref="M750">IFERROR(_xlfn.IFS(N750=1,1,O750=1,1,P750=1,1,Q750=1,1),0)</f>
        <v>1</v>
      </c>
      <c r="N750" s="395"/>
      <c r="O750" s="395">
        <v>1</v>
      </c>
    </row>
    <row r="751" spans="1:15" ht="3" customHeight="1" outlineLevel="1">
      <c r="A751" s="548"/>
      <c r="B751" s="552"/>
      <c r="K751" s="408"/>
      <c r="L751" s="408"/>
    </row>
    <row r="752" spans="1:15" outlineLevel="1">
      <c r="A752" s="460" t="s">
        <v>169</v>
      </c>
      <c r="B752" s="460" t="s">
        <v>114</v>
      </c>
      <c r="C752" s="460"/>
      <c r="D752" s="460"/>
      <c r="E752" s="460"/>
      <c r="G752" s="460"/>
      <c r="H752" s="460"/>
      <c r="I752" s="460"/>
      <c r="K752" s="408"/>
      <c r="L752" s="408"/>
    </row>
    <row r="753" spans="1:16" s="407" customFormat="1" ht="12" customHeight="1" outlineLevel="2">
      <c r="A753" s="415"/>
      <c r="B753" s="549"/>
      <c r="C753" s="387"/>
      <c r="D753" s="462"/>
      <c r="E753" s="388" t="s">
        <v>1111</v>
      </c>
      <c r="F753" s="473"/>
      <c r="G753" s="386" t="s">
        <v>107</v>
      </c>
      <c r="H753" s="400" t="str">
        <f t="shared" ref="H753" si="65">CONCATENATE(G753,"-",I753)</f>
        <v>AM-3</v>
      </c>
      <c r="I753" s="390">
        <v>3</v>
      </c>
      <c r="J753" s="399"/>
      <c r="K753" s="397"/>
      <c r="L753" s="397"/>
      <c r="M753" s="395" cm="1">
        <f t="array" ref="M753">IFERROR(_xlfn.IFS(N753=1,1,O753=1,1,P753=1,1,Q753=1,1),0)</f>
        <v>1</v>
      </c>
      <c r="N753" s="395">
        <v>1</v>
      </c>
      <c r="O753" s="418"/>
    </row>
    <row r="754" spans="1:16" s="407" customFormat="1" ht="12" customHeight="1" outlineLevel="2">
      <c r="A754" s="415"/>
      <c r="B754" s="549"/>
      <c r="C754" s="387"/>
      <c r="D754" s="462"/>
      <c r="E754" s="388" t="s">
        <v>1103</v>
      </c>
      <c r="F754" s="473"/>
      <c r="G754" s="386" t="s">
        <v>107</v>
      </c>
      <c r="H754" s="400" t="str">
        <f t="shared" ref="H754:H755" si="66">CONCATENATE(G754,"-",I754)</f>
        <v>AM-3</v>
      </c>
      <c r="I754" s="390">
        <v>3</v>
      </c>
      <c r="J754" s="399"/>
      <c r="K754" s="397"/>
      <c r="L754" s="397"/>
      <c r="M754" s="395" cm="1">
        <f t="array" ref="M754">IFERROR(_xlfn.IFS(N754=1,1,O754=1,1,P754=1,1,Q754=1,1),0)</f>
        <v>1</v>
      </c>
      <c r="N754" s="395">
        <v>1</v>
      </c>
      <c r="O754" s="418"/>
    </row>
    <row r="755" spans="1:16" s="407" customFormat="1" ht="12" customHeight="1" outlineLevel="2">
      <c r="A755" s="415"/>
      <c r="B755" s="549"/>
      <c r="C755" s="387"/>
      <c r="D755" s="462"/>
      <c r="E755" s="388" t="s">
        <v>1077</v>
      </c>
      <c r="F755" s="473"/>
      <c r="G755" s="386" t="s">
        <v>107</v>
      </c>
      <c r="H755" s="400" t="str">
        <f t="shared" si="66"/>
        <v>AM-3</v>
      </c>
      <c r="I755" s="390">
        <v>3</v>
      </c>
      <c r="J755" s="399"/>
      <c r="K755" s="397"/>
      <c r="L755" s="397"/>
      <c r="M755" s="395" cm="1">
        <f t="array" ref="M755">IFERROR(_xlfn.IFS(N755=1,1,O755=1,1,P755=1,1,Q755=1,1),0)</f>
        <v>1</v>
      </c>
      <c r="N755" s="395">
        <v>1</v>
      </c>
      <c r="O755" s="418"/>
    </row>
    <row r="756" spans="1:16" ht="3" customHeight="1" outlineLevel="1">
      <c r="A756" s="548"/>
      <c r="B756" s="552"/>
      <c r="K756" s="408"/>
      <c r="L756" s="408"/>
    </row>
    <row r="757" spans="1:16" outlineLevel="1">
      <c r="A757" s="460" t="s">
        <v>170</v>
      </c>
      <c r="B757" s="460" t="s">
        <v>116</v>
      </c>
      <c r="C757" s="460"/>
      <c r="D757" s="460"/>
      <c r="E757" s="460"/>
      <c r="G757" s="460"/>
      <c r="H757" s="460"/>
      <c r="I757" s="460"/>
      <c r="K757" s="408"/>
      <c r="L757" s="408"/>
    </row>
    <row r="758" spans="1:16" s="407" customFormat="1" ht="12" customHeight="1" outlineLevel="2">
      <c r="A758" s="415"/>
      <c r="B758" s="549"/>
      <c r="C758" s="387"/>
      <c r="D758" s="569" t="s">
        <v>1112</v>
      </c>
      <c r="E758" s="569"/>
      <c r="F758" s="473"/>
      <c r="G758" s="386"/>
      <c r="H758" s="400"/>
      <c r="I758" s="390"/>
      <c r="J758" s="473"/>
      <c r="K758" s="413"/>
      <c r="L758" s="392"/>
      <c r="M758" s="395"/>
      <c r="N758" s="395"/>
      <c r="O758" s="395"/>
    </row>
    <row r="759" spans="1:16" s="407" customFormat="1" ht="12" customHeight="1" outlineLevel="2">
      <c r="D759" s="462"/>
      <c r="E759" s="388" t="s">
        <v>1113</v>
      </c>
      <c r="F759" s="473"/>
      <c r="G759" s="386" t="s">
        <v>107</v>
      </c>
      <c r="H759" s="400" t="str">
        <f t="shared" ref="H759" si="67">CONCATENATE(G759,"-",I759)</f>
        <v>AM-4</v>
      </c>
      <c r="I759" s="390">
        <v>4</v>
      </c>
      <c r="J759" s="399"/>
      <c r="K759" s="397"/>
      <c r="L759" s="397"/>
      <c r="M759" s="395" cm="1">
        <f t="array" ref="M759">IFERROR(_xlfn.IFS(N759=1,1,O759=1,1,P759=1,1,Q759=1,1),0)</f>
        <v>1</v>
      </c>
      <c r="N759" s="395">
        <v>1</v>
      </c>
      <c r="O759" s="418"/>
      <c r="P759" s="418"/>
    </row>
    <row r="760" spans="1:16" s="407" customFormat="1" ht="12" customHeight="1" outlineLevel="2">
      <c r="D760" s="462"/>
      <c r="E760" s="388" t="s">
        <v>1114</v>
      </c>
      <c r="F760" s="473"/>
      <c r="G760" s="386" t="s">
        <v>107</v>
      </c>
      <c r="H760" s="400" t="str">
        <f t="shared" ref="H760:H767" si="68">CONCATENATE(G760,"-",I760)</f>
        <v>AM-4</v>
      </c>
      <c r="I760" s="390">
        <v>4</v>
      </c>
      <c r="J760" s="399"/>
      <c r="K760" s="397"/>
      <c r="L760" s="397"/>
      <c r="M760" s="395" cm="1">
        <f t="array" ref="M760">IFERROR(_xlfn.IFS(N760=1,1,O760=1,1,P760=1,1,Q760=1,1),0)</f>
        <v>1</v>
      </c>
      <c r="N760" s="395">
        <v>1</v>
      </c>
      <c r="O760" s="418"/>
      <c r="P760" s="418"/>
    </row>
    <row r="761" spans="1:16" s="407" customFormat="1" ht="12" customHeight="1" outlineLevel="2">
      <c r="D761" s="462"/>
      <c r="E761" s="388" t="s">
        <v>275</v>
      </c>
      <c r="F761" s="473"/>
      <c r="G761" s="386" t="s">
        <v>107</v>
      </c>
      <c r="H761" s="400" t="str">
        <f t="shared" si="68"/>
        <v>AM-4</v>
      </c>
      <c r="I761" s="390">
        <v>4</v>
      </c>
      <c r="J761" s="399"/>
      <c r="K761" s="397"/>
      <c r="L761" s="397"/>
      <c r="M761" s="395" cm="1">
        <f t="array" ref="M761">IFERROR(_xlfn.IFS(N761=1,1,O761=1,1,P761=1,1,Q761=1,1),0)</f>
        <v>1</v>
      </c>
      <c r="N761" s="395">
        <v>1</v>
      </c>
      <c r="O761" s="418"/>
      <c r="P761" s="418"/>
    </row>
    <row r="762" spans="1:16" s="407" customFormat="1" ht="12" customHeight="1" outlineLevel="2">
      <c r="D762" s="462"/>
      <c r="E762" s="388" t="s">
        <v>228</v>
      </c>
      <c r="F762" s="473"/>
      <c r="G762" s="386" t="s">
        <v>107</v>
      </c>
      <c r="H762" s="400" t="str">
        <f t="shared" si="68"/>
        <v>AM-4</v>
      </c>
      <c r="I762" s="390">
        <v>4</v>
      </c>
      <c r="J762" s="399"/>
      <c r="K762" s="397"/>
      <c r="L762" s="397"/>
      <c r="M762" s="395" cm="1">
        <f t="array" ref="M762">IFERROR(_xlfn.IFS(N762=1,1,O762=1,1,P762=1,1,Q762=1,1),0)</f>
        <v>1</v>
      </c>
      <c r="N762" s="395">
        <v>1</v>
      </c>
      <c r="O762" s="418"/>
      <c r="P762" s="418"/>
    </row>
    <row r="763" spans="1:16" s="407" customFormat="1" ht="12" customHeight="1" outlineLevel="2">
      <c r="D763" s="462"/>
      <c r="E763" s="388" t="s">
        <v>227</v>
      </c>
      <c r="F763" s="473"/>
      <c r="G763" s="386" t="s">
        <v>107</v>
      </c>
      <c r="H763" s="400" t="str">
        <f t="shared" si="68"/>
        <v>AM-4</v>
      </c>
      <c r="I763" s="390">
        <v>4</v>
      </c>
      <c r="J763" s="399"/>
      <c r="K763" s="397"/>
      <c r="L763" s="397"/>
      <c r="M763" s="395" cm="1">
        <f t="array" ref="M763">IFERROR(_xlfn.IFS(N763=1,1,O763=1,1,P763=1,1,Q763=1,1),0)</f>
        <v>1</v>
      </c>
      <c r="N763" s="395">
        <v>1</v>
      </c>
      <c r="O763" s="418"/>
      <c r="P763" s="418"/>
    </row>
    <row r="764" spans="1:16" s="407" customFormat="1" ht="12" customHeight="1" outlineLevel="2">
      <c r="D764" s="462"/>
      <c r="E764" s="388" t="s">
        <v>280</v>
      </c>
      <c r="F764" s="473"/>
      <c r="G764" s="386" t="s">
        <v>107</v>
      </c>
      <c r="H764" s="400" t="str">
        <f t="shared" si="68"/>
        <v>AM-4</v>
      </c>
      <c r="I764" s="390">
        <v>4</v>
      </c>
      <c r="J764" s="399"/>
      <c r="K764" s="397"/>
      <c r="L764" s="397"/>
      <c r="M764" s="395" cm="1">
        <f t="array" ref="M764">IFERROR(_xlfn.IFS(N764=1,1,O764=1,1,P764=1,1,Q764=1,1),0)</f>
        <v>1</v>
      </c>
      <c r="N764" s="395">
        <v>1</v>
      </c>
      <c r="O764" s="418"/>
      <c r="P764" s="418"/>
    </row>
    <row r="765" spans="1:16" s="407" customFormat="1" ht="12" customHeight="1" outlineLevel="2">
      <c r="D765" s="462"/>
      <c r="E765" s="388" t="s">
        <v>230</v>
      </c>
      <c r="F765" s="473"/>
      <c r="G765" s="386" t="s">
        <v>107</v>
      </c>
      <c r="H765" s="400" t="str">
        <f t="shared" si="68"/>
        <v>AM-4</v>
      </c>
      <c r="I765" s="390">
        <v>4</v>
      </c>
      <c r="J765" s="399"/>
      <c r="K765" s="397"/>
      <c r="L765" s="397"/>
      <c r="M765" s="395" cm="1">
        <f t="array" ref="M765">IFERROR(_xlfn.IFS(N765=1,1,O765=1,1,P765=1,1,Q765=1,1),0)</f>
        <v>1</v>
      </c>
      <c r="N765" s="395">
        <v>1</v>
      </c>
      <c r="O765" s="418"/>
      <c r="P765" s="418"/>
    </row>
    <row r="766" spans="1:16" s="407" customFormat="1" ht="12" customHeight="1" outlineLevel="2">
      <c r="D766" s="462"/>
      <c r="E766" s="388" t="s">
        <v>269</v>
      </c>
      <c r="F766" s="473"/>
      <c r="G766" s="386" t="s">
        <v>107</v>
      </c>
      <c r="H766" s="400" t="str">
        <f t="shared" si="68"/>
        <v>AM-4</v>
      </c>
      <c r="I766" s="390">
        <v>4</v>
      </c>
      <c r="J766" s="399"/>
      <c r="K766" s="397"/>
      <c r="L766" s="397"/>
      <c r="M766" s="395" cm="1">
        <f t="array" ref="M766">IFERROR(_xlfn.IFS(N766=1,1,O766=1,1,P766=1,1,Q766=1,1),0)</f>
        <v>1</v>
      </c>
      <c r="N766" s="395">
        <v>1</v>
      </c>
      <c r="O766" s="418"/>
      <c r="P766" s="418"/>
    </row>
    <row r="767" spans="1:16" s="407" customFormat="1" ht="12" customHeight="1" outlineLevel="2">
      <c r="D767" s="462"/>
      <c r="E767" s="388" t="s">
        <v>1115</v>
      </c>
      <c r="F767" s="473"/>
      <c r="G767" s="386" t="s">
        <v>107</v>
      </c>
      <c r="H767" s="400" t="str">
        <f t="shared" si="68"/>
        <v>AM-4</v>
      </c>
      <c r="I767" s="390">
        <v>4</v>
      </c>
      <c r="J767" s="399"/>
      <c r="K767" s="397"/>
      <c r="L767" s="397"/>
      <c r="M767" s="395" cm="1">
        <f t="array" ref="M767">IFERROR(_xlfn.IFS(N767=1,1,O767=1,1,P767=1,1,Q767=1,1),0)</f>
        <v>1</v>
      </c>
      <c r="N767" s="395">
        <v>1</v>
      </c>
      <c r="O767" s="418"/>
      <c r="P767" s="418"/>
    </row>
    <row r="768" spans="1:16" s="407" customFormat="1" ht="12" customHeight="1" outlineLevel="2">
      <c r="D768" s="569" t="s">
        <v>1116</v>
      </c>
      <c r="E768" s="569"/>
      <c r="F768" s="473"/>
      <c r="G768" s="386"/>
      <c r="H768" s="400"/>
      <c r="I768" s="390"/>
      <c r="J768" s="473"/>
      <c r="K768" s="413"/>
      <c r="L768" s="392"/>
      <c r="M768" s="395"/>
      <c r="N768" s="395"/>
      <c r="O768" s="395"/>
      <c r="P768" s="395"/>
    </row>
    <row r="769" spans="1:17" s="407" customFormat="1" ht="12" customHeight="1" outlineLevel="2">
      <c r="D769" s="462"/>
      <c r="E769" s="388" t="s">
        <v>1117</v>
      </c>
      <c r="F769" s="473"/>
      <c r="G769" s="386" t="s">
        <v>107</v>
      </c>
      <c r="H769" s="400" t="str">
        <f t="shared" ref="H769:H776" si="69">CONCATENATE(G769,"-",I769)</f>
        <v>AM-4</v>
      </c>
      <c r="I769" s="390">
        <v>4</v>
      </c>
      <c r="J769" s="399"/>
      <c r="K769" s="397"/>
      <c r="L769" s="397"/>
      <c r="M769" s="395" cm="1">
        <f t="array" ref="M769">IFERROR(_xlfn.IFS(N769=1,1,O769=1,1,P769=1,1,Q769=1,1),0)</f>
        <v>1</v>
      </c>
      <c r="N769" s="395">
        <v>1</v>
      </c>
      <c r="O769" s="418"/>
      <c r="P769" s="418"/>
    </row>
    <row r="770" spans="1:17" s="407" customFormat="1" ht="12" customHeight="1" outlineLevel="2">
      <c r="D770" s="462"/>
      <c r="E770" s="388" t="s">
        <v>1077</v>
      </c>
      <c r="F770" s="473"/>
      <c r="G770" s="386" t="s">
        <v>107</v>
      </c>
      <c r="H770" s="400" t="str">
        <f t="shared" si="69"/>
        <v>AM-4</v>
      </c>
      <c r="I770" s="390">
        <v>4</v>
      </c>
      <c r="J770" s="399"/>
      <c r="K770" s="397"/>
      <c r="L770" s="397"/>
      <c r="M770" s="395" cm="1">
        <f t="array" ref="M770">IFERROR(_xlfn.IFS(N770=1,1,O770=1,1,P770=1,1,Q770=1,1),0)</f>
        <v>1</v>
      </c>
      <c r="N770" s="395">
        <v>1</v>
      </c>
      <c r="O770" s="418"/>
      <c r="P770" s="418"/>
    </row>
    <row r="771" spans="1:17" s="407" customFormat="1" ht="12" customHeight="1" outlineLevel="2">
      <c r="D771" s="462"/>
      <c r="E771" s="388" t="s">
        <v>222</v>
      </c>
      <c r="F771" s="473"/>
      <c r="G771" s="386" t="s">
        <v>107</v>
      </c>
      <c r="H771" s="400" t="str">
        <f t="shared" si="69"/>
        <v>AM-4</v>
      </c>
      <c r="I771" s="390">
        <v>4</v>
      </c>
      <c r="J771" s="399"/>
      <c r="K771" s="397"/>
      <c r="L771" s="397"/>
      <c r="M771" s="395" cm="1">
        <f t="array" ref="M771">IFERROR(_xlfn.IFS(N771=1,1,O771=1,1,P771=1,1,Q771=1,1),0)</f>
        <v>1</v>
      </c>
      <c r="N771" s="395">
        <v>1</v>
      </c>
      <c r="O771" s="418"/>
      <c r="P771" s="418"/>
    </row>
    <row r="772" spans="1:17" s="407" customFormat="1" ht="12" customHeight="1" outlineLevel="2">
      <c r="D772" s="462"/>
      <c r="E772" s="388" t="s">
        <v>1118</v>
      </c>
      <c r="F772" s="473"/>
      <c r="G772" s="386" t="s">
        <v>107</v>
      </c>
      <c r="H772" s="400" t="str">
        <f t="shared" si="69"/>
        <v>AM-4</v>
      </c>
      <c r="I772" s="390">
        <v>4</v>
      </c>
      <c r="J772" s="399"/>
      <c r="K772" s="397"/>
      <c r="L772" s="397"/>
      <c r="M772" s="395" cm="1">
        <f t="array" ref="M772">IFERROR(_xlfn.IFS(N772=1,1,O772=1,1,P772=1,1,Q772=1,1),0)</f>
        <v>1</v>
      </c>
      <c r="N772" s="395">
        <v>1</v>
      </c>
      <c r="O772" s="418"/>
      <c r="P772" s="418"/>
    </row>
    <row r="773" spans="1:17" s="407" customFormat="1" ht="12" customHeight="1" outlineLevel="2">
      <c r="D773" s="462"/>
      <c r="E773" s="388" t="s">
        <v>1114</v>
      </c>
      <c r="F773" s="473"/>
      <c r="G773" s="386" t="s">
        <v>107</v>
      </c>
      <c r="H773" s="400" t="str">
        <f t="shared" si="69"/>
        <v>AM-4</v>
      </c>
      <c r="I773" s="390">
        <v>4</v>
      </c>
      <c r="J773" s="399"/>
      <c r="K773" s="397"/>
      <c r="L773" s="397"/>
      <c r="M773" s="395" cm="1">
        <f t="array" ref="M773">IFERROR(_xlfn.IFS(N773=1,1,O773=1,1,P773=1,1,Q773=1,1),0)</f>
        <v>1</v>
      </c>
      <c r="N773" s="395">
        <v>1</v>
      </c>
      <c r="O773" s="418"/>
      <c r="P773" s="418"/>
    </row>
    <row r="774" spans="1:17" s="407" customFormat="1" ht="12" customHeight="1" outlineLevel="2">
      <c r="D774" s="462"/>
      <c r="E774" s="388" t="s">
        <v>275</v>
      </c>
      <c r="F774" s="473"/>
      <c r="G774" s="386" t="s">
        <v>107</v>
      </c>
      <c r="H774" s="400" t="str">
        <f t="shared" si="69"/>
        <v>AM-4</v>
      </c>
      <c r="I774" s="390">
        <v>4</v>
      </c>
      <c r="J774" s="399"/>
      <c r="K774" s="397"/>
      <c r="L774" s="397"/>
      <c r="M774" s="395" cm="1">
        <f t="array" ref="M774">IFERROR(_xlfn.IFS(N774=1,1,O774=1,1,P774=1,1,Q774=1,1),0)</f>
        <v>1</v>
      </c>
      <c r="N774" s="395">
        <v>1</v>
      </c>
      <c r="O774" s="418"/>
      <c r="P774" s="418"/>
    </row>
    <row r="775" spans="1:17" s="407" customFormat="1" ht="12" customHeight="1" outlineLevel="2">
      <c r="D775" s="462"/>
      <c r="E775" s="388" t="s">
        <v>228</v>
      </c>
      <c r="F775" s="473"/>
      <c r="G775" s="386" t="s">
        <v>107</v>
      </c>
      <c r="H775" s="400" t="str">
        <f t="shared" si="69"/>
        <v>AM-4</v>
      </c>
      <c r="I775" s="390">
        <v>4</v>
      </c>
      <c r="J775" s="399"/>
      <c r="K775" s="397"/>
      <c r="L775" s="397"/>
      <c r="M775" s="395" cm="1">
        <f t="array" ref="M775">IFERROR(_xlfn.IFS(N775=1,1,O775=1,1,P775=1,1,Q775=1,1),0)</f>
        <v>1</v>
      </c>
      <c r="N775" s="395">
        <v>1</v>
      </c>
      <c r="O775" s="418"/>
      <c r="P775" s="418"/>
    </row>
    <row r="776" spans="1:17" s="407" customFormat="1" ht="12" customHeight="1" outlineLevel="2">
      <c r="D776" s="462"/>
      <c r="E776" s="388" t="s">
        <v>227</v>
      </c>
      <c r="F776" s="473"/>
      <c r="G776" s="386" t="s">
        <v>107</v>
      </c>
      <c r="H776" s="400" t="str">
        <f t="shared" si="69"/>
        <v>AM-4</v>
      </c>
      <c r="I776" s="390">
        <v>4</v>
      </c>
      <c r="J776" s="399"/>
      <c r="K776" s="397"/>
      <c r="L776" s="397"/>
      <c r="M776" s="395" cm="1">
        <f t="array" ref="M776">IFERROR(_xlfn.IFS(N776=1,1,O776=1,1,P776=1,1,Q776=1,1),0)</f>
        <v>1</v>
      </c>
      <c r="N776" s="395">
        <v>1</v>
      </c>
      <c r="O776" s="418"/>
      <c r="P776" s="418"/>
    </row>
    <row r="777" spans="1:17" s="407" customFormat="1" ht="3" customHeight="1" outlineLevel="1">
      <c r="D777" s="462"/>
      <c r="E777" s="388"/>
      <c r="F777" s="473"/>
      <c r="G777" s="386"/>
      <c r="H777" s="400"/>
      <c r="I777" s="390"/>
      <c r="J777" s="399"/>
      <c r="K777" s="397"/>
      <c r="L777" s="397"/>
      <c r="M777" s="395"/>
      <c r="N777" s="418"/>
      <c r="O777" s="418"/>
      <c r="P777" s="418"/>
    </row>
    <row r="778" spans="1:17" outlineLevel="1">
      <c r="A778" s="460" t="s">
        <v>171</v>
      </c>
      <c r="B778" s="460" t="s">
        <v>118</v>
      </c>
      <c r="C778" s="460"/>
      <c r="D778" s="460"/>
      <c r="E778" s="460"/>
      <c r="G778" s="460"/>
      <c r="H778" s="460"/>
      <c r="I778" s="460"/>
      <c r="K778" s="408"/>
      <c r="L778" s="408"/>
    </row>
    <row r="779" spans="1:17" s="407" customFormat="1" ht="12" customHeight="1" outlineLevel="2">
      <c r="A779" s="415"/>
      <c r="B779" s="549"/>
      <c r="C779" s="387"/>
      <c r="D779" s="569" t="s">
        <v>1112</v>
      </c>
      <c r="E779" s="569"/>
      <c r="F779" s="473"/>
      <c r="G779" s="386"/>
      <c r="H779" s="400"/>
      <c r="I779" s="390"/>
      <c r="J779" s="473"/>
      <c r="K779" s="413"/>
      <c r="L779" s="392"/>
      <c r="M779" s="395"/>
      <c r="N779" s="395"/>
      <c r="O779" s="395"/>
    </row>
    <row r="780" spans="1:17" s="407" customFormat="1" ht="12" customHeight="1" outlineLevel="2">
      <c r="D780" s="462"/>
      <c r="E780" s="388" t="s">
        <v>1119</v>
      </c>
      <c r="F780" s="473"/>
      <c r="G780" s="386" t="s">
        <v>107</v>
      </c>
      <c r="H780" s="400" t="str">
        <f t="shared" ref="H780" si="70">CONCATENATE(G780,"-",I780)</f>
        <v>AM-NA</v>
      </c>
      <c r="I780" s="390" t="s">
        <v>1120</v>
      </c>
      <c r="J780" s="399"/>
      <c r="K780" s="397">
        <v>0</v>
      </c>
      <c r="L780" s="397"/>
      <c r="M780" s="395" cm="1">
        <f t="array" ref="M780">IFERROR(_xlfn.IFS(N780=1,1,O780=1,1,P780=1,1,Q780=1,1),0)</f>
        <v>0</v>
      </c>
      <c r="N780" s="418" t="s">
        <v>1121</v>
      </c>
      <c r="O780" s="418"/>
      <c r="P780" s="418"/>
      <c r="Q780" s="418"/>
    </row>
  </sheetData>
  <sheetProtection selectLockedCells="1" selectUnlockedCells="1"/>
  <autoFilter ref="H1:H780" xr:uid="{D91218B4-B74A-403F-AF4E-EF46AB312A92}"/>
  <mergeCells count="17">
    <mergeCell ref="AP3:AP5"/>
    <mergeCell ref="R3:R5"/>
    <mergeCell ref="G3:G5"/>
    <mergeCell ref="H3:H5"/>
    <mergeCell ref="I3:I5"/>
    <mergeCell ref="M3:M5"/>
    <mergeCell ref="Y3:Y5"/>
    <mergeCell ref="K3:K5"/>
    <mergeCell ref="W3:W5"/>
    <mergeCell ref="AI3:AI5"/>
    <mergeCell ref="L3:L5"/>
    <mergeCell ref="X3:X5"/>
    <mergeCell ref="AJ3:AJ5"/>
    <mergeCell ref="A5:E5"/>
    <mergeCell ref="A3:E3"/>
    <mergeCell ref="AD3:AD5"/>
    <mergeCell ref="AK3:AK5"/>
  </mergeCells>
  <phoneticPr fontId="44" type="noConversion"/>
  <conditionalFormatting sqref="B34:E34 G34:I34 B78:E181 G78:I181 B184:E200 G184:I200 I365:I366 B12:E31 G12:I31 B398:E544 G398:I544">
    <cfRule type="expression" dxfId="288" priority="1678">
      <formula>($I12="NA")</formula>
    </cfRule>
  </conditionalFormatting>
  <conditionalFormatting sqref="I365:I366 B34:E34 G34:I34 B78:E181 G78:I181 B184:E200 G184:I200 B12:E31 G12:I31 B398:E544 G398:I544">
    <cfRule type="expression" dxfId="287" priority="1677">
      <formula>OR($K12=1,$R12=1)</formula>
    </cfRule>
  </conditionalFormatting>
  <conditionalFormatting sqref="B12:E31 G12:I31 B398:E544 G398:I544">
    <cfRule type="expression" dxfId="286" priority="1676">
      <formula>AND($M12=1,$R12&lt;&gt;1)</formula>
    </cfRule>
  </conditionalFormatting>
  <conditionalFormatting sqref="B37:E37 G37:I37 G203:I274 B277:E282 B285:E285 G285:I285 G288:I302 B288:E302 B305:E366 G305:I366 B50:E73 B40:E42 G50:I73 G40:I42">
    <cfRule type="expression" dxfId="285" priority="1523">
      <formula>AND($M37=1,$R37&lt;&gt;1)</formula>
    </cfRule>
    <cfRule type="expression" dxfId="284" priority="1524">
      <formula>OR($K37=1,$R37=1)</formula>
    </cfRule>
    <cfRule type="expression" dxfId="283" priority="1525">
      <formula>($I37="NA")</formula>
    </cfRule>
  </conditionalFormatting>
  <conditionalFormatting sqref="B203:E274 B613:E613 G621:I644 B656:E704 G658:I668 G715:I723 B726:E750 B758:E777 G760:I768 B779:E780 B620:E653">
    <cfRule type="expression" dxfId="282" priority="904">
      <formula>($I203="NA")</formula>
    </cfRule>
  </conditionalFormatting>
  <conditionalFormatting sqref="B369:E371">
    <cfRule type="expression" dxfId="281" priority="1431">
      <formula>AND($M369=1,$R369&lt;&gt;1)</formula>
    </cfRule>
    <cfRule type="expression" dxfId="280" priority="1432">
      <formula>OR($K369=1,$R369=1)</formula>
    </cfRule>
    <cfRule type="expression" dxfId="279" priority="1433">
      <formula>($I369="NA")</formula>
    </cfRule>
  </conditionalFormatting>
  <conditionalFormatting sqref="B374:E376">
    <cfRule type="expression" dxfId="278" priority="833">
      <formula>AND($M374=1,$R374&lt;&gt;1)</formula>
    </cfRule>
    <cfRule type="expression" dxfId="277" priority="834">
      <formula>OR($K374=1,$R374=1)</formula>
    </cfRule>
    <cfRule type="expression" dxfId="276" priority="835">
      <formula>($I374="NA")</formula>
    </cfRule>
  </conditionalFormatting>
  <conditionalFormatting sqref="B379:E393 I381:I387">
    <cfRule type="expression" dxfId="275" priority="824">
      <formula>AND($M379=1,$R379&lt;&gt;1)</formula>
    </cfRule>
    <cfRule type="expression" dxfId="274" priority="825">
      <formula>OR($K379=1,$R379=1)</formula>
    </cfRule>
    <cfRule type="expression" dxfId="273" priority="826">
      <formula>($I379="NA")</formula>
    </cfRule>
  </conditionalFormatting>
  <conditionalFormatting sqref="B547:E552 G548:I552">
    <cfRule type="expression" dxfId="272" priority="560">
      <formula>OR($K547=1,$R547=1)</formula>
    </cfRule>
    <cfRule type="expression" dxfId="271" priority="561">
      <formula>($I547="NA")</formula>
    </cfRule>
  </conditionalFormatting>
  <conditionalFormatting sqref="B555:E560 G556:I560">
    <cfRule type="expression" dxfId="270" priority="537">
      <formula>OR($K555=1,$R555=1)</formula>
    </cfRule>
    <cfRule type="expression" dxfId="269" priority="538">
      <formula>($I555="NA")</formula>
    </cfRule>
  </conditionalFormatting>
  <conditionalFormatting sqref="B563:E568">
    <cfRule type="expression" dxfId="268" priority="513">
      <formula>AND($M563=1,$R563&lt;&gt;1)</formula>
    </cfRule>
    <cfRule type="expression" dxfId="267" priority="514">
      <formula>OR($K563=1,$R563=1)</formula>
    </cfRule>
    <cfRule type="expression" dxfId="266" priority="515">
      <formula>($I563="NA")</formula>
    </cfRule>
  </conditionalFormatting>
  <conditionalFormatting sqref="B571:E576 G572:I576">
    <cfRule type="expression" dxfId="265" priority="491">
      <formula>OR($K571=1,$R571=1)</formula>
    </cfRule>
    <cfRule type="expression" dxfId="264" priority="492">
      <formula>($I571="NA")</formula>
    </cfRule>
  </conditionalFormatting>
  <conditionalFormatting sqref="B579:E584">
    <cfRule type="expression" dxfId="263" priority="467">
      <formula>AND($M579=1,$R579&lt;&gt;1)</formula>
    </cfRule>
    <cfRule type="expression" dxfId="262" priority="468">
      <formula>OR($K579=1,$R579=1)</formula>
    </cfRule>
    <cfRule type="expression" dxfId="261" priority="469">
      <formula>($I579="NA")</formula>
    </cfRule>
  </conditionalFormatting>
  <conditionalFormatting sqref="B587:E592">
    <cfRule type="expression" dxfId="260" priority="444">
      <formula>AND($M587=1,$R587&lt;&gt;1)</formula>
    </cfRule>
    <cfRule type="expression" dxfId="259" priority="445">
      <formula>OR($K587=1,$R587=1)</formula>
    </cfRule>
    <cfRule type="expression" dxfId="258" priority="446">
      <formula>($I587="NA")</formula>
    </cfRule>
  </conditionalFormatting>
  <conditionalFormatting sqref="B595:E600">
    <cfRule type="expression" dxfId="257" priority="421">
      <formula>AND($M595=1,$R595&lt;&gt;1)</formula>
    </cfRule>
    <cfRule type="expression" dxfId="256" priority="422">
      <formula>OR($K595=1,$R595=1)</formula>
    </cfRule>
    <cfRule type="expression" dxfId="255" priority="423">
      <formula>($I595="NA")</formula>
    </cfRule>
  </conditionalFormatting>
  <conditionalFormatting sqref="B605:E608">
    <cfRule type="expression" dxfId="254" priority="1086">
      <formula>AND($M605=1,$R605&lt;&gt;1)</formula>
    </cfRule>
    <cfRule type="expression" dxfId="253" priority="1087">
      <formula>OR($K605=1,$R605=1)</formula>
    </cfRule>
    <cfRule type="expression" dxfId="252" priority="1088">
      <formula>($I605="NA")</formula>
    </cfRule>
  </conditionalFormatting>
  <conditionalFormatting sqref="B613:E613 G621:I644 B656:E704 G658:I668 G715:I723 B726:E750 B758:E777 G760:I768 B779:E780 B203:E274 B620:E653">
    <cfRule type="expression" dxfId="251" priority="903">
      <formula>OR($K203=1,$R203=1)</formula>
    </cfRule>
  </conditionalFormatting>
  <conditionalFormatting sqref="B707:E709">
    <cfRule type="expression" dxfId="250" priority="925">
      <formula>AND($M707=1,$R707&lt;&gt;1)</formula>
    </cfRule>
    <cfRule type="expression" dxfId="249" priority="926">
      <formula>OR($K707=1,$R707=1)</formula>
    </cfRule>
    <cfRule type="expression" dxfId="248" priority="927">
      <formula>($I707="NA")</formula>
    </cfRule>
  </conditionalFormatting>
  <conditionalFormatting sqref="B714:E723">
    <cfRule type="expression" dxfId="247" priority="265">
      <formula>AND($M714=1,$R714&lt;&gt;1)</formula>
    </cfRule>
    <cfRule type="expression" dxfId="246" priority="266">
      <formula>OR($K714=1,$R714=1)</formula>
    </cfRule>
    <cfRule type="expression" dxfId="245" priority="267">
      <formula>($I714="NA")</formula>
    </cfRule>
  </conditionalFormatting>
  <conditionalFormatting sqref="B753:E755 G754:I755">
    <cfRule type="expression" dxfId="244" priority="972">
      <formula>OR($K753=1,$R753=1)</formula>
    </cfRule>
    <cfRule type="expression" dxfId="243" priority="973">
      <formula>($I753="NA")</formula>
    </cfRule>
  </conditionalFormatting>
  <conditionalFormatting sqref="G379:H393">
    <cfRule type="expression" dxfId="242" priority="719">
      <formula>AND($M379=1,$R379&lt;&gt;1)</formula>
    </cfRule>
    <cfRule type="expression" dxfId="241" priority="720">
      <formula>OR($K379=1,$R379=1)</formula>
    </cfRule>
    <cfRule type="expression" dxfId="240" priority="721">
      <formula>($I379="NA")</formula>
    </cfRule>
  </conditionalFormatting>
  <conditionalFormatting sqref="G277:I282">
    <cfRule type="expression" dxfId="239" priority="737">
      <formula>AND($M277=1,$R277&lt;&gt;1)</formula>
    </cfRule>
    <cfRule type="expression" dxfId="238" priority="738">
      <formula>OR($K277=1,$R277=1)</formula>
    </cfRule>
    <cfRule type="expression" dxfId="237" priority="739">
      <formula>($I277="NA")</formula>
    </cfRule>
  </conditionalFormatting>
  <conditionalFormatting sqref="G369:I371">
    <cfRule type="expression" dxfId="236" priority="725">
      <formula>AND($M369=1,$R369&lt;&gt;1)</formula>
    </cfRule>
    <cfRule type="expression" dxfId="235" priority="726">
      <formula>OR($K369=1,$R369=1)</formula>
    </cfRule>
    <cfRule type="expression" dxfId="234" priority="727">
      <formula>($I369="NA")</formula>
    </cfRule>
  </conditionalFormatting>
  <conditionalFormatting sqref="G374:I376">
    <cfRule type="expression" dxfId="233" priority="722">
      <formula>AND($M374=1,$R374&lt;&gt;1)</formula>
    </cfRule>
    <cfRule type="expression" dxfId="232" priority="723">
      <formula>OR($K374=1,$R374=1)</formula>
    </cfRule>
    <cfRule type="expression" dxfId="231" priority="724">
      <formula>($I374="NA")</formula>
    </cfRule>
  </conditionalFormatting>
  <conditionalFormatting sqref="G547:I552">
    <cfRule type="expression" dxfId="230" priority="397">
      <formula>AND($M547=1,$R547&lt;&gt;1)</formula>
    </cfRule>
    <cfRule type="expression" dxfId="229" priority="398">
      <formula>OR($K547=1,$R547=1)</formula>
    </cfRule>
    <cfRule type="expression" dxfId="228" priority="399">
      <formula>($I547="NA")</formula>
    </cfRule>
  </conditionalFormatting>
  <conditionalFormatting sqref="G548:I552 B34:E34 G34:I34 B78:E181 G78:I181 B184:E200 G184:I200 B203:E274 I365:I366 B547:E552">
    <cfRule type="expression" dxfId="227" priority="559">
      <formula>AND($M34=1,$R34&lt;&gt;1)</formula>
    </cfRule>
  </conditionalFormatting>
  <conditionalFormatting sqref="G555:I560">
    <cfRule type="expression" dxfId="226" priority="390">
      <formula>AND($M555=1,$R555&lt;&gt;1)</formula>
    </cfRule>
    <cfRule type="expression" dxfId="225" priority="391">
      <formula>OR($K555=1,$R555=1)</formula>
    </cfRule>
    <cfRule type="expression" dxfId="224" priority="392">
      <formula>($I555="NA")</formula>
    </cfRule>
  </conditionalFormatting>
  <conditionalFormatting sqref="G556:I560 B555:E560">
    <cfRule type="expression" dxfId="223" priority="536">
      <formula>AND($M555=1,$R555&lt;&gt;1)</formula>
    </cfRule>
  </conditionalFormatting>
  <conditionalFormatting sqref="G563:I568">
    <cfRule type="expression" dxfId="222" priority="376">
      <formula>AND($M563=1,$R563&lt;&gt;1)</formula>
    </cfRule>
    <cfRule type="expression" dxfId="221" priority="377">
      <formula>OR($K563=1,$R563=1)</formula>
    </cfRule>
    <cfRule type="expression" dxfId="220" priority="378">
      <formula>($I563="NA")</formula>
    </cfRule>
  </conditionalFormatting>
  <conditionalFormatting sqref="G571:I576">
    <cfRule type="expression" dxfId="219" priority="372">
      <formula>AND($M571=1,$R571&lt;&gt;1)</formula>
    </cfRule>
    <cfRule type="expression" dxfId="218" priority="373">
      <formula>OR($K571=1,$R571=1)</formula>
    </cfRule>
    <cfRule type="expression" dxfId="217" priority="374">
      <formula>($I571="NA")</formula>
    </cfRule>
  </conditionalFormatting>
  <conditionalFormatting sqref="G572:I576 B571:E576">
    <cfRule type="expression" dxfId="216" priority="490">
      <formula>AND($M571=1,$R571&lt;&gt;1)</formula>
    </cfRule>
  </conditionalFormatting>
  <conditionalFormatting sqref="G579:I584">
    <cfRule type="expression" dxfId="215" priority="363">
      <formula>AND($M579=1,$R579&lt;&gt;1)</formula>
    </cfRule>
    <cfRule type="expression" dxfId="214" priority="364">
      <formula>OR($K579=1,$R579=1)</formula>
    </cfRule>
    <cfRule type="expression" dxfId="213" priority="365">
      <formula>($I579="NA")</formula>
    </cfRule>
  </conditionalFormatting>
  <conditionalFormatting sqref="G587:I592">
    <cfRule type="expression" dxfId="212" priority="354">
      <formula>AND($M587=1,$R587&lt;&gt;1)</formula>
    </cfRule>
    <cfRule type="expression" dxfId="211" priority="355">
      <formula>OR($K587=1,$R587=1)</formula>
    </cfRule>
    <cfRule type="expression" dxfId="210" priority="356">
      <formula>($I587="NA")</formula>
    </cfRule>
  </conditionalFormatting>
  <conditionalFormatting sqref="G595:I600">
    <cfRule type="expression" dxfId="209" priority="345">
      <formula>AND($M595=1,$R595&lt;&gt;1)</formula>
    </cfRule>
    <cfRule type="expression" dxfId="208" priority="346">
      <formula>OR($K595=1,$R595=1)</formula>
    </cfRule>
    <cfRule type="expression" dxfId="207" priority="347">
      <formula>($I595="NA")</formula>
    </cfRule>
  </conditionalFormatting>
  <conditionalFormatting sqref="G605:I610">
    <cfRule type="expression" dxfId="206" priority="336">
      <formula>AND($M605=1,$R605&lt;&gt;1)</formula>
    </cfRule>
    <cfRule type="expression" dxfId="205" priority="337">
      <formula>OR($K605=1,$R605=1)</formula>
    </cfRule>
    <cfRule type="expression" dxfId="204" priority="338">
      <formula>($I605="NA")</formula>
    </cfRule>
  </conditionalFormatting>
  <conditionalFormatting sqref="G613:I613 G620:I643 I614:I619">
    <cfRule type="expression" dxfId="203" priority="330">
      <formula>AND($M613=1,$R613&lt;&gt;1)</formula>
    </cfRule>
    <cfRule type="expression" dxfId="202" priority="331">
      <formula>OR($K613=1,$R613=1)</formula>
    </cfRule>
    <cfRule type="expression" dxfId="201" priority="332">
      <formula>($I613="NA")</formula>
    </cfRule>
  </conditionalFormatting>
  <conditionalFormatting sqref="G621:I644 G658:I668 G715:I723 G760:I768 B613:E613 B656:E704 B726:E750 B758:E777 B779:E780 B620:E653">
    <cfRule type="expression" dxfId="200" priority="902">
      <formula>AND($M613=1,$R613&lt;&gt;1)</formula>
    </cfRule>
  </conditionalFormatting>
  <conditionalFormatting sqref="G645:I653">
    <cfRule type="expression" dxfId="199" priority="324">
      <formula>AND($M645=1,$R645&lt;&gt;1)</formula>
    </cfRule>
    <cfRule type="expression" dxfId="198" priority="325">
      <formula>OR($K645=1,$R645=1)</formula>
    </cfRule>
    <cfRule type="expression" dxfId="197" priority="326">
      <formula>($I645="NA")</formula>
    </cfRule>
  </conditionalFormatting>
  <conditionalFormatting sqref="G656:I667">
    <cfRule type="expression" dxfId="196" priority="318">
      <formula>AND($M656=1,$R656&lt;&gt;1)</formula>
    </cfRule>
    <cfRule type="expression" dxfId="195" priority="319">
      <formula>OR($K656=1,$R656=1)</formula>
    </cfRule>
    <cfRule type="expression" dxfId="194" priority="320">
      <formula>($I656="NA")</formula>
    </cfRule>
  </conditionalFormatting>
  <conditionalFormatting sqref="G669:I704">
    <cfRule type="expression" dxfId="193" priority="297">
      <formula>AND($M669=1,$R669&lt;&gt;1)</formula>
    </cfRule>
    <cfRule type="expression" dxfId="192" priority="298">
      <formula>OR($K669=1,$R669=1)</formula>
    </cfRule>
    <cfRule type="expression" dxfId="191" priority="299">
      <formula>($I669="NA")</formula>
    </cfRule>
  </conditionalFormatting>
  <conditionalFormatting sqref="G707:I709">
    <cfRule type="expression" dxfId="190" priority="282">
      <formula>AND($M707=1,$R707&lt;&gt;1)</formula>
    </cfRule>
    <cfRule type="expression" dxfId="189" priority="283">
      <formula>OR($K707=1,$R707=1)</formula>
    </cfRule>
    <cfRule type="expression" dxfId="188" priority="284">
      <formula>($I707="NA")</formula>
    </cfRule>
  </conditionalFormatting>
  <conditionalFormatting sqref="G714:I723">
    <cfRule type="expression" dxfId="187" priority="274">
      <formula>AND($M714=1,$R714&lt;&gt;1)</formula>
    </cfRule>
    <cfRule type="expression" dxfId="186" priority="275">
      <formula>OR($K714=1,$R714=1)</formula>
    </cfRule>
    <cfRule type="expression" dxfId="185" priority="276">
      <formula>($I714="NA")</formula>
    </cfRule>
  </conditionalFormatting>
  <conditionalFormatting sqref="G726:I750">
    <cfRule type="expression" dxfId="184" priority="262">
      <formula>AND($M726=1,$R726&lt;&gt;1)</formula>
    </cfRule>
    <cfRule type="expression" dxfId="183" priority="263">
      <formula>OR($K726=1,$R726=1)</formula>
    </cfRule>
    <cfRule type="expression" dxfId="182" priority="264">
      <formula>($I726="NA")</formula>
    </cfRule>
  </conditionalFormatting>
  <conditionalFormatting sqref="G753:I755">
    <cfRule type="expression" dxfId="181" priority="252">
      <formula>AND($M753=1,$R753&lt;&gt;1)</formula>
    </cfRule>
    <cfRule type="expression" dxfId="180" priority="253">
      <formula>OR($K753=1,$R753=1)</formula>
    </cfRule>
    <cfRule type="expression" dxfId="179" priority="254">
      <formula>($I753="NA")</formula>
    </cfRule>
  </conditionalFormatting>
  <conditionalFormatting sqref="G754:I755 B753:E755">
    <cfRule type="expression" dxfId="178" priority="971">
      <formula>AND($M753=1,$R753&lt;&gt;1)</formula>
    </cfRule>
  </conditionalFormatting>
  <conditionalFormatting sqref="G758:I767 I759:I777 G779:I780">
    <cfRule type="expression" dxfId="177" priority="246">
      <formula>OR($K758=1,$R758=1)</formula>
    </cfRule>
    <cfRule type="expression" dxfId="176" priority="247">
      <formula>($I758="NA")</formula>
    </cfRule>
  </conditionalFormatting>
  <conditionalFormatting sqref="G769:I777">
    <cfRule type="expression" dxfId="175" priority="236">
      <formula>AND($M769=1,$R769&lt;&gt;1)</formula>
    </cfRule>
    <cfRule type="expression" dxfId="174" priority="237">
      <formula>OR($K769=1,$R769=1)</formula>
    </cfRule>
    <cfRule type="expression" dxfId="173" priority="238">
      <formula>($I769="NA")</formula>
    </cfRule>
  </conditionalFormatting>
  <conditionalFormatting sqref="I379:I393">
    <cfRule type="expression" dxfId="172" priority="827">
      <formula>AND($M379=1,$R379&lt;&gt;1)</formula>
    </cfRule>
    <cfRule type="expression" dxfId="171" priority="828">
      <formula>OR($K379=1,$R379=1)</formula>
    </cfRule>
    <cfRule type="expression" dxfId="170" priority="829">
      <formula>($I379="NA")</formula>
    </cfRule>
  </conditionalFormatting>
  <conditionalFormatting sqref="I388:I393">
    <cfRule type="expression" dxfId="169" priority="830">
      <formula>AND($M388=1,$R388&lt;&gt;1)</formula>
    </cfRule>
    <cfRule type="expression" dxfId="168" priority="831">
      <formula>OR($K388=1,$R388=1)</formula>
    </cfRule>
    <cfRule type="expression" dxfId="167" priority="832">
      <formula>($I388="NA")</formula>
    </cfRule>
  </conditionalFormatting>
  <conditionalFormatting sqref="I759:I777 G758:I767 G779:I780">
    <cfRule type="expression" dxfId="166" priority="245">
      <formula>AND($M758=1,$R758&lt;&gt;1)</formula>
    </cfRule>
  </conditionalFormatting>
  <conditionalFormatting sqref="M12:M31">
    <cfRule type="iconSet" priority="149749">
      <iconSet iconSet="3Symbols2" showValue="0">
        <cfvo type="percent" val="0"/>
        <cfvo type="num" val="0"/>
        <cfvo type="num" val="1"/>
      </iconSet>
    </cfRule>
  </conditionalFormatting>
  <conditionalFormatting sqref="M34">
    <cfRule type="iconSet" priority="667">
      <iconSet iconSet="3Symbols2" showValue="0">
        <cfvo type="percent" val="0"/>
        <cfvo type="num" val="0"/>
        <cfvo type="num" val="1"/>
      </iconSet>
    </cfRule>
  </conditionalFormatting>
  <conditionalFormatting sqref="M37">
    <cfRule type="iconSet" priority="643">
      <iconSet iconSet="3Symbols2" showValue="0">
        <cfvo type="percent" val="0"/>
        <cfvo type="num" val="0"/>
        <cfvo type="num" val="1"/>
      </iconSet>
    </cfRule>
  </conditionalFormatting>
  <conditionalFormatting sqref="M78:M181">
    <cfRule type="iconSet" priority="134600">
      <iconSet iconSet="3Symbols2" showValue="0">
        <cfvo type="percent" val="0"/>
        <cfvo type="num" val="0"/>
        <cfvo type="num" val="1"/>
      </iconSet>
    </cfRule>
  </conditionalFormatting>
  <conditionalFormatting sqref="M184:M200">
    <cfRule type="iconSet" priority="135175">
      <iconSet iconSet="3Symbols2" showValue="0">
        <cfvo type="percent" val="0"/>
        <cfvo type="num" val="0"/>
        <cfvo type="num" val="1"/>
      </iconSet>
    </cfRule>
  </conditionalFormatting>
  <conditionalFormatting sqref="M203:M274">
    <cfRule type="iconSet" priority="135797">
      <iconSet iconSet="3Symbols2" showValue="0">
        <cfvo type="percent" val="0"/>
        <cfvo type="num" val="0"/>
        <cfvo type="num" val="1"/>
      </iconSet>
    </cfRule>
  </conditionalFormatting>
  <conditionalFormatting sqref="M277:M282">
    <cfRule type="iconSet" priority="704">
      <iconSet iconSet="3Symbols2" showValue="0">
        <cfvo type="percent" val="0"/>
        <cfvo type="num" val="0"/>
        <cfvo type="num" val="1"/>
      </iconSet>
    </cfRule>
  </conditionalFormatting>
  <conditionalFormatting sqref="M350:M354 M305:M307 M362:M366">
    <cfRule type="iconSet" priority="137964">
      <iconSet iconSet="3Symbols2" showValue="0">
        <cfvo type="percent" val="0"/>
        <cfvo type="num" val="0"/>
        <cfvo type="num" val="1"/>
      </iconSet>
    </cfRule>
  </conditionalFormatting>
  <conditionalFormatting sqref="M327:M346 M288:M302 M308:M319">
    <cfRule type="iconSet" priority="137399">
      <iconSet iconSet="3Symbols2" showValue="0">
        <cfvo type="percent" val="0"/>
        <cfvo type="num" val="0"/>
        <cfvo type="num" val="1"/>
      </iconSet>
    </cfRule>
  </conditionalFormatting>
  <conditionalFormatting sqref="M347:M349 M285">
    <cfRule type="iconSet" priority="702">
      <iconSet iconSet="3Symbols2" showValue="0">
        <cfvo type="percent" val="0"/>
        <cfvo type="num" val="0"/>
        <cfvo type="num" val="1"/>
      </iconSet>
    </cfRule>
  </conditionalFormatting>
  <conditionalFormatting sqref="M362:M364 M305:M307">
    <cfRule type="iconSet" priority="137477">
      <iconSet iconSet="3Symbols2" showValue="0">
        <cfvo type="percent" val="0"/>
        <cfvo type="num" val="0"/>
        <cfvo type="num" val="1"/>
      </iconSet>
    </cfRule>
  </conditionalFormatting>
  <conditionalFormatting sqref="M365:M366">
    <cfRule type="iconSet" priority="137965">
      <iconSet iconSet="3Symbols2" showValue="0">
        <cfvo type="percent" val="0"/>
        <cfvo type="num" val="0"/>
        <cfvo type="num" val="1"/>
      </iconSet>
    </cfRule>
  </conditionalFormatting>
  <conditionalFormatting sqref="M369:M371">
    <cfRule type="iconSet" priority="698">
      <iconSet iconSet="3Symbols2" showValue="0">
        <cfvo type="percent" val="0"/>
        <cfvo type="num" val="0"/>
        <cfvo type="num" val="1"/>
      </iconSet>
    </cfRule>
  </conditionalFormatting>
  <conditionalFormatting sqref="M374:M376">
    <cfRule type="iconSet" priority="696">
      <iconSet iconSet="3Symbols2" showValue="0">
        <cfvo type="percent" val="0"/>
        <cfvo type="num" val="0"/>
        <cfvo type="num" val="1"/>
      </iconSet>
    </cfRule>
  </conditionalFormatting>
  <conditionalFormatting sqref="M379:M393">
    <cfRule type="iconSet" priority="694">
      <iconSet iconSet="3Symbols2" showValue="0">
        <cfvo type="percent" val="0"/>
        <cfvo type="num" val="0"/>
        <cfvo type="num" val="1"/>
      </iconSet>
    </cfRule>
  </conditionalFormatting>
  <conditionalFormatting sqref="M548:M552">
    <cfRule type="iconSet" priority="556">
      <iconSet iconSet="3Symbols2" showValue="0">
        <cfvo type="percent" val="0"/>
        <cfvo type="num" val="0"/>
        <cfvo type="num" val="1"/>
      </iconSet>
    </cfRule>
  </conditionalFormatting>
  <conditionalFormatting sqref="M556:M560">
    <cfRule type="iconSet" priority="533">
      <iconSet iconSet="3Symbols2" showValue="0">
        <cfvo type="percent" val="0"/>
        <cfvo type="num" val="0"/>
        <cfvo type="num" val="1"/>
      </iconSet>
    </cfRule>
  </conditionalFormatting>
  <conditionalFormatting sqref="M572:M576">
    <cfRule type="iconSet" priority="487">
      <iconSet iconSet="3Symbols2" showValue="0">
        <cfvo type="percent" val="0"/>
        <cfvo type="num" val="0"/>
        <cfvo type="num" val="1"/>
      </iconSet>
    </cfRule>
  </conditionalFormatting>
  <conditionalFormatting sqref="M613 M621:M644">
    <cfRule type="iconSet" priority="129232">
      <iconSet iconSet="3Symbols2" showValue="0">
        <cfvo type="percent" val="0"/>
        <cfvo type="num" val="0"/>
        <cfvo type="num" val="1"/>
      </iconSet>
    </cfRule>
  </conditionalFormatting>
  <conditionalFormatting sqref="M656 M658:M668 M680 M692">
    <cfRule type="iconSet" priority="129916">
      <iconSet iconSet="3Symbols2" showValue="0">
        <cfvo type="percent" val="0"/>
        <cfvo type="num" val="0"/>
        <cfvo type="num" val="1"/>
      </iconSet>
    </cfRule>
  </conditionalFormatting>
  <conditionalFormatting sqref="M709">
    <cfRule type="iconSet" priority="922">
      <iconSet iconSet="3Symbols2" showValue="0">
        <cfvo type="percent" val="0"/>
        <cfvo type="num" val="0"/>
        <cfvo type="num" val="1"/>
      </iconSet>
    </cfRule>
  </conditionalFormatting>
  <conditionalFormatting sqref="M715:M723">
    <cfRule type="iconSet" priority="130598">
      <iconSet iconSet="3Symbols2" showValue="0">
        <cfvo type="percent" val="0"/>
        <cfvo type="num" val="0"/>
        <cfvo type="num" val="1"/>
      </iconSet>
    </cfRule>
  </conditionalFormatting>
  <conditionalFormatting sqref="M754:M755">
    <cfRule type="iconSet" priority="968">
      <iconSet iconSet="3Symbols2" showValue="0">
        <cfvo type="percent" val="0"/>
        <cfvo type="num" val="0"/>
        <cfvo type="num" val="1"/>
      </iconSet>
    </cfRule>
  </conditionalFormatting>
  <conditionalFormatting sqref="M758 M760:M768">
    <cfRule type="iconSet" priority="133346">
      <iconSet iconSet="3Symbols2" showValue="0">
        <cfvo type="percent" val="0"/>
        <cfvo type="num" val="0"/>
        <cfvo type="num" val="1"/>
      </iconSet>
    </cfRule>
  </conditionalFormatting>
  <conditionalFormatting sqref="M779">
    <cfRule type="iconSet" priority="225">
      <iconSet iconSet="3Symbols2" showValue="0">
        <cfvo type="percent" val="0"/>
        <cfvo type="num" val="0"/>
        <cfvo type="num" val="1"/>
      </iconSet>
    </cfRule>
  </conditionalFormatting>
  <conditionalFormatting sqref="N12:N31">
    <cfRule type="iconSet" priority="149760">
      <iconSet iconSet="3Symbols2" showValue="0">
        <cfvo type="percent" val="0"/>
        <cfvo type="num" val="0"/>
        <cfvo type="num" val="1"/>
      </iconSet>
    </cfRule>
  </conditionalFormatting>
  <conditionalFormatting sqref="N34">
    <cfRule type="iconSet" priority="666">
      <iconSet iconSet="3Symbols2" showValue="0">
        <cfvo type="percent" val="0"/>
        <cfvo type="num" val="0"/>
        <cfvo type="num" val="1"/>
      </iconSet>
    </cfRule>
  </conditionalFormatting>
  <conditionalFormatting sqref="N203:N274">
    <cfRule type="iconSet" priority="135803">
      <iconSet iconSet="3Symbols2" showValue="0">
        <cfvo type="percent" val="0"/>
        <cfvo type="num" val="0"/>
        <cfvo type="num" val="1"/>
      </iconSet>
    </cfRule>
  </conditionalFormatting>
  <conditionalFormatting sqref="N278:N282">
    <cfRule type="iconSet" priority="703">
      <iconSet iconSet="3Symbols2" showValue="0">
        <cfvo type="percent" val="0"/>
        <cfvo type="num" val="0"/>
        <cfvo type="num" val="1"/>
      </iconSet>
    </cfRule>
  </conditionalFormatting>
  <conditionalFormatting sqref="N347:N349 N285">
    <cfRule type="iconSet" priority="701">
      <iconSet iconSet="3Symbols2" showValue="0">
        <cfvo type="percent" val="0"/>
        <cfvo type="num" val="0"/>
        <cfvo type="num" val="1"/>
      </iconSet>
    </cfRule>
  </conditionalFormatting>
  <conditionalFormatting sqref="O37">
    <cfRule type="iconSet" priority="642">
      <iconSet iconSet="3Symbols2" showValue="0">
        <cfvo type="percent" val="0"/>
        <cfvo type="num" val="0"/>
        <cfvo type="num" val="1"/>
      </iconSet>
    </cfRule>
  </conditionalFormatting>
  <conditionalFormatting sqref="O369:O371">
    <cfRule type="iconSet" priority="697">
      <iconSet iconSet="3Symbols2" showValue="0">
        <cfvo type="percent" val="0"/>
        <cfvo type="num" val="0"/>
        <cfvo type="num" val="1"/>
      </iconSet>
    </cfRule>
  </conditionalFormatting>
  <conditionalFormatting sqref="O374:O376">
    <cfRule type="iconSet" priority="695">
      <iconSet iconSet="3Symbols2" showValue="0">
        <cfvo type="percent" val="0"/>
        <cfvo type="num" val="0"/>
        <cfvo type="num" val="1"/>
      </iconSet>
    </cfRule>
  </conditionalFormatting>
  <conditionalFormatting sqref="O379:O393">
    <cfRule type="iconSet" priority="693">
      <iconSet iconSet="3Symbols2" showValue="0">
        <cfvo type="percent" val="0"/>
        <cfvo type="num" val="0"/>
        <cfvo type="num" val="1"/>
      </iconSet>
    </cfRule>
  </conditionalFormatting>
  <conditionalFormatting sqref="O657:O667">
    <cfRule type="iconSet" priority="315">
      <iconSet iconSet="3Symbols2" showValue="0">
        <cfvo type="percent" val="0"/>
        <cfvo type="num" val="0"/>
        <cfvo type="num" val="1"/>
      </iconSet>
    </cfRule>
  </conditionalFormatting>
  <conditionalFormatting sqref="O669:O679">
    <cfRule type="iconSet" priority="308">
      <iconSet iconSet="3Symbols2" showValue="0">
        <cfvo type="percent" val="0"/>
        <cfvo type="num" val="0"/>
        <cfvo type="num" val="1"/>
      </iconSet>
    </cfRule>
  </conditionalFormatting>
  <conditionalFormatting sqref="O681:O691">
    <cfRule type="iconSet" priority="301">
      <iconSet iconSet="3Symbols2" showValue="0">
        <cfvo type="percent" val="0"/>
        <cfvo type="num" val="0"/>
        <cfvo type="num" val="1"/>
      </iconSet>
    </cfRule>
  </conditionalFormatting>
  <conditionalFormatting sqref="O693:O704">
    <cfRule type="iconSet" priority="294">
      <iconSet iconSet="3Symbols2" showValue="0">
        <cfvo type="percent" val="0"/>
        <cfvo type="num" val="0"/>
        <cfvo type="num" val="1"/>
      </iconSet>
    </cfRule>
  </conditionalFormatting>
  <conditionalFormatting sqref="O753:O755">
    <cfRule type="iconSet" priority="249">
      <iconSet iconSet="3Symbols2" showValue="0">
        <cfvo type="percent" val="0"/>
        <cfvo type="num" val="0"/>
        <cfvo type="num" val="1"/>
      </iconSet>
    </cfRule>
  </conditionalFormatting>
  <conditionalFormatting sqref="P571:P576">
    <cfRule type="iconSet" priority="366">
      <iconSet iconSet="3Symbols2" showValue="0">
        <cfvo type="percent" val="0"/>
        <cfvo type="num" val="0"/>
        <cfvo type="num" val="1"/>
      </iconSet>
    </cfRule>
  </conditionalFormatting>
  <conditionalFormatting sqref="O707:P708">
    <cfRule type="iconSet" priority="279">
      <iconSet iconSet="3Symbols2" showValue="0">
        <cfvo type="percent" val="0"/>
        <cfvo type="num" val="0"/>
        <cfvo type="num" val="1"/>
      </iconSet>
    </cfRule>
  </conditionalFormatting>
  <conditionalFormatting sqref="O759:P767">
    <cfRule type="iconSet" priority="242">
      <iconSet iconSet="3Symbols2" showValue="0">
        <cfvo type="percent" val="0"/>
        <cfvo type="num" val="0"/>
        <cfvo type="num" val="1"/>
      </iconSet>
    </cfRule>
  </conditionalFormatting>
  <conditionalFormatting sqref="N777:P777 O769:P776">
    <cfRule type="iconSet" priority="233">
      <iconSet iconSet="3Symbols2" showValue="0">
        <cfvo type="percent" val="0"/>
        <cfvo type="num" val="0"/>
        <cfvo type="num" val="1"/>
      </iconSet>
    </cfRule>
  </conditionalFormatting>
  <conditionalFormatting sqref="N78:Q181">
    <cfRule type="iconSet" priority="134606">
      <iconSet iconSet="3Symbols2" showValue="0">
        <cfvo type="percent" val="0"/>
        <cfvo type="num" val="0"/>
        <cfvo type="num" val="1"/>
      </iconSet>
    </cfRule>
  </conditionalFormatting>
  <conditionalFormatting sqref="N184:Q200">
    <cfRule type="iconSet" priority="135739">
      <iconSet iconSet="3Symbols2" showValue="0">
        <cfvo type="percent" val="0"/>
        <cfvo type="num" val="0"/>
        <cfvo type="num" val="1"/>
      </iconSet>
    </cfRule>
  </conditionalFormatting>
  <conditionalFormatting sqref="O305:O307 N353:Q354 N362:O366 O355:O361">
    <cfRule type="iconSet" priority="137971">
      <iconSet iconSet="3Symbols2" showValue="0">
        <cfvo type="percent" val="0"/>
        <cfvo type="num" val="0"/>
        <cfvo type="num" val="1"/>
      </iconSet>
    </cfRule>
  </conditionalFormatting>
  <conditionalFormatting sqref="N362:Q364 O305:Q307 O355:Q361">
    <cfRule type="iconSet" priority="137482">
      <iconSet iconSet="3Symbols2" showValue="0">
        <cfvo type="percent" val="0"/>
        <cfvo type="num" val="0"/>
        <cfvo type="num" val="1"/>
      </iconSet>
    </cfRule>
  </conditionalFormatting>
  <conditionalFormatting sqref="N365:Q366">
    <cfRule type="iconSet" priority="137973">
      <iconSet iconSet="3Symbols2" showValue="0">
        <cfvo type="percent" val="0"/>
        <cfvo type="num" val="0"/>
        <cfvo type="num" val="1"/>
      </iconSet>
    </cfRule>
  </conditionalFormatting>
  <conditionalFormatting sqref="O547:Q552">
    <cfRule type="iconSet" priority="555">
      <iconSet iconSet="3Symbols2" showValue="0">
        <cfvo type="percent" val="0"/>
        <cfvo type="num" val="0"/>
        <cfvo type="num" val="1"/>
      </iconSet>
    </cfRule>
  </conditionalFormatting>
  <conditionalFormatting sqref="O555:Q560">
    <cfRule type="iconSet" priority="532">
      <iconSet iconSet="3Symbols2" showValue="0">
        <cfvo type="percent" val="0"/>
        <cfvo type="num" val="0"/>
        <cfvo type="num" val="1"/>
      </iconSet>
    </cfRule>
  </conditionalFormatting>
  <conditionalFormatting sqref="P572:Q576">
    <cfRule type="iconSet" priority="486">
      <iconSet iconSet="3Symbols2" showValue="0">
        <cfvo type="percent" val="0"/>
        <cfvo type="num" val="0"/>
        <cfvo type="num" val="1"/>
      </iconSet>
    </cfRule>
  </conditionalFormatting>
  <conditionalFormatting sqref="O579:O584 Q579:Q584">
    <cfRule type="iconSet" priority="358">
      <iconSet iconSet="3Symbols2" showValue="0">
        <cfvo type="percent" val="0"/>
        <cfvo type="num" val="0"/>
        <cfvo type="num" val="1"/>
      </iconSet>
    </cfRule>
  </conditionalFormatting>
  <conditionalFormatting sqref="O587:O592 Q587:Q592">
    <cfRule type="iconSet" priority="349">
      <iconSet iconSet="3Symbols2" showValue="0">
        <cfvo type="percent" val="0"/>
        <cfvo type="num" val="0"/>
        <cfvo type="num" val="1"/>
      </iconSet>
    </cfRule>
  </conditionalFormatting>
  <conditionalFormatting sqref="O595:O600 Q595:Q600">
    <cfRule type="iconSet" priority="340">
      <iconSet iconSet="3Symbols2" showValue="0">
        <cfvo type="percent" val="0"/>
        <cfvo type="num" val="0"/>
        <cfvo type="num" val="1"/>
      </iconSet>
    </cfRule>
  </conditionalFormatting>
  <conditionalFormatting sqref="N613:Q613 N644:Q644 O645:Q653 O620:Q643">
    <cfRule type="iconSet" priority="129233">
      <iconSet iconSet="3Symbols2" showValue="0">
        <cfvo type="percent" val="0"/>
        <cfvo type="num" val="0"/>
        <cfvo type="num" val="1"/>
      </iconSet>
    </cfRule>
  </conditionalFormatting>
  <conditionalFormatting sqref="N656:Q656 N668:Q668 P657:Q657 N680:Q680 P669:Q679 N692:Q692 P681:Q691 P693:Q704 O658:Q667">
    <cfRule type="iconSet" priority="129917">
      <iconSet iconSet="3Symbols2" showValue="0">
        <cfvo type="percent" val="0"/>
        <cfvo type="num" val="0"/>
        <cfvo type="num" val="1"/>
      </iconSet>
    </cfRule>
  </conditionalFormatting>
  <conditionalFormatting sqref="N709:Q709 Q707:Q708">
    <cfRule type="iconSet" priority="921">
      <iconSet iconSet="3Symbols2" showValue="0">
        <cfvo type="percent" val="0"/>
        <cfvo type="num" val="0"/>
        <cfvo type="num" val="1"/>
      </iconSet>
    </cfRule>
  </conditionalFormatting>
  <conditionalFormatting sqref="O714:Q723">
    <cfRule type="iconSet" priority="130599">
      <iconSet iconSet="3Symbols2" showValue="0">
        <cfvo type="percent" val="0"/>
        <cfvo type="num" val="0"/>
        <cfvo type="num" val="1"/>
      </iconSet>
    </cfRule>
  </conditionalFormatting>
  <conditionalFormatting sqref="O754:Q755 P753:Q753">
    <cfRule type="iconSet" priority="967">
      <iconSet iconSet="3Symbols2" showValue="0">
        <cfvo type="percent" val="0"/>
        <cfvo type="num" val="0"/>
        <cfvo type="num" val="1"/>
      </iconSet>
    </cfRule>
  </conditionalFormatting>
  <conditionalFormatting sqref="N780:Q780">
    <cfRule type="iconSet" priority="223">
      <iconSet iconSet="3Symbols2" showValue="0">
        <cfvo type="percent" val="0"/>
        <cfvo type="num" val="0"/>
        <cfvo type="num" val="1"/>
      </iconSet>
    </cfRule>
  </conditionalFormatting>
  <conditionalFormatting sqref="O76">
    <cfRule type="iconSet" priority="1624">
      <iconSet iconSet="3Symbols2" showValue="0">
        <cfvo type="percent" val="0"/>
        <cfvo type="num" val="0"/>
        <cfvo type="num" val="1"/>
      </iconSet>
    </cfRule>
  </conditionalFormatting>
  <conditionalFormatting sqref="O657:O667">
    <cfRule type="iconSet" priority="314">
      <iconSet iconSet="3Symbols2" showValue="0">
        <cfvo type="percent" val="0"/>
        <cfvo type="num" val="0"/>
        <cfvo type="num" val="1"/>
      </iconSet>
    </cfRule>
  </conditionalFormatting>
  <conditionalFormatting sqref="O669:O679">
    <cfRule type="iconSet" priority="307">
      <iconSet iconSet="3Symbols2" showValue="0">
        <cfvo type="percent" val="0"/>
        <cfvo type="num" val="0"/>
        <cfvo type="num" val="1"/>
      </iconSet>
    </cfRule>
  </conditionalFormatting>
  <conditionalFormatting sqref="O681:O691">
    <cfRule type="iconSet" priority="300">
      <iconSet iconSet="3Symbols2" showValue="0">
        <cfvo type="percent" val="0"/>
        <cfvo type="num" val="0"/>
        <cfvo type="num" val="1"/>
      </iconSet>
    </cfRule>
  </conditionalFormatting>
  <conditionalFormatting sqref="O693:O704">
    <cfRule type="iconSet" priority="293">
      <iconSet iconSet="3Symbols2" showValue="0">
        <cfvo type="percent" val="0"/>
        <cfvo type="num" val="0"/>
        <cfvo type="num" val="1"/>
      </iconSet>
    </cfRule>
  </conditionalFormatting>
  <conditionalFormatting sqref="O707:O708">
    <cfRule type="iconSet" priority="278">
      <iconSet iconSet="3Symbols2" showValue="0">
        <cfvo type="percent" val="0"/>
        <cfvo type="num" val="0"/>
        <cfvo type="num" val="1"/>
      </iconSet>
    </cfRule>
  </conditionalFormatting>
  <conditionalFormatting sqref="O753:O755">
    <cfRule type="iconSet" priority="248">
      <iconSet iconSet="3Symbols2" showValue="0">
        <cfvo type="percent" val="0"/>
        <cfvo type="num" val="0"/>
        <cfvo type="num" val="1"/>
      </iconSet>
    </cfRule>
  </conditionalFormatting>
  <conditionalFormatting sqref="O759:O767">
    <cfRule type="iconSet" priority="240">
      <iconSet iconSet="3Symbols2" showValue="0">
        <cfvo type="percent" val="0"/>
        <cfvo type="num" val="0"/>
        <cfvo type="num" val="1"/>
      </iconSet>
    </cfRule>
  </conditionalFormatting>
  <conditionalFormatting sqref="O769:O777">
    <cfRule type="iconSet" priority="231">
      <iconSet iconSet="3Symbols2" showValue="0">
        <cfvo type="percent" val="0"/>
        <cfvo type="num" val="0"/>
        <cfvo type="num" val="1"/>
      </iconSet>
    </cfRule>
  </conditionalFormatting>
  <conditionalFormatting sqref="O780">
    <cfRule type="iconSet" priority="222">
      <iconSet iconSet="3Symbols2" showValue="0">
        <cfvo type="percent" val="0"/>
        <cfvo type="num" val="0"/>
        <cfvo type="num" val="1"/>
      </iconSet>
    </cfRule>
  </conditionalFormatting>
  <conditionalFormatting sqref="O12:Q31">
    <cfRule type="iconSet" priority="149782">
      <iconSet iconSet="3Symbols2" showValue="0">
        <cfvo type="percent" val="0"/>
        <cfvo type="num" val="0"/>
        <cfvo type="num" val="1"/>
      </iconSet>
    </cfRule>
  </conditionalFormatting>
  <conditionalFormatting sqref="O34:Q34">
    <cfRule type="iconSet" priority="127825">
      <iconSet iconSet="3Symbols2" showValue="0">
        <cfvo type="percent" val="0"/>
        <cfvo type="num" val="0"/>
        <cfvo type="num" val="1"/>
      </iconSet>
    </cfRule>
  </conditionalFormatting>
  <conditionalFormatting sqref="O203:Q274">
    <cfRule type="iconSet" priority="135820">
      <iconSet iconSet="3Symbols2" showValue="0">
        <cfvo type="percent" val="0"/>
        <cfvo type="num" val="0"/>
        <cfvo type="num" val="1"/>
      </iconSet>
    </cfRule>
  </conditionalFormatting>
  <conditionalFormatting sqref="O277:Q282">
    <cfRule type="iconSet" priority="1519">
      <iconSet iconSet="3Symbols2" showValue="0">
        <cfvo type="percent" val="0"/>
        <cfvo type="num" val="0"/>
        <cfvo type="num" val="1"/>
      </iconSet>
    </cfRule>
  </conditionalFormatting>
  <conditionalFormatting sqref="O327:Q346 O288:Q302 O308:Q319 P320:Q326">
    <cfRule type="iconSet" priority="137401">
      <iconSet iconSet="3Symbols2" showValue="0">
        <cfvo type="percent" val="0"/>
        <cfvo type="num" val="0"/>
        <cfvo type="num" val="1"/>
      </iconSet>
    </cfRule>
  </conditionalFormatting>
  <conditionalFormatting sqref="O347:Q349 O285:Q285">
    <cfRule type="iconSet" priority="1496">
      <iconSet iconSet="3Symbols2" showValue="0">
        <cfvo type="percent" val="0"/>
        <cfvo type="num" val="0"/>
        <cfvo type="num" val="1"/>
      </iconSet>
    </cfRule>
  </conditionalFormatting>
  <conditionalFormatting sqref="O563:Q568">
    <cfRule type="iconSet" priority="509">
      <iconSet iconSet="3Symbols2" showValue="0">
        <cfvo type="percent" val="0"/>
        <cfvo type="num" val="0"/>
        <cfvo type="num" val="1"/>
      </iconSet>
    </cfRule>
  </conditionalFormatting>
  <conditionalFormatting sqref="O579:O584">
    <cfRule type="iconSet" priority="357">
      <iconSet iconSet="3Symbols2" showValue="0">
        <cfvo type="percent" val="0"/>
        <cfvo type="num" val="0"/>
        <cfvo type="num" val="1"/>
      </iconSet>
    </cfRule>
  </conditionalFormatting>
  <conditionalFormatting sqref="O587:O592">
    <cfRule type="iconSet" priority="348">
      <iconSet iconSet="3Symbols2" showValue="0">
        <cfvo type="percent" val="0"/>
        <cfvo type="num" val="0"/>
        <cfvo type="num" val="1"/>
      </iconSet>
    </cfRule>
  </conditionalFormatting>
  <conditionalFormatting sqref="O595:O600">
    <cfRule type="iconSet" priority="339">
      <iconSet iconSet="3Symbols2" showValue="0">
        <cfvo type="percent" val="0"/>
        <cfvo type="num" val="0"/>
        <cfvo type="num" val="1"/>
      </iconSet>
    </cfRule>
  </conditionalFormatting>
  <conditionalFormatting sqref="O605:Q608">
    <cfRule type="iconSet" priority="1082">
      <iconSet iconSet="3Symbols2" showValue="0">
        <cfvo type="percent" val="0"/>
        <cfvo type="num" val="0"/>
        <cfvo type="num" val="1"/>
      </iconSet>
    </cfRule>
  </conditionalFormatting>
  <conditionalFormatting sqref="P76">
    <cfRule type="iconSet" priority="1623">
      <iconSet iconSet="3Symbols2" showValue="0">
        <cfvo type="percent" val="0"/>
        <cfvo type="num" val="0"/>
        <cfvo type="num" val="1"/>
      </iconSet>
    </cfRule>
  </conditionalFormatting>
  <conditionalFormatting sqref="P571:P576">
    <cfRule type="iconSet" priority="369">
      <iconSet iconSet="3Symbols2" showValue="0">
        <cfvo type="percent" val="0"/>
        <cfvo type="num" val="0"/>
        <cfvo type="num" val="1"/>
      </iconSet>
    </cfRule>
  </conditionalFormatting>
  <conditionalFormatting sqref="P707:P708">
    <cfRule type="iconSet" priority="277">
      <iconSet iconSet="3Symbols2" showValue="0">
        <cfvo type="percent" val="0"/>
        <cfvo type="num" val="0"/>
        <cfvo type="num" val="1"/>
      </iconSet>
    </cfRule>
  </conditionalFormatting>
  <conditionalFormatting sqref="P759:P767">
    <cfRule type="iconSet" priority="239">
      <iconSet iconSet="3Symbols2" showValue="0">
        <cfvo type="percent" val="0"/>
        <cfvo type="num" val="0"/>
        <cfvo type="num" val="1"/>
      </iconSet>
    </cfRule>
    <cfRule type="iconSet" priority="241">
      <iconSet iconSet="3Symbols2" showValue="0">
        <cfvo type="percent" val="0"/>
        <cfvo type="num" val="0"/>
        <cfvo type="num" val="1"/>
      </iconSet>
    </cfRule>
  </conditionalFormatting>
  <conditionalFormatting sqref="P769:P777">
    <cfRule type="iconSet" priority="230">
      <iconSet iconSet="3Symbols2" showValue="0">
        <cfvo type="percent" val="0"/>
        <cfvo type="num" val="0"/>
        <cfvo type="num" val="1"/>
      </iconSet>
    </cfRule>
    <cfRule type="iconSet" priority="232">
      <iconSet iconSet="3Symbols2" showValue="0">
        <cfvo type="percent" val="0"/>
        <cfvo type="num" val="0"/>
        <cfvo type="num" val="1"/>
      </iconSet>
    </cfRule>
  </conditionalFormatting>
  <conditionalFormatting sqref="P37:Q37">
    <cfRule type="iconSet" priority="660">
      <iconSet iconSet="3Symbols2" showValue="0">
        <cfvo type="percent" val="0"/>
        <cfvo type="num" val="0"/>
        <cfvo type="num" val="1"/>
      </iconSet>
    </cfRule>
  </conditionalFormatting>
  <conditionalFormatting sqref="P40:Q41">
    <cfRule type="iconSet" priority="611">
      <iconSet iconSet="3Symbols2" showValue="0">
        <cfvo type="percent" val="0"/>
        <cfvo type="num" val="0"/>
        <cfvo type="num" val="1"/>
      </iconSet>
    </cfRule>
  </conditionalFormatting>
  <conditionalFormatting sqref="P68:Q73">
    <cfRule type="iconSet" priority="592">
      <iconSet iconSet="3Symbols2" showValue="0">
        <cfvo type="percent" val="0"/>
        <cfvo type="num" val="0"/>
        <cfvo type="num" val="1"/>
      </iconSet>
    </cfRule>
  </conditionalFormatting>
  <conditionalFormatting sqref="P369:Q371">
    <cfRule type="iconSet" priority="1427">
      <iconSet iconSet="3Symbols2" showValue="0">
        <cfvo type="percent" val="0"/>
        <cfvo type="num" val="0"/>
        <cfvo type="num" val="1"/>
      </iconSet>
    </cfRule>
  </conditionalFormatting>
  <conditionalFormatting sqref="P374:Q376">
    <cfRule type="iconSet" priority="1404">
      <iconSet iconSet="3Symbols2" showValue="0">
        <cfvo type="percent" val="0"/>
        <cfvo type="num" val="0"/>
        <cfvo type="num" val="1"/>
      </iconSet>
    </cfRule>
  </conditionalFormatting>
  <conditionalFormatting sqref="P379:Q380">
    <cfRule type="iconSet" priority="800">
      <iconSet iconSet="3Symbols2" showValue="0">
        <cfvo type="percent" val="0"/>
        <cfvo type="num" val="0"/>
        <cfvo type="num" val="1"/>
      </iconSet>
    </cfRule>
  </conditionalFormatting>
  <conditionalFormatting sqref="P381:Q387">
    <cfRule type="iconSet" priority="820">
      <iconSet iconSet="3Symbols2" showValue="0">
        <cfvo type="percent" val="0"/>
        <cfvo type="num" val="0"/>
        <cfvo type="num" val="1"/>
      </iconSet>
    </cfRule>
  </conditionalFormatting>
  <conditionalFormatting sqref="P388:Q393">
    <cfRule type="iconSet" priority="780">
      <iconSet iconSet="3Symbols2" showValue="0">
        <cfvo type="percent" val="0"/>
        <cfvo type="num" val="0"/>
        <cfvo type="num" val="1"/>
      </iconSet>
    </cfRule>
  </conditionalFormatting>
  <conditionalFormatting sqref="P726:Q750">
    <cfRule type="iconSet" priority="131269">
      <iconSet iconSet="3Symbols2" showValue="0">
        <cfvo type="percent" val="0"/>
        <cfvo type="num" val="0"/>
        <cfvo type="num" val="1"/>
      </iconSet>
    </cfRule>
  </conditionalFormatting>
  <conditionalFormatting sqref="P780:Q780">
    <cfRule type="iconSet" priority="220">
      <iconSet iconSet="3Symbols2" showValue="0">
        <cfvo type="percent" val="0"/>
        <cfvo type="num" val="0"/>
        <cfvo type="num" val="1"/>
      </iconSet>
    </cfRule>
    <cfRule type="iconSet" priority="221">
      <iconSet iconSet="3Symbols2" showValue="0">
        <cfvo type="percent" val="0"/>
        <cfvo type="num" val="0"/>
        <cfvo type="num" val="1"/>
      </iconSet>
    </cfRule>
  </conditionalFormatting>
  <conditionalFormatting sqref="Q76">
    <cfRule type="iconSet" priority="1622">
      <iconSet iconSet="3Symbols2" showValue="0">
        <cfvo type="percent" val="0"/>
        <cfvo type="num" val="0"/>
        <cfvo type="num" val="1"/>
      </iconSet>
    </cfRule>
  </conditionalFormatting>
  <conditionalFormatting sqref="Q579:Q584">
    <cfRule type="iconSet" priority="360">
      <iconSet iconSet="3Symbols2" showValue="0">
        <cfvo type="percent" val="0"/>
        <cfvo type="num" val="0"/>
        <cfvo type="num" val="1"/>
      </iconSet>
    </cfRule>
  </conditionalFormatting>
  <conditionalFormatting sqref="Q587:Q592">
    <cfRule type="iconSet" priority="351">
      <iconSet iconSet="3Symbols2" showValue="0">
        <cfvo type="percent" val="0"/>
        <cfvo type="num" val="0"/>
        <cfvo type="num" val="1"/>
      </iconSet>
    </cfRule>
  </conditionalFormatting>
  <conditionalFormatting sqref="Q595:Q600">
    <cfRule type="iconSet" priority="342">
      <iconSet iconSet="3Symbols2" showValue="0">
        <cfvo type="percent" val="0"/>
        <cfvo type="num" val="0"/>
        <cfvo type="num" val="1"/>
      </iconSet>
    </cfRule>
  </conditionalFormatting>
  <conditionalFormatting sqref="Q769:Q777 N758:Q758 N768:Q768 Q759 N779:Q779 O760:Q767">
    <cfRule type="iconSet" priority="131983">
      <iconSet iconSet="3Symbols2" showValue="0">
        <cfvo type="percent" val="0"/>
        <cfvo type="num" val="0"/>
        <cfvo type="num" val="1"/>
      </iconSet>
    </cfRule>
  </conditionalFormatting>
  <conditionalFormatting sqref="R13:R16">
    <cfRule type="iconSet" priority="152">
      <iconSet iconSet="3Symbols2" showValue="0">
        <cfvo type="percent" val="0"/>
        <cfvo type="num" val="0"/>
        <cfvo type="num" val="1"/>
      </iconSet>
    </cfRule>
  </conditionalFormatting>
  <conditionalFormatting sqref="R203:R274">
    <cfRule type="iconSet" priority="135825">
      <iconSet iconSet="3Symbols2" showValue="0">
        <cfvo type="percent" val="0"/>
        <cfvo type="num" val="0"/>
        <cfvo type="num" val="1"/>
      </iconSet>
    </cfRule>
  </conditionalFormatting>
  <conditionalFormatting sqref="R278:R282">
    <cfRule type="iconSet" priority="192">
      <iconSet iconSet="3Symbols2" showValue="0">
        <cfvo type="percent" val="0"/>
        <cfvo type="num" val="0"/>
        <cfvo type="num" val="1"/>
      </iconSet>
    </cfRule>
  </conditionalFormatting>
  <conditionalFormatting sqref="R327:R346 R288:R302 R308:R319">
    <cfRule type="iconSet" priority="137402">
      <iconSet iconSet="3Symbols2" showValue="0">
        <cfvo type="percent" val="0"/>
        <cfvo type="num" val="0"/>
        <cfvo type="num" val="1"/>
      </iconSet>
    </cfRule>
  </conditionalFormatting>
  <conditionalFormatting sqref="R347:R349 R285">
    <cfRule type="iconSet" priority="197">
      <iconSet iconSet="3Symbols2" showValue="0">
        <cfvo type="percent" val="0"/>
        <cfvo type="num" val="0"/>
        <cfvo type="num" val="1"/>
      </iconSet>
    </cfRule>
  </conditionalFormatting>
  <conditionalFormatting sqref="S76">
    <cfRule type="iconSet" priority="1620">
      <iconSet iconSet="3Symbols2" showValue="0">
        <cfvo type="percent" val="0"/>
        <cfvo type="num" val="0"/>
        <cfvo type="num" val="1"/>
      </iconSet>
    </cfRule>
  </conditionalFormatting>
  <conditionalFormatting sqref="S355:U366 S305:U307">
    <cfRule type="iconSet" priority="138485">
      <iconSet iconSet="3Symbols2" showValue="0">
        <cfvo type="percent" val="0"/>
        <cfvo type="num" val="0"/>
        <cfvo type="num" val="1"/>
      </iconSet>
    </cfRule>
  </conditionalFormatting>
  <conditionalFormatting sqref="S12:V12 S26:V31 S13:U16 S17:S25 U17:U25">
    <cfRule type="iconSet" priority="149797">
      <iconSet iconSet="3Symbols2" showValue="0">
        <cfvo type="percent" val="0"/>
        <cfvo type="num" val="0"/>
        <cfvo type="num" val="1"/>
      </iconSet>
    </cfRule>
  </conditionalFormatting>
  <conditionalFormatting sqref="S34:V34">
    <cfRule type="iconSet" priority="127827">
      <iconSet iconSet="3Symbols2" showValue="0">
        <cfvo type="percent" val="0"/>
        <cfvo type="num" val="0"/>
        <cfvo type="num" val="1"/>
      </iconSet>
    </cfRule>
  </conditionalFormatting>
  <conditionalFormatting sqref="S37:V37">
    <cfRule type="iconSet" priority="658">
      <iconSet iconSet="3Symbols2" showValue="0">
        <cfvo type="percent" val="0"/>
        <cfvo type="num" val="0"/>
        <cfvo type="num" val="1"/>
      </iconSet>
    </cfRule>
  </conditionalFormatting>
  <conditionalFormatting sqref="S40:V41">
    <cfRule type="iconSet" priority="609">
      <iconSet iconSet="3Symbols2" showValue="0">
        <cfvo type="percent" val="0"/>
        <cfvo type="num" val="0"/>
        <cfvo type="num" val="1"/>
      </iconSet>
    </cfRule>
  </conditionalFormatting>
  <conditionalFormatting sqref="S68:V73">
    <cfRule type="iconSet" priority="590">
      <iconSet iconSet="3Symbols2" showValue="0">
        <cfvo type="percent" val="0"/>
        <cfvo type="num" val="0"/>
        <cfvo type="num" val="1"/>
      </iconSet>
    </cfRule>
  </conditionalFormatting>
  <conditionalFormatting sqref="S78:V181">
    <cfRule type="iconSet" priority="134636">
      <iconSet iconSet="3Symbols2" showValue="0">
        <cfvo type="percent" val="0"/>
        <cfvo type="num" val="0"/>
        <cfvo type="num" val="1"/>
      </iconSet>
    </cfRule>
  </conditionalFormatting>
  <conditionalFormatting sqref="S184:V200">
    <cfRule type="iconSet" priority="135740">
      <iconSet iconSet="3Symbols2" showValue="0">
        <cfvo type="percent" val="0"/>
        <cfvo type="num" val="0"/>
        <cfvo type="num" val="1"/>
      </iconSet>
    </cfRule>
  </conditionalFormatting>
  <conditionalFormatting sqref="S277:V282">
    <cfRule type="iconSet" priority="1517">
      <iconSet iconSet="3Symbols2" showValue="0">
        <cfvo type="percent" val="0"/>
        <cfvo type="num" val="0"/>
        <cfvo type="num" val="1"/>
      </iconSet>
    </cfRule>
  </conditionalFormatting>
  <conditionalFormatting sqref="S353:V354">
    <cfRule type="iconSet" priority="125635">
      <iconSet iconSet="3Symbols2" showValue="0">
        <cfvo type="percent" val="0"/>
        <cfvo type="num" val="0"/>
        <cfvo type="num" val="1"/>
      </iconSet>
    </cfRule>
  </conditionalFormatting>
  <conditionalFormatting sqref="S369:V371">
    <cfRule type="iconSet" priority="1425">
      <iconSet iconSet="3Symbols2" showValue="0">
        <cfvo type="percent" val="0"/>
        <cfvo type="num" val="0"/>
        <cfvo type="num" val="1"/>
      </iconSet>
    </cfRule>
  </conditionalFormatting>
  <conditionalFormatting sqref="S374:V376">
    <cfRule type="iconSet" priority="1402">
      <iconSet iconSet="3Symbols2" showValue="0">
        <cfvo type="percent" val="0"/>
        <cfvo type="num" val="0"/>
        <cfvo type="num" val="1"/>
      </iconSet>
    </cfRule>
  </conditionalFormatting>
  <conditionalFormatting sqref="S379:V380">
    <cfRule type="iconSet" priority="798">
      <iconSet iconSet="3Symbols2" showValue="0">
        <cfvo type="percent" val="0"/>
        <cfvo type="num" val="0"/>
        <cfvo type="num" val="1"/>
      </iconSet>
    </cfRule>
  </conditionalFormatting>
  <conditionalFormatting sqref="S381:V387">
    <cfRule type="iconSet" priority="818">
      <iconSet iconSet="3Symbols2" showValue="0">
        <cfvo type="percent" val="0"/>
        <cfvo type="num" val="0"/>
        <cfvo type="num" val="1"/>
      </iconSet>
    </cfRule>
  </conditionalFormatting>
  <conditionalFormatting sqref="S388:V393">
    <cfRule type="iconSet" priority="778">
      <iconSet iconSet="3Symbols2" showValue="0">
        <cfvo type="percent" val="0"/>
        <cfvo type="num" val="0"/>
        <cfvo type="num" val="1"/>
      </iconSet>
    </cfRule>
  </conditionalFormatting>
  <conditionalFormatting sqref="S547:V552">
    <cfRule type="iconSet" priority="553">
      <iconSet iconSet="3Symbols2" showValue="0">
        <cfvo type="percent" val="0"/>
        <cfvo type="num" val="0"/>
        <cfvo type="num" val="1"/>
      </iconSet>
    </cfRule>
  </conditionalFormatting>
  <conditionalFormatting sqref="S555:V560">
    <cfRule type="iconSet" priority="530">
      <iconSet iconSet="3Symbols2" showValue="0">
        <cfvo type="percent" val="0"/>
        <cfvo type="num" val="0"/>
        <cfvo type="num" val="1"/>
      </iconSet>
    </cfRule>
  </conditionalFormatting>
  <conditionalFormatting sqref="S563:V568">
    <cfRule type="iconSet" priority="507">
      <iconSet iconSet="3Symbols2" showValue="0">
        <cfvo type="percent" val="0"/>
        <cfvo type="num" val="0"/>
        <cfvo type="num" val="1"/>
      </iconSet>
    </cfRule>
  </conditionalFormatting>
  <conditionalFormatting sqref="S571:V576">
    <cfRule type="iconSet" priority="484">
      <iconSet iconSet="3Symbols2" showValue="0">
        <cfvo type="percent" val="0"/>
        <cfvo type="num" val="0"/>
        <cfvo type="num" val="1"/>
      </iconSet>
    </cfRule>
  </conditionalFormatting>
  <conditionalFormatting sqref="S579:V584">
    <cfRule type="iconSet" priority="461">
      <iconSet iconSet="3Symbols2" showValue="0">
        <cfvo type="percent" val="0"/>
        <cfvo type="num" val="0"/>
        <cfvo type="num" val="1"/>
      </iconSet>
    </cfRule>
  </conditionalFormatting>
  <conditionalFormatting sqref="S587:V592">
    <cfRule type="iconSet" priority="438">
      <iconSet iconSet="3Symbols2" showValue="0">
        <cfvo type="percent" val="0"/>
        <cfvo type="num" val="0"/>
        <cfvo type="num" val="1"/>
      </iconSet>
    </cfRule>
  </conditionalFormatting>
  <conditionalFormatting sqref="S595:V600">
    <cfRule type="iconSet" priority="415">
      <iconSet iconSet="3Symbols2" showValue="0">
        <cfvo type="percent" val="0"/>
        <cfvo type="num" val="0"/>
        <cfvo type="num" val="1"/>
      </iconSet>
    </cfRule>
  </conditionalFormatting>
  <conditionalFormatting sqref="S605:V608">
    <cfRule type="iconSet" priority="1080">
      <iconSet iconSet="3Symbols2" showValue="0">
        <cfvo type="percent" val="0"/>
        <cfvo type="num" val="0"/>
        <cfvo type="num" val="1"/>
      </iconSet>
    </cfRule>
  </conditionalFormatting>
  <conditionalFormatting sqref="S613:V613 S620:V653">
    <cfRule type="iconSet" priority="129235">
      <iconSet iconSet="3Symbols2" showValue="0">
        <cfvo type="percent" val="0"/>
        <cfvo type="num" val="0"/>
        <cfvo type="num" val="1"/>
      </iconSet>
    </cfRule>
  </conditionalFormatting>
  <conditionalFormatting sqref="S656:V704">
    <cfRule type="iconSet" priority="129919">
      <iconSet iconSet="3Symbols2" showValue="0">
        <cfvo type="percent" val="0"/>
        <cfvo type="num" val="0"/>
        <cfvo type="num" val="1"/>
      </iconSet>
    </cfRule>
  </conditionalFormatting>
  <conditionalFormatting sqref="S707:V709">
    <cfRule type="iconSet" priority="919">
      <iconSet iconSet="3Symbols2" showValue="0">
        <cfvo type="percent" val="0"/>
        <cfvo type="num" val="0"/>
        <cfvo type="num" val="1"/>
      </iconSet>
    </cfRule>
  </conditionalFormatting>
  <conditionalFormatting sqref="S714:V723">
    <cfRule type="iconSet" priority="130602">
      <iconSet iconSet="3Symbols2" showValue="0">
        <cfvo type="percent" val="0"/>
        <cfvo type="num" val="0"/>
        <cfvo type="num" val="1"/>
      </iconSet>
    </cfRule>
  </conditionalFormatting>
  <conditionalFormatting sqref="S726:V750">
    <cfRule type="iconSet" priority="131271">
      <iconSet iconSet="3Symbols2" showValue="0">
        <cfvo type="percent" val="0"/>
        <cfvo type="num" val="0"/>
        <cfvo type="num" val="1"/>
      </iconSet>
    </cfRule>
  </conditionalFormatting>
  <conditionalFormatting sqref="S753:V755">
    <cfRule type="iconSet" priority="965">
      <iconSet iconSet="3Symbols2" showValue="0">
        <cfvo type="percent" val="0"/>
        <cfvo type="num" val="0"/>
        <cfvo type="num" val="1"/>
      </iconSet>
    </cfRule>
  </conditionalFormatting>
  <conditionalFormatting sqref="S758:V777 S779:V780">
    <cfRule type="iconSet" priority="133355">
      <iconSet iconSet="3Symbols2" showValue="0">
        <cfvo type="percent" val="0"/>
        <cfvo type="num" val="0"/>
        <cfvo type="num" val="1"/>
      </iconSet>
    </cfRule>
  </conditionalFormatting>
  <conditionalFormatting sqref="T76">
    <cfRule type="iconSet" priority="1619">
      <iconSet iconSet="3Symbols2" showValue="0">
        <cfvo type="percent" val="0"/>
        <cfvo type="num" val="0"/>
        <cfvo type="num" val="1"/>
      </iconSet>
    </cfRule>
  </conditionalFormatting>
  <conditionalFormatting sqref="U76">
    <cfRule type="iconSet" priority="1618">
      <iconSet iconSet="3Symbols2" showValue="0">
        <cfvo type="percent" val="0"/>
        <cfvo type="num" val="0"/>
        <cfvo type="num" val="1"/>
      </iconSet>
    </cfRule>
  </conditionalFormatting>
  <conditionalFormatting sqref="U203:U274">
    <cfRule type="iconSet" priority="135834">
      <iconSet iconSet="3Symbols2" showValue="0">
        <cfvo type="percent" val="0"/>
        <cfvo type="num" val="0"/>
        <cfvo type="num" val="1"/>
      </iconSet>
    </cfRule>
  </conditionalFormatting>
  <conditionalFormatting sqref="U347:U349 U285">
    <cfRule type="iconSet" priority="195">
      <iconSet iconSet="3Symbols2" showValue="0">
        <cfvo type="percent" val="0"/>
        <cfvo type="num" val="0"/>
        <cfvo type="num" val="1"/>
      </iconSet>
    </cfRule>
  </conditionalFormatting>
  <conditionalFormatting sqref="V13:V25">
    <cfRule type="iconSet" priority="151">
      <iconSet iconSet="3Symbols2" showValue="0">
        <cfvo type="percent" val="0"/>
        <cfvo type="num" val="0"/>
        <cfvo type="num" val="1"/>
      </iconSet>
    </cfRule>
  </conditionalFormatting>
  <conditionalFormatting sqref="V76">
    <cfRule type="iconSet" priority="1617">
      <iconSet iconSet="3Symbols2" showValue="0">
        <cfvo type="percent" val="0"/>
        <cfvo type="num" val="0"/>
        <cfvo type="num" val="1"/>
      </iconSet>
    </cfRule>
  </conditionalFormatting>
  <conditionalFormatting sqref="V203:V274 S203:T274">
    <cfRule type="iconSet" priority="135828">
      <iconSet iconSet="3Symbols2" showValue="0">
        <cfvo type="percent" val="0"/>
        <cfvo type="num" val="0"/>
        <cfvo type="num" val="1"/>
      </iconSet>
    </cfRule>
  </conditionalFormatting>
  <conditionalFormatting sqref="S327:T346 V288:V302 S288:T302 V308:V346 S308:T319 S320:S326">
    <cfRule type="iconSet" priority="137403">
      <iconSet iconSet="3Symbols2" showValue="0">
        <cfvo type="percent" val="0"/>
        <cfvo type="num" val="0"/>
        <cfvo type="num" val="1"/>
      </iconSet>
    </cfRule>
  </conditionalFormatting>
  <conditionalFormatting sqref="V347:V349 V285 S285:T285 S347:T349">
    <cfRule type="iconSet" priority="1494">
      <iconSet iconSet="3Symbols2" showValue="0">
        <cfvo type="percent" val="0"/>
        <cfvo type="num" val="0"/>
        <cfvo type="num" val="1"/>
      </iconSet>
    </cfRule>
  </conditionalFormatting>
  <conditionalFormatting sqref="V355:V364 V305:V307">
    <cfRule type="iconSet" priority="137488">
      <iconSet iconSet="3Symbols2" showValue="0">
        <cfvo type="percent" val="0"/>
        <cfvo type="num" val="0"/>
        <cfvo type="num" val="1"/>
      </iconSet>
    </cfRule>
  </conditionalFormatting>
  <conditionalFormatting sqref="V365:V366">
    <cfRule type="iconSet" priority="137996">
      <iconSet iconSet="3Symbols2" showValue="0">
        <cfvo type="percent" val="0"/>
        <cfvo type="num" val="0"/>
        <cfvo type="num" val="1"/>
      </iconSet>
    </cfRule>
  </conditionalFormatting>
  <conditionalFormatting sqref="X12:X31 Z12:AH31">
    <cfRule type="iconSet" priority="149817">
      <iconSet iconSet="3Symbols2" showValue="0">
        <cfvo type="percent" val="0"/>
        <cfvo type="num" val="0"/>
        <cfvo type="num" val="1"/>
      </iconSet>
    </cfRule>
  </conditionalFormatting>
  <conditionalFormatting sqref="X34 Z34:AH34">
    <cfRule type="iconSet" priority="127829">
      <iconSet iconSet="3Symbols2" showValue="0">
        <cfvo type="percent" val="0"/>
        <cfvo type="num" val="0"/>
        <cfvo type="num" val="1"/>
      </iconSet>
    </cfRule>
  </conditionalFormatting>
  <conditionalFormatting sqref="X37 Z37:AH37">
    <cfRule type="iconSet" priority="656">
      <iconSet iconSet="3Symbols2" showValue="0">
        <cfvo type="percent" val="0"/>
        <cfvo type="num" val="0"/>
        <cfvo type="num" val="1"/>
      </iconSet>
    </cfRule>
  </conditionalFormatting>
  <conditionalFormatting sqref="X40:X41 Z40:AH41">
    <cfRule type="iconSet" priority="607">
      <iconSet iconSet="3Symbols2" showValue="0">
        <cfvo type="percent" val="0"/>
        <cfvo type="num" val="0"/>
        <cfvo type="num" val="1"/>
      </iconSet>
    </cfRule>
  </conditionalFormatting>
  <conditionalFormatting sqref="X68:X73 Z68:AH73">
    <cfRule type="iconSet" priority="588">
      <iconSet iconSet="3Symbols2" showValue="0">
        <cfvo type="percent" val="0"/>
        <cfvo type="num" val="0"/>
        <cfvo type="num" val="1"/>
      </iconSet>
    </cfRule>
  </conditionalFormatting>
  <conditionalFormatting sqref="X78:X181 Z78:AH181">
    <cfRule type="iconSet" priority="134643">
      <iconSet iconSet="3Symbols2" showValue="0">
        <cfvo type="percent" val="0"/>
        <cfvo type="num" val="0"/>
        <cfvo type="num" val="1"/>
      </iconSet>
    </cfRule>
  </conditionalFormatting>
  <conditionalFormatting sqref="X184:X200 Z184:AH200">
    <cfRule type="iconSet" priority="135216">
      <iconSet iconSet="3Symbols2" showValue="0">
        <cfvo type="percent" val="0"/>
        <cfvo type="num" val="0"/>
        <cfvo type="num" val="1"/>
      </iconSet>
    </cfRule>
  </conditionalFormatting>
  <conditionalFormatting sqref="X203:X274 Z203:AH274">
    <cfRule type="iconSet" priority="135837">
      <iconSet iconSet="3Symbols2" showValue="0">
        <cfvo type="percent" val="0"/>
        <cfvo type="num" val="0"/>
        <cfvo type="num" val="1"/>
      </iconSet>
    </cfRule>
  </conditionalFormatting>
  <conditionalFormatting sqref="X277:X282 Z277:AH282">
    <cfRule type="iconSet" priority="1514">
      <iconSet iconSet="3Symbols2" showValue="0">
        <cfvo type="percent" val="0"/>
        <cfvo type="num" val="0"/>
        <cfvo type="num" val="1"/>
      </iconSet>
    </cfRule>
  </conditionalFormatting>
  <conditionalFormatting sqref="X347:X349 X285 Z285:AH285 Z347:AH349">
    <cfRule type="iconSet" priority="1491">
      <iconSet iconSet="3Symbols2" showValue="0">
        <cfvo type="percent" val="0"/>
        <cfvo type="num" val="0"/>
        <cfvo type="num" val="1"/>
      </iconSet>
    </cfRule>
  </conditionalFormatting>
  <conditionalFormatting sqref="X350:X354 Z350:AH354">
    <cfRule type="iconSet" priority="125637">
      <iconSet iconSet="3Symbols2" showValue="0">
        <cfvo type="percent" val="0"/>
        <cfvo type="num" val="0"/>
        <cfvo type="num" val="1"/>
      </iconSet>
    </cfRule>
  </conditionalFormatting>
  <conditionalFormatting sqref="X355:X364 X305:X307">
    <cfRule type="iconSet" priority="137494">
      <iconSet iconSet="3Symbols2" showValue="0">
        <cfvo type="percent" val="0"/>
        <cfvo type="num" val="0"/>
        <cfvo type="num" val="1"/>
      </iconSet>
    </cfRule>
  </conditionalFormatting>
  <conditionalFormatting sqref="X365:X366 Z365:AH366">
    <cfRule type="iconSet" priority="137999">
      <iconSet iconSet="3Symbols2" showValue="0">
        <cfvo type="percent" val="0"/>
        <cfvo type="num" val="0"/>
        <cfvo type="num" val="1"/>
      </iconSet>
    </cfRule>
  </conditionalFormatting>
  <conditionalFormatting sqref="X369:X371 Z369:AH371">
    <cfRule type="iconSet" priority="1422">
      <iconSet iconSet="3Symbols2" showValue="0">
        <cfvo type="percent" val="0"/>
        <cfvo type="num" val="0"/>
        <cfvo type="num" val="1"/>
      </iconSet>
    </cfRule>
  </conditionalFormatting>
  <conditionalFormatting sqref="X374:X376 Z374:AH376">
    <cfRule type="iconSet" priority="1399">
      <iconSet iconSet="3Symbols2" showValue="0">
        <cfvo type="percent" val="0"/>
        <cfvo type="num" val="0"/>
        <cfvo type="num" val="1"/>
      </iconSet>
    </cfRule>
  </conditionalFormatting>
  <conditionalFormatting sqref="X379:X380 Z379:AH380">
    <cfRule type="iconSet" priority="796">
      <iconSet iconSet="3Symbols2" showValue="0">
        <cfvo type="percent" val="0"/>
        <cfvo type="num" val="0"/>
        <cfvo type="num" val="1"/>
      </iconSet>
    </cfRule>
  </conditionalFormatting>
  <conditionalFormatting sqref="X381:X387 Z381:AH387">
    <cfRule type="iconSet" priority="816">
      <iconSet iconSet="3Symbols2" showValue="0">
        <cfvo type="percent" val="0"/>
        <cfvo type="num" val="0"/>
        <cfvo type="num" val="1"/>
      </iconSet>
    </cfRule>
  </conditionalFormatting>
  <conditionalFormatting sqref="X388:X393 Z388:AH393">
    <cfRule type="iconSet" priority="776">
      <iconSet iconSet="3Symbols2" showValue="0">
        <cfvo type="percent" val="0"/>
        <cfvo type="num" val="0"/>
        <cfvo type="num" val="1"/>
      </iconSet>
    </cfRule>
  </conditionalFormatting>
  <conditionalFormatting sqref="X547:X552 Z547:AH552">
    <cfRule type="iconSet" priority="551">
      <iconSet iconSet="3Symbols2" showValue="0">
        <cfvo type="percent" val="0"/>
        <cfvo type="num" val="0"/>
        <cfvo type="num" val="1"/>
      </iconSet>
    </cfRule>
  </conditionalFormatting>
  <conditionalFormatting sqref="X555:X560 Z555:AH560">
    <cfRule type="iconSet" priority="528">
      <iconSet iconSet="3Symbols2" showValue="0">
        <cfvo type="percent" val="0"/>
        <cfvo type="num" val="0"/>
        <cfvo type="num" val="1"/>
      </iconSet>
    </cfRule>
  </conditionalFormatting>
  <conditionalFormatting sqref="X563:X568 Z563:AH568">
    <cfRule type="iconSet" priority="505">
      <iconSet iconSet="3Symbols2" showValue="0">
        <cfvo type="percent" val="0"/>
        <cfvo type="num" val="0"/>
        <cfvo type="num" val="1"/>
      </iconSet>
    </cfRule>
  </conditionalFormatting>
  <conditionalFormatting sqref="X571:X576 Z571:AH576">
    <cfRule type="iconSet" priority="482">
      <iconSet iconSet="3Symbols2" showValue="0">
        <cfvo type="percent" val="0"/>
        <cfvo type="num" val="0"/>
        <cfvo type="num" val="1"/>
      </iconSet>
    </cfRule>
  </conditionalFormatting>
  <conditionalFormatting sqref="X579:X584 Z579:AH584">
    <cfRule type="iconSet" priority="459">
      <iconSet iconSet="3Symbols2" showValue="0">
        <cfvo type="percent" val="0"/>
        <cfvo type="num" val="0"/>
        <cfvo type="num" val="1"/>
      </iconSet>
    </cfRule>
  </conditionalFormatting>
  <conditionalFormatting sqref="X587:X592 Z587:AH592">
    <cfRule type="iconSet" priority="436">
      <iconSet iconSet="3Symbols2" showValue="0">
        <cfvo type="percent" val="0"/>
        <cfvo type="num" val="0"/>
        <cfvo type="num" val="1"/>
      </iconSet>
    </cfRule>
  </conditionalFormatting>
  <conditionalFormatting sqref="X595:X600 Z595:AH600">
    <cfRule type="iconSet" priority="413">
      <iconSet iconSet="3Symbols2" showValue="0">
        <cfvo type="percent" val="0"/>
        <cfvo type="num" val="0"/>
        <cfvo type="num" val="1"/>
      </iconSet>
    </cfRule>
  </conditionalFormatting>
  <conditionalFormatting sqref="X605:X608 Z605:AH608">
    <cfRule type="iconSet" priority="1077">
      <iconSet iconSet="3Symbols2" showValue="0">
        <cfvo type="percent" val="0"/>
        <cfvo type="num" val="0"/>
        <cfvo type="num" val="1"/>
      </iconSet>
    </cfRule>
  </conditionalFormatting>
  <conditionalFormatting sqref="X613 Z613:AH613 Z620:AH653 X620:X653">
    <cfRule type="iconSet" priority="129237">
      <iconSet iconSet="3Symbols2" showValue="0">
        <cfvo type="percent" val="0"/>
        <cfvo type="num" val="0"/>
        <cfvo type="num" val="1"/>
      </iconSet>
    </cfRule>
  </conditionalFormatting>
  <conditionalFormatting sqref="X656:X704 Z656:AH704">
    <cfRule type="iconSet" priority="129921">
      <iconSet iconSet="3Symbols2" showValue="0">
        <cfvo type="percent" val="0"/>
        <cfvo type="num" val="0"/>
        <cfvo type="num" val="1"/>
      </iconSet>
    </cfRule>
  </conditionalFormatting>
  <conditionalFormatting sqref="X707:X709 Z707:AH709">
    <cfRule type="iconSet" priority="916">
      <iconSet iconSet="3Symbols2" showValue="0">
        <cfvo type="percent" val="0"/>
        <cfvo type="num" val="0"/>
        <cfvo type="num" val="1"/>
      </iconSet>
    </cfRule>
  </conditionalFormatting>
  <conditionalFormatting sqref="X714:X723 Z714:AH723">
    <cfRule type="iconSet" priority="130604">
      <iconSet iconSet="3Symbols2" showValue="0">
        <cfvo type="percent" val="0"/>
        <cfvo type="num" val="0"/>
        <cfvo type="num" val="1"/>
      </iconSet>
    </cfRule>
  </conditionalFormatting>
  <conditionalFormatting sqref="X726:X750 Z726:AH750">
    <cfRule type="iconSet" priority="131273">
      <iconSet iconSet="3Symbols2" showValue="0">
        <cfvo type="percent" val="0"/>
        <cfvo type="num" val="0"/>
        <cfvo type="num" val="1"/>
      </iconSet>
    </cfRule>
  </conditionalFormatting>
  <conditionalFormatting sqref="X753:X755 Z753:AH755">
    <cfRule type="iconSet" priority="962">
      <iconSet iconSet="3Symbols2" showValue="0">
        <cfvo type="percent" val="0"/>
        <cfvo type="num" val="0"/>
        <cfvo type="num" val="1"/>
      </iconSet>
    </cfRule>
  </conditionalFormatting>
  <conditionalFormatting sqref="X758:X777 Z758:AH777 X779:X780 Z779:AH780">
    <cfRule type="iconSet" priority="133359">
      <iconSet iconSet="3Symbols2" showValue="0">
        <cfvo type="percent" val="0"/>
        <cfvo type="num" val="0"/>
        <cfvo type="num" val="1"/>
      </iconSet>
    </cfRule>
  </conditionalFormatting>
  <conditionalFormatting sqref="Y12:Y31">
    <cfRule type="iconSet" priority="149862">
      <iconSet iconSet="3Symbols2" showValue="0">
        <cfvo type="percent" val="0"/>
        <cfvo type="num" val="0"/>
        <cfvo type="num" val="1"/>
      </iconSet>
    </cfRule>
  </conditionalFormatting>
  <conditionalFormatting sqref="Y34">
    <cfRule type="iconSet" priority="127848">
      <iconSet iconSet="3Symbols2" showValue="0">
        <cfvo type="percent" val="0"/>
        <cfvo type="num" val="0"/>
        <cfvo type="num" val="1"/>
      </iconSet>
    </cfRule>
  </conditionalFormatting>
  <conditionalFormatting sqref="Y37">
    <cfRule type="iconSet" priority="655">
      <iconSet iconSet="3Symbols2" showValue="0">
        <cfvo type="percent" val="0"/>
        <cfvo type="num" val="0"/>
        <cfvo type="num" val="1"/>
      </iconSet>
    </cfRule>
  </conditionalFormatting>
  <conditionalFormatting sqref="Y40:Y41">
    <cfRule type="iconSet" priority="606">
      <iconSet iconSet="3Symbols2" showValue="0">
        <cfvo type="percent" val="0"/>
        <cfvo type="num" val="0"/>
        <cfvo type="num" val="1"/>
      </iconSet>
    </cfRule>
  </conditionalFormatting>
  <conditionalFormatting sqref="Y68:Y73">
    <cfRule type="iconSet" priority="587">
      <iconSet iconSet="3Symbols2" showValue="0">
        <cfvo type="percent" val="0"/>
        <cfvo type="num" val="0"/>
        <cfvo type="num" val="1"/>
      </iconSet>
    </cfRule>
  </conditionalFormatting>
  <conditionalFormatting sqref="Y78:Y181">
    <cfRule type="iconSet" priority="134679">
      <iconSet iconSet="3Symbols2" showValue="0">
        <cfvo type="percent" val="0"/>
        <cfvo type="num" val="0"/>
        <cfvo type="num" val="1"/>
      </iconSet>
    </cfRule>
  </conditionalFormatting>
  <conditionalFormatting sqref="Y184:Y200">
    <cfRule type="iconSet" priority="135251">
      <iconSet iconSet="3Symbols2" showValue="0">
        <cfvo type="percent" val="0"/>
        <cfvo type="num" val="0"/>
        <cfvo type="num" val="1"/>
      </iconSet>
    </cfRule>
  </conditionalFormatting>
  <conditionalFormatting sqref="Y203:Y274">
    <cfRule type="iconSet" priority="135868">
      <iconSet iconSet="3Symbols2" showValue="0">
        <cfvo type="percent" val="0"/>
        <cfvo type="num" val="0"/>
        <cfvo type="num" val="1"/>
      </iconSet>
    </cfRule>
  </conditionalFormatting>
  <conditionalFormatting sqref="Y277:Y282">
    <cfRule type="iconSet" priority="1515">
      <iconSet iconSet="3Symbols2" showValue="0">
        <cfvo type="percent" val="0"/>
        <cfvo type="num" val="0"/>
        <cfvo type="num" val="1"/>
      </iconSet>
    </cfRule>
  </conditionalFormatting>
  <conditionalFormatting sqref="Y347:Y349 Y285">
    <cfRule type="iconSet" priority="1492">
      <iconSet iconSet="3Symbols2" showValue="0">
        <cfvo type="percent" val="0"/>
        <cfvo type="num" val="0"/>
        <cfvo type="num" val="1"/>
      </iconSet>
    </cfRule>
  </conditionalFormatting>
  <conditionalFormatting sqref="Y350:Y354">
    <cfRule type="iconSet" priority="125662">
      <iconSet iconSet="3Symbols2" showValue="0">
        <cfvo type="percent" val="0"/>
        <cfvo type="num" val="0"/>
        <cfvo type="num" val="1"/>
      </iconSet>
    </cfRule>
  </conditionalFormatting>
  <conditionalFormatting sqref="Y355:Y364 Y305:Y307">
    <cfRule type="iconSet" priority="137496">
      <iconSet iconSet="3Symbols2" showValue="0">
        <cfvo type="percent" val="0"/>
        <cfvo type="num" val="0"/>
        <cfvo type="num" val="1"/>
      </iconSet>
    </cfRule>
  </conditionalFormatting>
  <conditionalFormatting sqref="Y365:Y366">
    <cfRule type="iconSet" priority="138024">
      <iconSet iconSet="3Symbols2" showValue="0">
        <cfvo type="percent" val="0"/>
        <cfvo type="num" val="0"/>
        <cfvo type="num" val="1"/>
      </iconSet>
    </cfRule>
  </conditionalFormatting>
  <conditionalFormatting sqref="Y369:Y371">
    <cfRule type="iconSet" priority="1423">
      <iconSet iconSet="3Symbols2" showValue="0">
        <cfvo type="percent" val="0"/>
        <cfvo type="num" val="0"/>
        <cfvo type="num" val="1"/>
      </iconSet>
    </cfRule>
  </conditionalFormatting>
  <conditionalFormatting sqref="Y374:Y376">
    <cfRule type="iconSet" priority="1400">
      <iconSet iconSet="3Symbols2" showValue="0">
        <cfvo type="percent" val="0"/>
        <cfvo type="num" val="0"/>
        <cfvo type="num" val="1"/>
      </iconSet>
    </cfRule>
  </conditionalFormatting>
  <conditionalFormatting sqref="Y379:Y380">
    <cfRule type="iconSet" priority="795">
      <iconSet iconSet="3Symbols2" showValue="0">
        <cfvo type="percent" val="0"/>
        <cfvo type="num" val="0"/>
        <cfvo type="num" val="1"/>
      </iconSet>
    </cfRule>
  </conditionalFormatting>
  <conditionalFormatting sqref="Y381:Y387">
    <cfRule type="iconSet" priority="815">
      <iconSet iconSet="3Symbols2" showValue="0">
        <cfvo type="percent" val="0"/>
        <cfvo type="num" val="0"/>
        <cfvo type="num" val="1"/>
      </iconSet>
    </cfRule>
  </conditionalFormatting>
  <conditionalFormatting sqref="Y388:Y393">
    <cfRule type="iconSet" priority="775">
      <iconSet iconSet="3Symbols2" showValue="0">
        <cfvo type="percent" val="0"/>
        <cfvo type="num" val="0"/>
        <cfvo type="num" val="1"/>
      </iconSet>
    </cfRule>
  </conditionalFormatting>
  <conditionalFormatting sqref="Y547:Y552">
    <cfRule type="iconSet" priority="550">
      <iconSet iconSet="3Symbols2" showValue="0">
        <cfvo type="percent" val="0"/>
        <cfvo type="num" val="0"/>
        <cfvo type="num" val="1"/>
      </iconSet>
    </cfRule>
  </conditionalFormatting>
  <conditionalFormatting sqref="Y555:Y560">
    <cfRule type="iconSet" priority="527">
      <iconSet iconSet="3Symbols2" showValue="0">
        <cfvo type="percent" val="0"/>
        <cfvo type="num" val="0"/>
        <cfvo type="num" val="1"/>
      </iconSet>
    </cfRule>
  </conditionalFormatting>
  <conditionalFormatting sqref="Y563:Y568">
    <cfRule type="iconSet" priority="504">
      <iconSet iconSet="3Symbols2" showValue="0">
        <cfvo type="percent" val="0"/>
        <cfvo type="num" val="0"/>
        <cfvo type="num" val="1"/>
      </iconSet>
    </cfRule>
  </conditionalFormatting>
  <conditionalFormatting sqref="Y571:Y576">
    <cfRule type="iconSet" priority="481">
      <iconSet iconSet="3Symbols2" showValue="0">
        <cfvo type="percent" val="0"/>
        <cfvo type="num" val="0"/>
        <cfvo type="num" val="1"/>
      </iconSet>
    </cfRule>
  </conditionalFormatting>
  <conditionalFormatting sqref="Y579:Y584">
    <cfRule type="iconSet" priority="458">
      <iconSet iconSet="3Symbols2" showValue="0">
        <cfvo type="percent" val="0"/>
        <cfvo type="num" val="0"/>
        <cfvo type="num" val="1"/>
      </iconSet>
    </cfRule>
  </conditionalFormatting>
  <conditionalFormatting sqref="Y587:Y592">
    <cfRule type="iconSet" priority="435">
      <iconSet iconSet="3Symbols2" showValue="0">
        <cfvo type="percent" val="0"/>
        <cfvo type="num" val="0"/>
        <cfvo type="num" val="1"/>
      </iconSet>
    </cfRule>
  </conditionalFormatting>
  <conditionalFormatting sqref="Y595:Y600">
    <cfRule type="iconSet" priority="412">
      <iconSet iconSet="3Symbols2" showValue="0">
        <cfvo type="percent" val="0"/>
        <cfvo type="num" val="0"/>
        <cfvo type="num" val="1"/>
      </iconSet>
    </cfRule>
  </conditionalFormatting>
  <conditionalFormatting sqref="Y605:Y608">
    <cfRule type="iconSet" priority="1078">
      <iconSet iconSet="3Symbols2" showValue="0">
        <cfvo type="percent" val="0"/>
        <cfvo type="num" val="0"/>
        <cfvo type="num" val="1"/>
      </iconSet>
    </cfRule>
  </conditionalFormatting>
  <conditionalFormatting sqref="Y613 Y620:Y653">
    <cfRule type="iconSet" priority="129245">
      <iconSet iconSet="3Symbols2" showValue="0">
        <cfvo type="percent" val="0"/>
        <cfvo type="num" val="0"/>
        <cfvo type="num" val="1"/>
      </iconSet>
    </cfRule>
  </conditionalFormatting>
  <conditionalFormatting sqref="Y656:Y704">
    <cfRule type="iconSet" priority="129928">
      <iconSet iconSet="3Symbols2" showValue="0">
        <cfvo type="percent" val="0"/>
        <cfvo type="num" val="0"/>
        <cfvo type="num" val="1"/>
      </iconSet>
    </cfRule>
  </conditionalFormatting>
  <conditionalFormatting sqref="Y707:Y709">
    <cfRule type="iconSet" priority="917">
      <iconSet iconSet="3Symbols2" showValue="0">
        <cfvo type="percent" val="0"/>
        <cfvo type="num" val="0"/>
        <cfvo type="num" val="1"/>
      </iconSet>
    </cfRule>
  </conditionalFormatting>
  <conditionalFormatting sqref="Y714:Y723">
    <cfRule type="iconSet" priority="130609">
      <iconSet iconSet="3Symbols2" showValue="0">
        <cfvo type="percent" val="0"/>
        <cfvo type="num" val="0"/>
        <cfvo type="num" val="1"/>
      </iconSet>
    </cfRule>
  </conditionalFormatting>
  <conditionalFormatting sqref="Y726:Y750">
    <cfRule type="iconSet" priority="131525">
      <iconSet iconSet="3Symbols2" showValue="0">
        <cfvo type="percent" val="0"/>
        <cfvo type="num" val="0"/>
        <cfvo type="num" val="1"/>
      </iconSet>
    </cfRule>
  </conditionalFormatting>
  <conditionalFormatting sqref="Y753:Y755">
    <cfRule type="iconSet" priority="963">
      <iconSet iconSet="3Symbols2" showValue="0">
        <cfvo type="percent" val="0"/>
        <cfvo type="num" val="0"/>
        <cfvo type="num" val="1"/>
      </iconSet>
    </cfRule>
  </conditionalFormatting>
  <conditionalFormatting sqref="Y758:Y777 Y779:Y780">
    <cfRule type="iconSet" priority="133363">
      <iconSet iconSet="3Symbols2" showValue="0">
        <cfvo type="percent" val="0"/>
        <cfvo type="num" val="0"/>
        <cfvo type="num" val="1"/>
      </iconSet>
    </cfRule>
  </conditionalFormatting>
  <conditionalFormatting sqref="Z76">
    <cfRule type="iconSet" priority="1613">
      <iconSet iconSet="3Symbols2" showValue="0">
        <cfvo type="percent" val="0"/>
        <cfvo type="num" val="0"/>
        <cfvo type="num" val="1"/>
      </iconSet>
    </cfRule>
  </conditionalFormatting>
  <conditionalFormatting sqref="Z5:AC6">
    <cfRule type="iconSet" priority="1901">
      <iconSet iconSet="3Symbols2" showValue="0">
        <cfvo type="percent" val="0"/>
        <cfvo type="num" val="0"/>
        <cfvo type="num" val="1"/>
      </iconSet>
    </cfRule>
  </conditionalFormatting>
  <conditionalFormatting sqref="Z355:AH364 Z305:AH307">
    <cfRule type="iconSet" priority="137492">
      <iconSet iconSet="3Symbols2" showValue="0">
        <cfvo type="percent" val="0"/>
        <cfvo type="num" val="0"/>
        <cfvo type="num" val="1"/>
      </iconSet>
    </cfRule>
  </conditionalFormatting>
  <conditionalFormatting sqref="AA76">
    <cfRule type="iconSet" priority="1612">
      <iconSet iconSet="3Symbols2" showValue="0">
        <cfvo type="percent" val="0"/>
        <cfvo type="num" val="0"/>
        <cfvo type="num" val="1"/>
      </iconSet>
    </cfRule>
  </conditionalFormatting>
  <conditionalFormatting sqref="AA77:AD77 Y77">
    <cfRule type="iconSet" priority="170">
      <iconSet iconSet="3Symbols2" showValue="0">
        <cfvo type="percent" val="0"/>
        <cfvo type="num" val="0"/>
        <cfvo type="num" val="1"/>
      </iconSet>
    </cfRule>
  </conditionalFormatting>
  <conditionalFormatting sqref="AA778:AD778 Y778">
    <cfRule type="iconSet" priority="159">
      <iconSet iconSet="3Symbols2" showValue="0">
        <cfvo type="percent" val="0"/>
        <cfvo type="num" val="0"/>
        <cfvo type="num" val="1"/>
      </iconSet>
    </cfRule>
  </conditionalFormatting>
  <conditionalFormatting sqref="AA781:AD1048576 AA4:AC4 AD3:AD6 Y3:Y6 Y394 AA394:AD394 Y74 AA74:AD74 Y601 AA601:AD601 Y781:Y1048576 Y710 AA710:AD710 AA8:AD11 Y8:Y11 AA32:AD33 Y32:Y33 AA35:AD36 Y35:Y36 AA38:AD39 Y38:Y39 AA182:AD183 Y182:Y183 AA201:AD202 Y201:Y202 AA275:AD276 Y275:Y276 AA283:AD284 Y283:Y284 AA286:AD287 Y286:Y287 AA303:AD304 Y303:Y304 AA367:AD368 Y367:Y368 AA372:AD373 Y372:Y373 AA377:AD378 Y377:Y378 AA396:AD397 Y396:Y397 AA545:AD546 Y545:Y546 AA553:AD554 Y553:Y554 AA561:AD562 Y561:Y562 AA569:AD570 Y569:Y570 AA577:AD578 Y577:Y578 AA585:AD586 Y585:Y586 AA593:AD594 Y593:Y594 AA603:AD604 Y603:Y604 AA611:AD612 Y611:Y612 AA654:AD655 Y654:Y655 AA705:AD706 Y705:Y706 AA712:AD713 Y712:Y713 AA724:AD725 Y724:Y725 AA751:AD752 Y751:Y752 AA756:AD757 Y756:Y757">
    <cfRule type="iconSet" priority="1902">
      <iconSet iconSet="3Symbols2" showValue="0">
        <cfvo type="percent" val="0"/>
        <cfvo type="num" val="0"/>
        <cfvo type="num" val="1"/>
      </iconSet>
    </cfRule>
  </conditionalFormatting>
  <conditionalFormatting sqref="AB76">
    <cfRule type="iconSet" priority="1611">
      <iconSet iconSet="3Symbols2" showValue="0">
        <cfvo type="percent" val="0"/>
        <cfvo type="num" val="0"/>
        <cfvo type="num" val="1"/>
      </iconSet>
    </cfRule>
  </conditionalFormatting>
  <conditionalFormatting sqref="AC76">
    <cfRule type="iconSet" priority="1610">
      <iconSet iconSet="3Symbols2" showValue="0">
        <cfvo type="percent" val="0"/>
        <cfvo type="num" val="0"/>
        <cfvo type="num" val="1"/>
      </iconSet>
    </cfRule>
  </conditionalFormatting>
  <conditionalFormatting sqref="AD76 Y76">
    <cfRule type="iconSet" priority="1614">
      <iconSet iconSet="3Symbols2" showValue="0">
        <cfvo type="percent" val="0"/>
        <cfvo type="num" val="0"/>
        <cfvo type="num" val="1"/>
      </iconSet>
    </cfRule>
  </conditionalFormatting>
  <conditionalFormatting sqref="AE76">
    <cfRule type="iconSet" priority="1609">
      <iconSet iconSet="3Symbols2" showValue="0">
        <cfvo type="percent" val="0"/>
        <cfvo type="num" val="0"/>
        <cfvo type="num" val="1"/>
      </iconSet>
    </cfRule>
  </conditionalFormatting>
  <conditionalFormatting sqref="AE77">
    <cfRule type="iconSet" priority="174">
      <iconSet iconSet="3Symbols2" showValue="0">
        <cfvo type="percent" val="0"/>
        <cfvo type="num" val="0"/>
        <cfvo type="num" val="1"/>
      </iconSet>
    </cfRule>
  </conditionalFormatting>
  <conditionalFormatting sqref="AE778">
    <cfRule type="iconSet" priority="163">
      <iconSet iconSet="3Symbols2" showValue="0">
        <cfvo type="percent" val="0"/>
        <cfvo type="num" val="0"/>
        <cfvo type="num" val="1"/>
      </iconSet>
    </cfRule>
  </conditionalFormatting>
  <conditionalFormatting sqref="AE781:AE1048576 AE4 AE394 AE74 AE601 AE710 AE8:AE11 AE32:AE33 AE35:AE36 AE38:AE39 AE182:AE183 AE201:AE202 AE275:AE276 AE283:AE284 AE286:AE287 AE303:AE304 AE367:AE368 AE372:AE373 AE377:AE378 AE396:AE397 AE545:AE546 AE553:AE554 AE561:AE562 AE569:AE570 AE577:AE578 AE585:AE586 AE593:AE594 AE603:AE604 AE611:AE612 AE654:AE655 AE705:AE706 AE712:AE713 AE724:AE725 AE751:AE752 AE756:AE757">
    <cfRule type="iconSet" priority="1916">
      <iconSet iconSet="3Symbols2" showValue="0">
        <cfvo type="percent" val="0"/>
        <cfvo type="num" val="0"/>
        <cfvo type="num" val="1"/>
      </iconSet>
    </cfRule>
  </conditionalFormatting>
  <conditionalFormatting sqref="AE5:AH6">
    <cfRule type="iconSet" priority="1900">
      <iconSet iconSet="3Symbols2" showValue="0">
        <cfvo type="percent" val="0"/>
        <cfvo type="num" val="0"/>
        <cfvo type="num" val="1"/>
      </iconSet>
    </cfRule>
  </conditionalFormatting>
  <conditionalFormatting sqref="AF76">
    <cfRule type="iconSet" priority="1608">
      <iconSet iconSet="3Symbols2" showValue="0">
        <cfvo type="percent" val="0"/>
        <cfvo type="num" val="0"/>
        <cfvo type="num" val="1"/>
      </iconSet>
    </cfRule>
  </conditionalFormatting>
  <conditionalFormatting sqref="AF77">
    <cfRule type="iconSet" priority="173">
      <iconSet iconSet="3Symbols2" showValue="0">
        <cfvo type="percent" val="0"/>
        <cfvo type="num" val="0"/>
        <cfvo type="num" val="1"/>
      </iconSet>
    </cfRule>
  </conditionalFormatting>
  <conditionalFormatting sqref="AF778">
    <cfRule type="iconSet" priority="162">
      <iconSet iconSet="3Symbols2" showValue="0">
        <cfvo type="percent" val="0"/>
        <cfvo type="num" val="0"/>
        <cfvo type="num" val="1"/>
      </iconSet>
    </cfRule>
  </conditionalFormatting>
  <conditionalFormatting sqref="AF781:AF1048576 AF4 AF394 AF74 AF601 AF710 AF8:AF11 AF32:AF33 AF35:AF36 AF38:AF39 AF182:AF183 AF201:AF202 AF275:AF276 AF283:AF284 AF286:AF287 AF303:AF304 AF367:AF368 AF372:AF373 AF377:AF378 AF396:AF397 AF545:AF546 AF553:AF554 AF561:AF562 AF569:AF570 AF577:AF578 AF585:AF586 AF593:AF594 AF603:AF604 AF611:AF612 AF654:AF655 AF705:AF706 AF712:AF713 AF724:AF725 AF751:AF752 AF756:AF757">
    <cfRule type="iconSet" priority="1915">
      <iconSet iconSet="3Symbols2" showValue="0">
        <cfvo type="percent" val="0"/>
        <cfvo type="num" val="0"/>
        <cfvo type="num" val="1"/>
      </iconSet>
    </cfRule>
  </conditionalFormatting>
  <conditionalFormatting sqref="AG76">
    <cfRule type="iconSet" priority="1607">
      <iconSet iconSet="3Symbols2" showValue="0">
        <cfvo type="percent" val="0"/>
        <cfvo type="num" val="0"/>
        <cfvo type="num" val="1"/>
      </iconSet>
    </cfRule>
  </conditionalFormatting>
  <conditionalFormatting sqref="AG77">
    <cfRule type="iconSet" priority="172">
      <iconSet iconSet="3Symbols2" showValue="0">
        <cfvo type="percent" val="0"/>
        <cfvo type="num" val="0"/>
        <cfvo type="num" val="1"/>
      </iconSet>
    </cfRule>
  </conditionalFormatting>
  <conditionalFormatting sqref="AG778">
    <cfRule type="iconSet" priority="161">
      <iconSet iconSet="3Symbols2" showValue="0">
        <cfvo type="percent" val="0"/>
        <cfvo type="num" val="0"/>
        <cfvo type="num" val="1"/>
      </iconSet>
    </cfRule>
  </conditionalFormatting>
  <conditionalFormatting sqref="AG781:AG1048576 AG4 AG394 AG74 AG601 AG710 AG8:AG11 AG32:AG33 AG35:AG36 AG38:AG39 AG182:AG183 AG201:AG202 AG275:AG276 AG283:AG284 AG286:AG287 AG303:AG304 AG367:AG368 AG372:AG373 AG377:AG378 AG396:AG397 AG545:AG546 AG553:AG554 AG561:AG562 AG569:AG570 AG577:AG578 AG585:AG586 AG593:AG594 AG603:AG604 AG611:AG612 AG654:AG655 AG705:AG706 AG712:AG713 AG724:AG725 AG751:AG752 AG756:AG757">
    <cfRule type="iconSet" priority="1914">
      <iconSet iconSet="3Symbols2" showValue="0">
        <cfvo type="percent" val="0"/>
        <cfvo type="num" val="0"/>
        <cfvo type="num" val="1"/>
      </iconSet>
    </cfRule>
  </conditionalFormatting>
  <conditionalFormatting sqref="AH76">
    <cfRule type="iconSet" priority="1606">
      <iconSet iconSet="3Symbols2" showValue="0">
        <cfvo type="percent" val="0"/>
        <cfvo type="num" val="0"/>
        <cfvo type="num" val="1"/>
      </iconSet>
    </cfRule>
  </conditionalFormatting>
  <conditionalFormatting sqref="AH77">
    <cfRule type="iconSet" priority="171">
      <iconSet iconSet="3Symbols2" showValue="0">
        <cfvo type="percent" val="0"/>
        <cfvo type="num" val="0"/>
        <cfvo type="num" val="1"/>
      </iconSet>
    </cfRule>
  </conditionalFormatting>
  <conditionalFormatting sqref="AH778">
    <cfRule type="iconSet" priority="160">
      <iconSet iconSet="3Symbols2" showValue="0">
        <cfvo type="percent" val="0"/>
        <cfvo type="num" val="0"/>
        <cfvo type="num" val="1"/>
      </iconSet>
    </cfRule>
  </conditionalFormatting>
  <conditionalFormatting sqref="AH781:AH1048576 AH4 AH394 AH74 AH601 AH710 AH8:AH11 AH32:AH33 AH35:AH36 AH38:AH39 AH182:AH183 AH201:AH202 AH275:AH276 AH283:AH284 AH286:AH287 AH303:AH304 AH367:AH368 AH372:AH373 AH377:AH378 AH396:AH397 AH545:AH546 AH553:AH554 AH561:AH562 AH569:AH570 AH577:AH578 AH585:AH586 AH593:AH594 AH603:AH604 AH611:AH612 AH654:AH655 AH705:AH706 AH712:AH713 AH724:AH725 AH751:AH752 AH756:AH757">
    <cfRule type="iconSet" priority="1913">
      <iconSet iconSet="3Symbols2" showValue="0">
        <cfvo type="percent" val="0"/>
        <cfvo type="num" val="0"/>
        <cfvo type="num" val="1"/>
      </iconSet>
    </cfRule>
  </conditionalFormatting>
  <conditionalFormatting sqref="AK12:AK31 AP12:AP31">
    <cfRule type="iconSet" priority="150090">
      <iconSet iconSet="3Symbols2" showValue="0">
        <cfvo type="percent" val="0"/>
        <cfvo type="num" val="0"/>
        <cfvo type="num" val="1"/>
      </iconSet>
    </cfRule>
  </conditionalFormatting>
  <conditionalFormatting sqref="AK34 AP34">
    <cfRule type="iconSet" priority="128251">
      <iconSet iconSet="3Symbols2" showValue="0">
        <cfvo type="percent" val="0"/>
        <cfvo type="num" val="0"/>
        <cfvo type="num" val="1"/>
      </iconSet>
    </cfRule>
  </conditionalFormatting>
  <conditionalFormatting sqref="AK37 AP37">
    <cfRule type="iconSet" priority="652">
      <iconSet iconSet="3Symbols2" showValue="0">
        <cfvo type="percent" val="0"/>
        <cfvo type="num" val="0"/>
        <cfvo type="num" val="1"/>
      </iconSet>
    </cfRule>
  </conditionalFormatting>
  <conditionalFormatting sqref="AK40:AK41 AP40:AP41">
    <cfRule type="iconSet" priority="603">
      <iconSet iconSet="3Symbols2" showValue="0">
        <cfvo type="percent" val="0"/>
        <cfvo type="num" val="0"/>
        <cfvo type="num" val="1"/>
      </iconSet>
    </cfRule>
  </conditionalFormatting>
  <conditionalFormatting sqref="AK68:AK73 AP68:AP73">
    <cfRule type="iconSet" priority="584">
      <iconSet iconSet="3Symbols2" showValue="0">
        <cfvo type="percent" val="0"/>
        <cfvo type="num" val="0"/>
        <cfvo type="num" val="1"/>
      </iconSet>
    </cfRule>
  </conditionalFormatting>
  <conditionalFormatting sqref="AK76 AP76">
    <cfRule type="iconSet" priority="1601">
      <iconSet iconSet="3Symbols2" showValue="0">
        <cfvo type="percent" val="0"/>
        <cfvo type="num" val="0"/>
        <cfvo type="num" val="1"/>
      </iconSet>
    </cfRule>
  </conditionalFormatting>
  <conditionalFormatting sqref="AK77 AM77:AP77">
    <cfRule type="iconSet" priority="165">
      <iconSet iconSet="3Symbols2" showValue="0">
        <cfvo type="percent" val="0"/>
        <cfvo type="num" val="0"/>
        <cfvo type="num" val="1"/>
      </iconSet>
    </cfRule>
  </conditionalFormatting>
  <conditionalFormatting sqref="AK78:AK181 AP78:AP181">
    <cfRule type="iconSet" priority="134895">
      <iconSet iconSet="3Symbols2" showValue="0">
        <cfvo type="percent" val="0"/>
        <cfvo type="num" val="0"/>
        <cfvo type="num" val="1"/>
      </iconSet>
    </cfRule>
  </conditionalFormatting>
  <conditionalFormatting sqref="AK184:AK200 AP184:AP200">
    <cfRule type="iconSet" priority="135467">
      <iconSet iconSet="3Symbols2" showValue="0">
        <cfvo type="percent" val="0"/>
        <cfvo type="num" val="0"/>
        <cfvo type="num" val="1"/>
      </iconSet>
    </cfRule>
  </conditionalFormatting>
  <conditionalFormatting sqref="AK203:AK274 AP203:AP274">
    <cfRule type="iconSet" priority="136081">
      <iconSet iconSet="3Symbols2" showValue="0">
        <cfvo type="percent" val="0"/>
        <cfvo type="num" val="0"/>
        <cfvo type="num" val="1"/>
      </iconSet>
    </cfRule>
  </conditionalFormatting>
  <conditionalFormatting sqref="AK277:AK282 AP277:AP282">
    <cfRule type="iconSet" priority="1509">
      <iconSet iconSet="3Symbols2" showValue="0">
        <cfvo type="percent" val="0"/>
        <cfvo type="num" val="0"/>
        <cfvo type="num" val="1"/>
      </iconSet>
    </cfRule>
  </conditionalFormatting>
  <conditionalFormatting sqref="AK347:AK349 AK285 AP285 AP347:AP349">
    <cfRule type="iconSet" priority="1486">
      <iconSet iconSet="3Symbols2" showValue="0">
        <cfvo type="percent" val="0"/>
        <cfvo type="num" val="0"/>
        <cfvo type="num" val="1"/>
      </iconSet>
    </cfRule>
  </conditionalFormatting>
  <conditionalFormatting sqref="AK350:AK354 AP350:AP354">
    <cfRule type="iconSet" priority="126066">
      <iconSet iconSet="3Symbols2" showValue="0">
        <cfvo type="percent" val="0"/>
        <cfvo type="num" val="0"/>
        <cfvo type="num" val="1"/>
      </iconSet>
    </cfRule>
  </conditionalFormatting>
  <conditionalFormatting sqref="AK355:AK364 AK305:AK307">
    <cfRule type="iconSet" priority="137715">
      <iconSet iconSet="3Symbols2" showValue="0">
        <cfvo type="percent" val="0"/>
        <cfvo type="num" val="0"/>
        <cfvo type="num" val="1"/>
      </iconSet>
    </cfRule>
  </conditionalFormatting>
  <conditionalFormatting sqref="AK365:AK366 AP365:AP366">
    <cfRule type="iconSet" priority="138237">
      <iconSet iconSet="3Symbols2" showValue="0">
        <cfvo type="percent" val="0"/>
        <cfvo type="num" val="0"/>
        <cfvo type="num" val="1"/>
      </iconSet>
    </cfRule>
  </conditionalFormatting>
  <conditionalFormatting sqref="AK369:AK371 AP369:AP371">
    <cfRule type="iconSet" priority="1417">
      <iconSet iconSet="3Symbols2" showValue="0">
        <cfvo type="percent" val="0"/>
        <cfvo type="num" val="0"/>
        <cfvo type="num" val="1"/>
      </iconSet>
    </cfRule>
  </conditionalFormatting>
  <conditionalFormatting sqref="AK374:AK376 AP374:AP376">
    <cfRule type="iconSet" priority="1394">
      <iconSet iconSet="3Symbols2" showValue="0">
        <cfvo type="percent" val="0"/>
        <cfvo type="num" val="0"/>
        <cfvo type="num" val="1"/>
      </iconSet>
    </cfRule>
  </conditionalFormatting>
  <conditionalFormatting sqref="AK379:AK380 AP379:AP380">
    <cfRule type="iconSet" priority="792">
      <iconSet iconSet="3Symbols2" showValue="0">
        <cfvo type="percent" val="0"/>
        <cfvo type="num" val="0"/>
        <cfvo type="num" val="1"/>
      </iconSet>
    </cfRule>
  </conditionalFormatting>
  <conditionalFormatting sqref="AK381:AK387 AP381:AP387">
    <cfRule type="iconSet" priority="812">
      <iconSet iconSet="3Symbols2" showValue="0">
        <cfvo type="percent" val="0"/>
        <cfvo type="num" val="0"/>
        <cfvo type="num" val="1"/>
      </iconSet>
    </cfRule>
  </conditionalFormatting>
  <conditionalFormatting sqref="AK388:AK393 AP388:AP393">
    <cfRule type="iconSet" priority="772">
      <iconSet iconSet="3Symbols2" showValue="0">
        <cfvo type="percent" val="0"/>
        <cfvo type="num" val="0"/>
        <cfvo type="num" val="1"/>
      </iconSet>
    </cfRule>
  </conditionalFormatting>
  <conditionalFormatting sqref="AK547:AK552 AP547:AP552">
    <cfRule type="iconSet" priority="547">
      <iconSet iconSet="3Symbols2" showValue="0">
        <cfvo type="percent" val="0"/>
        <cfvo type="num" val="0"/>
        <cfvo type="num" val="1"/>
      </iconSet>
    </cfRule>
  </conditionalFormatting>
  <conditionalFormatting sqref="AK555:AK560 AP555:AP560">
    <cfRule type="iconSet" priority="524">
      <iconSet iconSet="3Symbols2" showValue="0">
        <cfvo type="percent" val="0"/>
        <cfvo type="num" val="0"/>
        <cfvo type="num" val="1"/>
      </iconSet>
    </cfRule>
  </conditionalFormatting>
  <conditionalFormatting sqref="AK563:AK568 AP563:AP568">
    <cfRule type="iconSet" priority="501">
      <iconSet iconSet="3Symbols2" showValue="0">
        <cfvo type="percent" val="0"/>
        <cfvo type="num" val="0"/>
        <cfvo type="num" val="1"/>
      </iconSet>
    </cfRule>
  </conditionalFormatting>
  <conditionalFormatting sqref="AK571:AK576 AP571:AP576">
    <cfRule type="iconSet" priority="478">
      <iconSet iconSet="3Symbols2" showValue="0">
        <cfvo type="percent" val="0"/>
        <cfvo type="num" val="0"/>
        <cfvo type="num" val="1"/>
      </iconSet>
    </cfRule>
  </conditionalFormatting>
  <conditionalFormatting sqref="AK579:AK584 AP579:AP584">
    <cfRule type="iconSet" priority="455">
      <iconSet iconSet="3Symbols2" showValue="0">
        <cfvo type="percent" val="0"/>
        <cfvo type="num" val="0"/>
        <cfvo type="num" val="1"/>
      </iconSet>
    </cfRule>
  </conditionalFormatting>
  <conditionalFormatting sqref="AK587:AK592 AP587:AP592">
    <cfRule type="iconSet" priority="432">
      <iconSet iconSet="3Symbols2" showValue="0">
        <cfvo type="percent" val="0"/>
        <cfvo type="num" val="0"/>
        <cfvo type="num" val="1"/>
      </iconSet>
    </cfRule>
  </conditionalFormatting>
  <conditionalFormatting sqref="AK595:AK600 AP595:AP600">
    <cfRule type="iconSet" priority="409">
      <iconSet iconSet="3Symbols2" showValue="0">
        <cfvo type="percent" val="0"/>
        <cfvo type="num" val="0"/>
        <cfvo type="num" val="1"/>
      </iconSet>
    </cfRule>
  </conditionalFormatting>
  <conditionalFormatting sqref="AK605:AK608 AP605:AP608">
    <cfRule type="iconSet" priority="1072">
      <iconSet iconSet="3Symbols2" showValue="0">
        <cfvo type="percent" val="0"/>
        <cfvo type="num" val="0"/>
        <cfvo type="num" val="1"/>
      </iconSet>
    </cfRule>
  </conditionalFormatting>
  <conditionalFormatting sqref="AK613 AP613 AP620:AP653 AK620:AK653">
    <cfRule type="iconSet" priority="129648">
      <iconSet iconSet="3Symbols2" showValue="0">
        <cfvo type="percent" val="0"/>
        <cfvo type="num" val="0"/>
        <cfvo type="num" val="1"/>
      </iconSet>
    </cfRule>
  </conditionalFormatting>
  <conditionalFormatting sqref="AK656:AK704 AP656:AP704">
    <cfRule type="iconSet" priority="130331">
      <iconSet iconSet="3Symbols2" showValue="0">
        <cfvo type="percent" val="0"/>
        <cfvo type="num" val="0"/>
        <cfvo type="num" val="1"/>
      </iconSet>
    </cfRule>
  </conditionalFormatting>
  <conditionalFormatting sqref="AK707:AK709 AP707:AP709">
    <cfRule type="iconSet" priority="911">
      <iconSet iconSet="3Symbols2" showValue="0">
        <cfvo type="percent" val="0"/>
        <cfvo type="num" val="0"/>
        <cfvo type="num" val="1"/>
      </iconSet>
    </cfRule>
  </conditionalFormatting>
  <conditionalFormatting sqref="AK714:AK723 AP714:AP723">
    <cfRule type="iconSet" priority="131012">
      <iconSet iconSet="3Symbols2" showValue="0">
        <cfvo type="percent" val="0"/>
        <cfvo type="num" val="0"/>
        <cfvo type="num" val="1"/>
      </iconSet>
    </cfRule>
  </conditionalFormatting>
  <conditionalFormatting sqref="AK726:AK750 AP726:AP750">
    <cfRule type="iconSet" priority="131680">
      <iconSet iconSet="3Symbols2" showValue="0">
        <cfvo type="percent" val="0"/>
        <cfvo type="num" val="0"/>
        <cfvo type="num" val="1"/>
      </iconSet>
    </cfRule>
  </conditionalFormatting>
  <conditionalFormatting sqref="AK753:AK755 AP753:AP755">
    <cfRule type="iconSet" priority="957">
      <iconSet iconSet="3Symbols2" showValue="0">
        <cfvo type="percent" val="0"/>
        <cfvo type="num" val="0"/>
        <cfvo type="num" val="1"/>
      </iconSet>
    </cfRule>
  </conditionalFormatting>
  <conditionalFormatting sqref="AK758:AK777 AP758:AP777 AK779:AK780 AP779:AP780">
    <cfRule type="iconSet" priority="133369">
      <iconSet iconSet="3Symbols2" showValue="0">
        <cfvo type="percent" val="0"/>
        <cfvo type="num" val="0"/>
        <cfvo type="num" val="1"/>
      </iconSet>
    </cfRule>
  </conditionalFormatting>
  <conditionalFormatting sqref="AK778 AM778:AP778">
    <cfRule type="iconSet" priority="154">
      <iconSet iconSet="3Symbols2" showValue="0">
        <cfvo type="percent" val="0"/>
        <cfvo type="num" val="0"/>
        <cfvo type="num" val="1"/>
      </iconSet>
    </cfRule>
  </conditionalFormatting>
  <conditionalFormatting sqref="AK781:AK1048576 AM4:AO4 AP3:AP6 AK3:AK6 AM394:AP394 AK394 AM74:AP74 AK74 AM601:AP601 AK601 AM781:AP1048576 AM710:AP710 AK710 AK8:AK11 AM8:AP11 AK32:AK33 AM32:AP33 AK35:AK36 AM35:AP36 AK38:AK39 AM38:AP39 AK182:AK183 AM182:AP183 AK201:AK202 AM201:AP202 AK275:AK276 AM275:AP276 AK283:AK284 AM283:AP284 AK286:AK287 AM286:AP287 AK303:AK304 AM303:AP304 AK367:AK368 AM367:AP368 AK372:AK373 AM372:AP373 AK377:AK378 AM377:AP378 AK396:AK397 AM396:AP397 AK545:AK546 AM545:AP546 AK553:AK554 AM553:AP554 AK561:AK562 AM561:AP562 AK569:AK570 AM569:AP570 AK577:AK578 AM577:AP578 AK585:AK586 AM585:AP586 AK593:AK594 AM593:AP594 AK603:AK604 AM603:AP604 AK611:AK612 AM611:AP612 AK654:AK655 AM654:AP655 AK705:AK706 AM705:AP706 AK712:AK713 AM712:AP713 AK724:AK725 AM724:AP725 AK751:AK752 AM751:AP752 AK756:AK757 AM756:AP757">
    <cfRule type="iconSet" priority="1820">
      <iconSet iconSet="3Symbols2" showValue="0">
        <cfvo type="percent" val="0"/>
        <cfvo type="num" val="0"/>
        <cfvo type="num" val="1"/>
      </iconSet>
    </cfRule>
  </conditionalFormatting>
  <conditionalFormatting sqref="AL12:AL31">
    <cfRule type="iconSet" priority="150208">
      <iconSet iconSet="3Symbols2" showValue="0">
        <cfvo type="percent" val="0"/>
        <cfvo type="num" val="0"/>
        <cfvo type="num" val="1"/>
      </iconSet>
    </cfRule>
  </conditionalFormatting>
  <conditionalFormatting sqref="AL34">
    <cfRule type="iconSet" priority="128270">
      <iconSet iconSet="3Symbols2" showValue="0">
        <cfvo type="percent" val="0"/>
        <cfvo type="num" val="0"/>
        <cfvo type="num" val="1"/>
      </iconSet>
    </cfRule>
  </conditionalFormatting>
  <conditionalFormatting sqref="AL37">
    <cfRule type="iconSet" priority="651">
      <iconSet iconSet="3Symbols2" showValue="0">
        <cfvo type="percent" val="0"/>
        <cfvo type="num" val="0"/>
        <cfvo type="num" val="1"/>
      </iconSet>
    </cfRule>
  </conditionalFormatting>
  <conditionalFormatting sqref="AL40:AL41">
    <cfRule type="iconSet" priority="602">
      <iconSet iconSet="3Symbols2" showValue="0">
        <cfvo type="percent" val="0"/>
        <cfvo type="num" val="0"/>
        <cfvo type="num" val="1"/>
      </iconSet>
    </cfRule>
  </conditionalFormatting>
  <conditionalFormatting sqref="AL68:AL73">
    <cfRule type="iconSet" priority="583">
      <iconSet iconSet="3Symbols2" showValue="0">
        <cfvo type="percent" val="0"/>
        <cfvo type="num" val="0"/>
        <cfvo type="num" val="1"/>
      </iconSet>
    </cfRule>
  </conditionalFormatting>
  <conditionalFormatting sqref="AL76">
    <cfRule type="iconSet" priority="1603">
      <iconSet iconSet="3Symbols2" showValue="0">
        <cfvo type="percent" val="0"/>
        <cfvo type="num" val="0"/>
        <cfvo type="num" val="1"/>
      </iconSet>
    </cfRule>
  </conditionalFormatting>
  <conditionalFormatting sqref="AL78:AL181">
    <cfRule type="iconSet" priority="135001">
      <iconSet iconSet="3Symbols2" showValue="0">
        <cfvo type="percent" val="0"/>
        <cfvo type="num" val="0"/>
        <cfvo type="num" val="1"/>
      </iconSet>
    </cfRule>
  </conditionalFormatting>
  <conditionalFormatting sqref="AL184:AL200">
    <cfRule type="iconSet" priority="135572">
      <iconSet iconSet="3Symbols2" showValue="0">
        <cfvo type="percent" val="0"/>
        <cfvo type="num" val="0"/>
        <cfvo type="num" val="1"/>
      </iconSet>
    </cfRule>
  </conditionalFormatting>
  <conditionalFormatting sqref="AL203:AL274">
    <cfRule type="iconSet" priority="136182">
      <iconSet iconSet="3Symbols2" showValue="0">
        <cfvo type="percent" val="0"/>
        <cfvo type="num" val="0"/>
        <cfvo type="num" val="1"/>
      </iconSet>
    </cfRule>
  </conditionalFormatting>
  <conditionalFormatting sqref="AL277:AL282">
    <cfRule type="iconSet" priority="1511">
      <iconSet iconSet="3Symbols2" showValue="0">
        <cfvo type="percent" val="0"/>
        <cfvo type="num" val="0"/>
        <cfvo type="num" val="1"/>
      </iconSet>
    </cfRule>
  </conditionalFormatting>
  <conditionalFormatting sqref="AL347:AL349 AL285">
    <cfRule type="iconSet" priority="1488">
      <iconSet iconSet="3Symbols2" showValue="0">
        <cfvo type="percent" val="0"/>
        <cfvo type="num" val="0"/>
        <cfvo type="num" val="1"/>
      </iconSet>
    </cfRule>
  </conditionalFormatting>
  <conditionalFormatting sqref="AL350:AL354">
    <cfRule type="iconSet" priority="126091">
      <iconSet iconSet="3Symbols2" showValue="0">
        <cfvo type="percent" val="0"/>
        <cfvo type="num" val="0"/>
        <cfvo type="num" val="1"/>
      </iconSet>
    </cfRule>
  </conditionalFormatting>
  <conditionalFormatting sqref="AL355:AL364 AL305:AL307">
    <cfRule type="iconSet" priority="137788">
      <iconSet iconSet="3Symbols2" showValue="0">
        <cfvo type="percent" val="0"/>
        <cfvo type="num" val="0"/>
        <cfvo type="num" val="1"/>
      </iconSet>
    </cfRule>
  </conditionalFormatting>
  <conditionalFormatting sqref="AL365:AL366">
    <cfRule type="iconSet" priority="138332">
      <iconSet iconSet="3Symbols2" showValue="0">
        <cfvo type="percent" val="0"/>
        <cfvo type="num" val="0"/>
        <cfvo type="num" val="1"/>
      </iconSet>
    </cfRule>
  </conditionalFormatting>
  <conditionalFormatting sqref="AL369:AL371">
    <cfRule type="iconSet" priority="1419">
      <iconSet iconSet="3Symbols2" showValue="0">
        <cfvo type="percent" val="0"/>
        <cfvo type="num" val="0"/>
        <cfvo type="num" val="1"/>
      </iconSet>
    </cfRule>
  </conditionalFormatting>
  <conditionalFormatting sqref="AL374:AL376">
    <cfRule type="iconSet" priority="1396">
      <iconSet iconSet="3Symbols2" showValue="0">
        <cfvo type="percent" val="0"/>
        <cfvo type="num" val="0"/>
        <cfvo type="num" val="1"/>
      </iconSet>
    </cfRule>
  </conditionalFormatting>
  <conditionalFormatting sqref="AL379:AL380">
    <cfRule type="iconSet" priority="791">
      <iconSet iconSet="3Symbols2" showValue="0">
        <cfvo type="percent" val="0"/>
        <cfvo type="num" val="0"/>
        <cfvo type="num" val="1"/>
      </iconSet>
    </cfRule>
  </conditionalFormatting>
  <conditionalFormatting sqref="AL381:AL387">
    <cfRule type="iconSet" priority="811">
      <iconSet iconSet="3Symbols2" showValue="0">
        <cfvo type="percent" val="0"/>
        <cfvo type="num" val="0"/>
        <cfvo type="num" val="1"/>
      </iconSet>
    </cfRule>
  </conditionalFormatting>
  <conditionalFormatting sqref="AL388:AL393">
    <cfRule type="iconSet" priority="771">
      <iconSet iconSet="3Symbols2" showValue="0">
        <cfvo type="percent" val="0"/>
        <cfvo type="num" val="0"/>
        <cfvo type="num" val="1"/>
      </iconSet>
    </cfRule>
  </conditionalFormatting>
  <conditionalFormatting sqref="AL547:AL552">
    <cfRule type="iconSet" priority="546">
      <iconSet iconSet="3Symbols2" showValue="0">
        <cfvo type="percent" val="0"/>
        <cfvo type="num" val="0"/>
        <cfvo type="num" val="1"/>
      </iconSet>
    </cfRule>
  </conditionalFormatting>
  <conditionalFormatting sqref="AL555:AL560">
    <cfRule type="iconSet" priority="523">
      <iconSet iconSet="3Symbols2" showValue="0">
        <cfvo type="percent" val="0"/>
        <cfvo type="num" val="0"/>
        <cfvo type="num" val="1"/>
      </iconSet>
    </cfRule>
  </conditionalFormatting>
  <conditionalFormatting sqref="AL563:AL568">
    <cfRule type="iconSet" priority="500">
      <iconSet iconSet="3Symbols2" showValue="0">
        <cfvo type="percent" val="0"/>
        <cfvo type="num" val="0"/>
        <cfvo type="num" val="1"/>
      </iconSet>
    </cfRule>
  </conditionalFormatting>
  <conditionalFormatting sqref="AL571:AL576">
    <cfRule type="iconSet" priority="477">
      <iconSet iconSet="3Symbols2" showValue="0">
        <cfvo type="percent" val="0"/>
        <cfvo type="num" val="0"/>
        <cfvo type="num" val="1"/>
      </iconSet>
    </cfRule>
  </conditionalFormatting>
  <conditionalFormatting sqref="AL579:AL584">
    <cfRule type="iconSet" priority="454">
      <iconSet iconSet="3Symbols2" showValue="0">
        <cfvo type="percent" val="0"/>
        <cfvo type="num" val="0"/>
        <cfvo type="num" val="1"/>
      </iconSet>
    </cfRule>
  </conditionalFormatting>
  <conditionalFormatting sqref="AL587:AL592">
    <cfRule type="iconSet" priority="431">
      <iconSet iconSet="3Symbols2" showValue="0">
        <cfvo type="percent" val="0"/>
        <cfvo type="num" val="0"/>
        <cfvo type="num" val="1"/>
      </iconSet>
    </cfRule>
  </conditionalFormatting>
  <conditionalFormatting sqref="AL595:AL600">
    <cfRule type="iconSet" priority="408">
      <iconSet iconSet="3Symbols2" showValue="0">
        <cfvo type="percent" val="0"/>
        <cfvo type="num" val="0"/>
        <cfvo type="num" val="1"/>
      </iconSet>
    </cfRule>
  </conditionalFormatting>
  <conditionalFormatting sqref="AL605:AL608">
    <cfRule type="iconSet" priority="1074">
      <iconSet iconSet="3Symbols2" showValue="0">
        <cfvo type="percent" val="0"/>
        <cfvo type="num" val="0"/>
        <cfvo type="num" val="1"/>
      </iconSet>
    </cfRule>
  </conditionalFormatting>
  <conditionalFormatting sqref="AL613 AL620:AL653">
    <cfRule type="iconSet" priority="129656">
      <iconSet iconSet="3Symbols2" showValue="0">
        <cfvo type="percent" val="0"/>
        <cfvo type="num" val="0"/>
        <cfvo type="num" val="1"/>
      </iconSet>
    </cfRule>
  </conditionalFormatting>
  <conditionalFormatting sqref="AL656:AL704">
    <cfRule type="iconSet" priority="130338">
      <iconSet iconSet="3Symbols2" showValue="0">
        <cfvo type="percent" val="0"/>
        <cfvo type="num" val="0"/>
        <cfvo type="num" val="1"/>
      </iconSet>
    </cfRule>
  </conditionalFormatting>
  <conditionalFormatting sqref="AL707:AL709">
    <cfRule type="iconSet" priority="913">
      <iconSet iconSet="3Symbols2" showValue="0">
        <cfvo type="percent" val="0"/>
        <cfvo type="num" val="0"/>
        <cfvo type="num" val="1"/>
      </iconSet>
    </cfRule>
  </conditionalFormatting>
  <conditionalFormatting sqref="AL714:AL723">
    <cfRule type="iconSet" priority="131017">
      <iconSet iconSet="3Symbols2" showValue="0">
        <cfvo type="percent" val="0"/>
        <cfvo type="num" val="0"/>
        <cfvo type="num" val="1"/>
      </iconSet>
    </cfRule>
  </conditionalFormatting>
  <conditionalFormatting sqref="AL726:AL750">
    <cfRule type="iconSet" priority="131684">
      <iconSet iconSet="3Symbols2" showValue="0">
        <cfvo type="percent" val="0"/>
        <cfvo type="num" val="0"/>
        <cfvo type="num" val="1"/>
      </iconSet>
    </cfRule>
  </conditionalFormatting>
  <conditionalFormatting sqref="AL753:AL755">
    <cfRule type="iconSet" priority="959">
      <iconSet iconSet="3Symbols2" showValue="0">
        <cfvo type="percent" val="0"/>
        <cfvo type="num" val="0"/>
        <cfvo type="num" val="1"/>
      </iconSet>
    </cfRule>
  </conditionalFormatting>
  <conditionalFormatting sqref="AL758:AL777 AL779:AL780">
    <cfRule type="iconSet" priority="133373">
      <iconSet iconSet="3Symbols2" showValue="0">
        <cfvo type="percent" val="0"/>
        <cfvo type="num" val="0"/>
        <cfvo type="num" val="1"/>
      </iconSet>
    </cfRule>
  </conditionalFormatting>
  <conditionalFormatting sqref="AL5:AO6">
    <cfRule type="iconSet" priority="1819">
      <iconSet iconSet="3Symbols2" showValue="0">
        <cfvo type="percent" val="0"/>
        <cfvo type="num" val="0"/>
        <cfvo type="num" val="1"/>
      </iconSet>
    </cfRule>
  </conditionalFormatting>
  <conditionalFormatting sqref="AM12:AM31">
    <cfRule type="iconSet" priority="150214">
      <iconSet iconSet="3Symbols2" showValue="0">
        <cfvo type="percent" val="0"/>
        <cfvo type="num" val="0"/>
        <cfvo type="num" val="1"/>
      </iconSet>
    </cfRule>
  </conditionalFormatting>
  <conditionalFormatting sqref="AM34">
    <cfRule type="iconSet" priority="128271">
      <iconSet iconSet="3Symbols2" showValue="0">
        <cfvo type="percent" val="0"/>
        <cfvo type="num" val="0"/>
        <cfvo type="num" val="1"/>
      </iconSet>
    </cfRule>
  </conditionalFormatting>
  <conditionalFormatting sqref="AM37">
    <cfRule type="iconSet" priority="650">
      <iconSet iconSet="3Symbols2" showValue="0">
        <cfvo type="percent" val="0"/>
        <cfvo type="num" val="0"/>
        <cfvo type="num" val="1"/>
      </iconSet>
    </cfRule>
  </conditionalFormatting>
  <conditionalFormatting sqref="AM40:AM41">
    <cfRule type="iconSet" priority="601">
      <iconSet iconSet="3Symbols2" showValue="0">
        <cfvo type="percent" val="0"/>
        <cfvo type="num" val="0"/>
        <cfvo type="num" val="1"/>
      </iconSet>
    </cfRule>
  </conditionalFormatting>
  <conditionalFormatting sqref="AM68:AM73">
    <cfRule type="iconSet" priority="582">
      <iconSet iconSet="3Symbols2" showValue="0">
        <cfvo type="percent" val="0"/>
        <cfvo type="num" val="0"/>
        <cfvo type="num" val="1"/>
      </iconSet>
    </cfRule>
  </conditionalFormatting>
  <conditionalFormatting sqref="AM76">
    <cfRule type="iconSet" priority="1602">
      <iconSet iconSet="3Symbols2" showValue="0">
        <cfvo type="percent" val="0"/>
        <cfvo type="num" val="0"/>
        <cfvo type="num" val="1"/>
      </iconSet>
    </cfRule>
  </conditionalFormatting>
  <conditionalFormatting sqref="AM78:AM181">
    <cfRule type="iconSet" priority="135004">
      <iconSet iconSet="3Symbols2" showValue="0">
        <cfvo type="percent" val="0"/>
        <cfvo type="num" val="0"/>
        <cfvo type="num" val="1"/>
      </iconSet>
    </cfRule>
  </conditionalFormatting>
  <conditionalFormatting sqref="AM184:AM200">
    <cfRule type="iconSet" priority="135575">
      <iconSet iconSet="3Symbols2" showValue="0">
        <cfvo type="percent" val="0"/>
        <cfvo type="num" val="0"/>
        <cfvo type="num" val="1"/>
      </iconSet>
    </cfRule>
  </conditionalFormatting>
  <conditionalFormatting sqref="AM203:AM274">
    <cfRule type="iconSet" priority="136184">
      <iconSet iconSet="3Symbols2" showValue="0">
        <cfvo type="percent" val="0"/>
        <cfvo type="num" val="0"/>
        <cfvo type="num" val="1"/>
      </iconSet>
    </cfRule>
  </conditionalFormatting>
  <conditionalFormatting sqref="AM277:AM282">
    <cfRule type="iconSet" priority="1510">
      <iconSet iconSet="3Symbols2" showValue="0">
        <cfvo type="percent" val="0"/>
        <cfvo type="num" val="0"/>
        <cfvo type="num" val="1"/>
      </iconSet>
    </cfRule>
  </conditionalFormatting>
  <conditionalFormatting sqref="AM347:AM349 AM285">
    <cfRule type="iconSet" priority="1487">
      <iconSet iconSet="3Symbols2" showValue="0">
        <cfvo type="percent" val="0"/>
        <cfvo type="num" val="0"/>
        <cfvo type="num" val="1"/>
      </iconSet>
    </cfRule>
  </conditionalFormatting>
  <conditionalFormatting sqref="AM350:AM354">
    <cfRule type="iconSet" priority="126092">
      <iconSet iconSet="3Symbols2" showValue="0">
        <cfvo type="percent" val="0"/>
        <cfvo type="num" val="0"/>
        <cfvo type="num" val="1"/>
      </iconSet>
    </cfRule>
  </conditionalFormatting>
  <conditionalFormatting sqref="AM355:AM364 AM305:AM307">
    <cfRule type="iconSet" priority="137790">
      <iconSet iconSet="3Symbols2" showValue="0">
        <cfvo type="percent" val="0"/>
        <cfvo type="num" val="0"/>
        <cfvo type="num" val="1"/>
      </iconSet>
    </cfRule>
  </conditionalFormatting>
  <conditionalFormatting sqref="AM365:AM366">
    <cfRule type="iconSet" priority="138334">
      <iconSet iconSet="3Symbols2" showValue="0">
        <cfvo type="percent" val="0"/>
        <cfvo type="num" val="0"/>
        <cfvo type="num" val="1"/>
      </iconSet>
    </cfRule>
  </conditionalFormatting>
  <conditionalFormatting sqref="AM369:AM371">
    <cfRule type="iconSet" priority="1418">
      <iconSet iconSet="3Symbols2" showValue="0">
        <cfvo type="percent" val="0"/>
        <cfvo type="num" val="0"/>
        <cfvo type="num" val="1"/>
      </iconSet>
    </cfRule>
  </conditionalFormatting>
  <conditionalFormatting sqref="AM374:AM376">
    <cfRule type="iconSet" priority="1395">
      <iconSet iconSet="3Symbols2" showValue="0">
        <cfvo type="percent" val="0"/>
        <cfvo type="num" val="0"/>
        <cfvo type="num" val="1"/>
      </iconSet>
    </cfRule>
  </conditionalFormatting>
  <conditionalFormatting sqref="AM379:AM380">
    <cfRule type="iconSet" priority="790">
      <iconSet iconSet="3Symbols2" showValue="0">
        <cfvo type="percent" val="0"/>
        <cfvo type="num" val="0"/>
        <cfvo type="num" val="1"/>
      </iconSet>
    </cfRule>
  </conditionalFormatting>
  <conditionalFormatting sqref="AM381:AM387">
    <cfRule type="iconSet" priority="810">
      <iconSet iconSet="3Symbols2" showValue="0">
        <cfvo type="percent" val="0"/>
        <cfvo type="num" val="0"/>
        <cfvo type="num" val="1"/>
      </iconSet>
    </cfRule>
  </conditionalFormatting>
  <conditionalFormatting sqref="AM388:AM393">
    <cfRule type="iconSet" priority="770">
      <iconSet iconSet="3Symbols2" showValue="0">
        <cfvo type="percent" val="0"/>
        <cfvo type="num" val="0"/>
        <cfvo type="num" val="1"/>
      </iconSet>
    </cfRule>
  </conditionalFormatting>
  <conditionalFormatting sqref="AM547:AM552">
    <cfRule type="iconSet" priority="545">
      <iconSet iconSet="3Symbols2" showValue="0">
        <cfvo type="percent" val="0"/>
        <cfvo type="num" val="0"/>
        <cfvo type="num" val="1"/>
      </iconSet>
    </cfRule>
  </conditionalFormatting>
  <conditionalFormatting sqref="AM555:AM560">
    <cfRule type="iconSet" priority="522">
      <iconSet iconSet="3Symbols2" showValue="0">
        <cfvo type="percent" val="0"/>
        <cfvo type="num" val="0"/>
        <cfvo type="num" val="1"/>
      </iconSet>
    </cfRule>
  </conditionalFormatting>
  <conditionalFormatting sqref="AM563:AM568">
    <cfRule type="iconSet" priority="499">
      <iconSet iconSet="3Symbols2" showValue="0">
        <cfvo type="percent" val="0"/>
        <cfvo type="num" val="0"/>
        <cfvo type="num" val="1"/>
      </iconSet>
    </cfRule>
  </conditionalFormatting>
  <conditionalFormatting sqref="AM571:AM576">
    <cfRule type="iconSet" priority="476">
      <iconSet iconSet="3Symbols2" showValue="0">
        <cfvo type="percent" val="0"/>
        <cfvo type="num" val="0"/>
        <cfvo type="num" val="1"/>
      </iconSet>
    </cfRule>
  </conditionalFormatting>
  <conditionalFormatting sqref="AM579:AM584">
    <cfRule type="iconSet" priority="453">
      <iconSet iconSet="3Symbols2" showValue="0">
        <cfvo type="percent" val="0"/>
        <cfvo type="num" val="0"/>
        <cfvo type="num" val="1"/>
      </iconSet>
    </cfRule>
  </conditionalFormatting>
  <conditionalFormatting sqref="AM587:AM592">
    <cfRule type="iconSet" priority="430">
      <iconSet iconSet="3Symbols2" showValue="0">
        <cfvo type="percent" val="0"/>
        <cfvo type="num" val="0"/>
        <cfvo type="num" val="1"/>
      </iconSet>
    </cfRule>
  </conditionalFormatting>
  <conditionalFormatting sqref="AM595:AM600">
    <cfRule type="iconSet" priority="407">
      <iconSet iconSet="3Symbols2" showValue="0">
        <cfvo type="percent" val="0"/>
        <cfvo type="num" val="0"/>
        <cfvo type="num" val="1"/>
      </iconSet>
    </cfRule>
  </conditionalFormatting>
  <conditionalFormatting sqref="AM605:AM608">
    <cfRule type="iconSet" priority="1073">
      <iconSet iconSet="3Symbols2" showValue="0">
        <cfvo type="percent" val="0"/>
        <cfvo type="num" val="0"/>
        <cfvo type="num" val="1"/>
      </iconSet>
    </cfRule>
  </conditionalFormatting>
  <conditionalFormatting sqref="AM613 AM620:AM653">
    <cfRule type="iconSet" priority="129657">
      <iconSet iconSet="3Symbols2" showValue="0">
        <cfvo type="percent" val="0"/>
        <cfvo type="num" val="0"/>
        <cfvo type="num" val="1"/>
      </iconSet>
    </cfRule>
  </conditionalFormatting>
  <conditionalFormatting sqref="AM656:AM704">
    <cfRule type="iconSet" priority="130339">
      <iconSet iconSet="3Symbols2" showValue="0">
        <cfvo type="percent" val="0"/>
        <cfvo type="num" val="0"/>
        <cfvo type="num" val="1"/>
      </iconSet>
    </cfRule>
  </conditionalFormatting>
  <conditionalFormatting sqref="AM707:AM709">
    <cfRule type="iconSet" priority="912">
      <iconSet iconSet="3Symbols2" showValue="0">
        <cfvo type="percent" val="0"/>
        <cfvo type="num" val="0"/>
        <cfvo type="num" val="1"/>
      </iconSet>
    </cfRule>
  </conditionalFormatting>
  <conditionalFormatting sqref="AM714:AM723">
    <cfRule type="iconSet" priority="131018">
      <iconSet iconSet="3Symbols2" showValue="0">
        <cfvo type="percent" val="0"/>
        <cfvo type="num" val="0"/>
        <cfvo type="num" val="1"/>
      </iconSet>
    </cfRule>
  </conditionalFormatting>
  <conditionalFormatting sqref="AM726:AM750">
    <cfRule type="iconSet" priority="131685">
      <iconSet iconSet="3Symbols2" showValue="0">
        <cfvo type="percent" val="0"/>
        <cfvo type="num" val="0"/>
        <cfvo type="num" val="1"/>
      </iconSet>
    </cfRule>
  </conditionalFormatting>
  <conditionalFormatting sqref="AM753:AM755">
    <cfRule type="iconSet" priority="958">
      <iconSet iconSet="3Symbols2" showValue="0">
        <cfvo type="percent" val="0"/>
        <cfvo type="num" val="0"/>
        <cfvo type="num" val="1"/>
      </iconSet>
    </cfRule>
  </conditionalFormatting>
  <conditionalFormatting sqref="AM758:AM777 AM779:AM780">
    <cfRule type="iconSet" priority="133375">
      <iconSet iconSet="3Symbols2" showValue="0">
        <cfvo type="percent" val="0"/>
        <cfvo type="num" val="0"/>
        <cfvo type="num" val="1"/>
      </iconSet>
    </cfRule>
  </conditionalFormatting>
  <conditionalFormatting sqref="AN12:AN31">
    <cfRule type="iconSet" priority="150220">
      <iconSet iconSet="3Symbols2" showValue="0">
        <cfvo type="percent" val="0"/>
        <cfvo type="num" val="0"/>
        <cfvo type="num" val="1"/>
      </iconSet>
    </cfRule>
  </conditionalFormatting>
  <conditionalFormatting sqref="AN34">
    <cfRule type="iconSet" priority="128364">
      <iconSet iconSet="3Symbols2" showValue="0">
        <cfvo type="percent" val="0"/>
        <cfvo type="num" val="0"/>
        <cfvo type="num" val="1"/>
      </iconSet>
    </cfRule>
  </conditionalFormatting>
  <conditionalFormatting sqref="AN37">
    <cfRule type="iconSet" priority="649">
      <iconSet iconSet="3Symbols2" showValue="0">
        <cfvo type="percent" val="0"/>
        <cfvo type="num" val="0"/>
        <cfvo type="num" val="1"/>
      </iconSet>
    </cfRule>
  </conditionalFormatting>
  <conditionalFormatting sqref="AN40:AN41">
    <cfRule type="iconSet" priority="600">
      <iconSet iconSet="3Symbols2" showValue="0">
        <cfvo type="percent" val="0"/>
        <cfvo type="num" val="0"/>
        <cfvo type="num" val="1"/>
      </iconSet>
    </cfRule>
  </conditionalFormatting>
  <conditionalFormatting sqref="AN68:AN73">
    <cfRule type="iconSet" priority="581">
      <iconSet iconSet="3Symbols2" showValue="0">
        <cfvo type="percent" val="0"/>
        <cfvo type="num" val="0"/>
        <cfvo type="num" val="1"/>
      </iconSet>
    </cfRule>
  </conditionalFormatting>
  <conditionalFormatting sqref="AN76">
    <cfRule type="iconSet" priority="1600">
      <iconSet iconSet="3Symbols2" showValue="0">
        <cfvo type="percent" val="0"/>
        <cfvo type="num" val="0"/>
        <cfvo type="num" val="1"/>
      </iconSet>
    </cfRule>
  </conditionalFormatting>
  <conditionalFormatting sqref="AN78:AN181">
    <cfRule type="iconSet" priority="135008">
      <iconSet iconSet="3Symbols2" showValue="0">
        <cfvo type="percent" val="0"/>
        <cfvo type="num" val="0"/>
        <cfvo type="num" val="1"/>
      </iconSet>
    </cfRule>
  </conditionalFormatting>
  <conditionalFormatting sqref="AN184:AN200">
    <cfRule type="iconSet" priority="135579">
      <iconSet iconSet="3Symbols2" showValue="0">
        <cfvo type="percent" val="0"/>
        <cfvo type="num" val="0"/>
        <cfvo type="num" val="1"/>
      </iconSet>
    </cfRule>
  </conditionalFormatting>
  <conditionalFormatting sqref="AN203:AN274">
    <cfRule type="iconSet" priority="136187">
      <iconSet iconSet="3Symbols2" showValue="0">
        <cfvo type="percent" val="0"/>
        <cfvo type="num" val="0"/>
        <cfvo type="num" val="1"/>
      </iconSet>
    </cfRule>
  </conditionalFormatting>
  <conditionalFormatting sqref="AN277:AN282">
    <cfRule type="iconSet" priority="1508">
      <iconSet iconSet="3Symbols2" showValue="0">
        <cfvo type="percent" val="0"/>
        <cfvo type="num" val="0"/>
        <cfvo type="num" val="1"/>
      </iconSet>
    </cfRule>
  </conditionalFormatting>
  <conditionalFormatting sqref="AN347:AN349 AN285">
    <cfRule type="iconSet" priority="1485">
      <iconSet iconSet="3Symbols2" showValue="0">
        <cfvo type="percent" val="0"/>
        <cfvo type="num" val="0"/>
        <cfvo type="num" val="1"/>
      </iconSet>
    </cfRule>
  </conditionalFormatting>
  <conditionalFormatting sqref="AN350:AN354">
    <cfRule type="iconSet" priority="126185">
      <iconSet iconSet="3Symbols2" showValue="0">
        <cfvo type="percent" val="0"/>
        <cfvo type="num" val="0"/>
        <cfvo type="num" val="1"/>
      </iconSet>
    </cfRule>
  </conditionalFormatting>
  <conditionalFormatting sqref="AN355:AN364 AN305:AN307">
    <cfRule type="iconSet" priority="137792">
      <iconSet iconSet="3Symbols2" showValue="0">
        <cfvo type="percent" val="0"/>
        <cfvo type="num" val="0"/>
        <cfvo type="num" val="1"/>
      </iconSet>
    </cfRule>
  </conditionalFormatting>
  <conditionalFormatting sqref="AN365:AN366">
    <cfRule type="iconSet" priority="138337">
      <iconSet iconSet="3Symbols2" showValue="0">
        <cfvo type="percent" val="0"/>
        <cfvo type="num" val="0"/>
        <cfvo type="num" val="1"/>
      </iconSet>
    </cfRule>
  </conditionalFormatting>
  <conditionalFormatting sqref="AN369:AN371">
    <cfRule type="iconSet" priority="1416">
      <iconSet iconSet="3Symbols2" showValue="0">
        <cfvo type="percent" val="0"/>
        <cfvo type="num" val="0"/>
        <cfvo type="num" val="1"/>
      </iconSet>
    </cfRule>
  </conditionalFormatting>
  <conditionalFormatting sqref="AN374:AN376">
    <cfRule type="iconSet" priority="1393">
      <iconSet iconSet="3Symbols2" showValue="0">
        <cfvo type="percent" val="0"/>
        <cfvo type="num" val="0"/>
        <cfvo type="num" val="1"/>
      </iconSet>
    </cfRule>
  </conditionalFormatting>
  <conditionalFormatting sqref="AN379:AN380">
    <cfRule type="iconSet" priority="789">
      <iconSet iconSet="3Symbols2" showValue="0">
        <cfvo type="percent" val="0"/>
        <cfvo type="num" val="0"/>
        <cfvo type="num" val="1"/>
      </iconSet>
    </cfRule>
  </conditionalFormatting>
  <conditionalFormatting sqref="AN381:AN387">
    <cfRule type="iconSet" priority="809">
      <iconSet iconSet="3Symbols2" showValue="0">
        <cfvo type="percent" val="0"/>
        <cfvo type="num" val="0"/>
        <cfvo type="num" val="1"/>
      </iconSet>
    </cfRule>
  </conditionalFormatting>
  <conditionalFormatting sqref="AN388:AN393">
    <cfRule type="iconSet" priority="769">
      <iconSet iconSet="3Symbols2" showValue="0">
        <cfvo type="percent" val="0"/>
        <cfvo type="num" val="0"/>
        <cfvo type="num" val="1"/>
      </iconSet>
    </cfRule>
  </conditionalFormatting>
  <conditionalFormatting sqref="AN547:AN552">
    <cfRule type="iconSet" priority="544">
      <iconSet iconSet="3Symbols2" showValue="0">
        <cfvo type="percent" val="0"/>
        <cfvo type="num" val="0"/>
        <cfvo type="num" val="1"/>
      </iconSet>
    </cfRule>
  </conditionalFormatting>
  <conditionalFormatting sqref="AN555:AN560">
    <cfRule type="iconSet" priority="521">
      <iconSet iconSet="3Symbols2" showValue="0">
        <cfvo type="percent" val="0"/>
        <cfvo type="num" val="0"/>
        <cfvo type="num" val="1"/>
      </iconSet>
    </cfRule>
  </conditionalFormatting>
  <conditionalFormatting sqref="AN563:AN568">
    <cfRule type="iconSet" priority="498">
      <iconSet iconSet="3Symbols2" showValue="0">
        <cfvo type="percent" val="0"/>
        <cfvo type="num" val="0"/>
        <cfvo type="num" val="1"/>
      </iconSet>
    </cfRule>
  </conditionalFormatting>
  <conditionalFormatting sqref="AN571:AN576">
    <cfRule type="iconSet" priority="475">
      <iconSet iconSet="3Symbols2" showValue="0">
        <cfvo type="percent" val="0"/>
        <cfvo type="num" val="0"/>
        <cfvo type="num" val="1"/>
      </iconSet>
    </cfRule>
  </conditionalFormatting>
  <conditionalFormatting sqref="AN579:AN584">
    <cfRule type="iconSet" priority="452">
      <iconSet iconSet="3Symbols2" showValue="0">
        <cfvo type="percent" val="0"/>
        <cfvo type="num" val="0"/>
        <cfvo type="num" val="1"/>
      </iconSet>
    </cfRule>
  </conditionalFormatting>
  <conditionalFormatting sqref="AN587:AN592">
    <cfRule type="iconSet" priority="429">
      <iconSet iconSet="3Symbols2" showValue="0">
        <cfvo type="percent" val="0"/>
        <cfvo type="num" val="0"/>
        <cfvo type="num" val="1"/>
      </iconSet>
    </cfRule>
  </conditionalFormatting>
  <conditionalFormatting sqref="AN595:AN600">
    <cfRule type="iconSet" priority="406">
      <iconSet iconSet="3Symbols2" showValue="0">
        <cfvo type="percent" val="0"/>
        <cfvo type="num" val="0"/>
        <cfvo type="num" val="1"/>
      </iconSet>
    </cfRule>
  </conditionalFormatting>
  <conditionalFormatting sqref="AN605:AN608">
    <cfRule type="iconSet" priority="1071">
      <iconSet iconSet="3Symbols2" showValue="0">
        <cfvo type="percent" val="0"/>
        <cfvo type="num" val="0"/>
        <cfvo type="num" val="1"/>
      </iconSet>
    </cfRule>
  </conditionalFormatting>
  <conditionalFormatting sqref="AN613 AN620:AN653">
    <cfRule type="iconSet" priority="129750">
      <iconSet iconSet="3Symbols2" showValue="0">
        <cfvo type="percent" val="0"/>
        <cfvo type="num" val="0"/>
        <cfvo type="num" val="1"/>
      </iconSet>
    </cfRule>
  </conditionalFormatting>
  <conditionalFormatting sqref="AN656:AN704">
    <cfRule type="iconSet" priority="130432">
      <iconSet iconSet="3Symbols2" showValue="0">
        <cfvo type="percent" val="0"/>
        <cfvo type="num" val="0"/>
        <cfvo type="num" val="1"/>
      </iconSet>
    </cfRule>
  </conditionalFormatting>
  <conditionalFormatting sqref="AN707:AN709">
    <cfRule type="iconSet" priority="910">
      <iconSet iconSet="3Symbols2" showValue="0">
        <cfvo type="percent" val="0"/>
        <cfvo type="num" val="0"/>
        <cfvo type="num" val="1"/>
      </iconSet>
    </cfRule>
  </conditionalFormatting>
  <conditionalFormatting sqref="AN714:AN723">
    <cfRule type="iconSet" priority="131111">
      <iconSet iconSet="3Symbols2" showValue="0">
        <cfvo type="percent" val="0"/>
        <cfvo type="num" val="0"/>
        <cfvo type="num" val="1"/>
      </iconSet>
    </cfRule>
  </conditionalFormatting>
  <conditionalFormatting sqref="AN726:AN750">
    <cfRule type="iconSet" priority="131778">
      <iconSet iconSet="3Symbols2" showValue="0">
        <cfvo type="percent" val="0"/>
        <cfvo type="num" val="0"/>
        <cfvo type="num" val="1"/>
      </iconSet>
    </cfRule>
  </conditionalFormatting>
  <conditionalFormatting sqref="AN753:AN755">
    <cfRule type="iconSet" priority="956">
      <iconSet iconSet="3Symbols2" showValue="0">
        <cfvo type="percent" val="0"/>
        <cfvo type="num" val="0"/>
        <cfvo type="num" val="1"/>
      </iconSet>
    </cfRule>
  </conditionalFormatting>
  <conditionalFormatting sqref="AN758:AN777 AN779:AN780">
    <cfRule type="iconSet" priority="133377">
      <iconSet iconSet="3Symbols2" showValue="0">
        <cfvo type="percent" val="0"/>
        <cfvo type="num" val="0"/>
        <cfvo type="num" val="1"/>
      </iconSet>
    </cfRule>
  </conditionalFormatting>
  <conditionalFormatting sqref="AO12:AO31">
    <cfRule type="iconSet" priority="150226">
      <iconSet iconSet="3Symbols2" showValue="0">
        <cfvo type="percent" val="0"/>
        <cfvo type="num" val="0"/>
        <cfvo type="num" val="1"/>
      </iconSet>
    </cfRule>
  </conditionalFormatting>
  <conditionalFormatting sqref="AO34">
    <cfRule type="iconSet" priority="128365">
      <iconSet iconSet="3Symbols2" showValue="0">
        <cfvo type="percent" val="0"/>
        <cfvo type="num" val="0"/>
        <cfvo type="num" val="1"/>
      </iconSet>
    </cfRule>
  </conditionalFormatting>
  <conditionalFormatting sqref="AO37">
    <cfRule type="iconSet" priority="648">
      <iconSet iconSet="3Symbols2" showValue="0">
        <cfvo type="percent" val="0"/>
        <cfvo type="num" val="0"/>
        <cfvo type="num" val="1"/>
      </iconSet>
    </cfRule>
  </conditionalFormatting>
  <conditionalFormatting sqref="AO40:AO41">
    <cfRule type="iconSet" priority="599">
      <iconSet iconSet="3Symbols2" showValue="0">
        <cfvo type="percent" val="0"/>
        <cfvo type="num" val="0"/>
        <cfvo type="num" val="1"/>
      </iconSet>
    </cfRule>
  </conditionalFormatting>
  <conditionalFormatting sqref="AO68:AO73">
    <cfRule type="iconSet" priority="580">
      <iconSet iconSet="3Symbols2" showValue="0">
        <cfvo type="percent" val="0"/>
        <cfvo type="num" val="0"/>
        <cfvo type="num" val="1"/>
      </iconSet>
    </cfRule>
  </conditionalFormatting>
  <conditionalFormatting sqref="AO76">
    <cfRule type="iconSet" priority="1599">
      <iconSet iconSet="3Symbols2" showValue="0">
        <cfvo type="percent" val="0"/>
        <cfvo type="num" val="0"/>
        <cfvo type="num" val="1"/>
      </iconSet>
    </cfRule>
  </conditionalFormatting>
  <conditionalFormatting sqref="AO78:AO181">
    <cfRule type="iconSet" priority="135011">
      <iconSet iconSet="3Symbols2" showValue="0">
        <cfvo type="percent" val="0"/>
        <cfvo type="num" val="0"/>
        <cfvo type="num" val="1"/>
      </iconSet>
    </cfRule>
  </conditionalFormatting>
  <conditionalFormatting sqref="AO184:AO200">
    <cfRule type="iconSet" priority="135582">
      <iconSet iconSet="3Symbols2" showValue="0">
        <cfvo type="percent" val="0"/>
        <cfvo type="num" val="0"/>
        <cfvo type="num" val="1"/>
      </iconSet>
    </cfRule>
  </conditionalFormatting>
  <conditionalFormatting sqref="AO203:AO274">
    <cfRule type="iconSet" priority="136189">
      <iconSet iconSet="3Symbols2" showValue="0">
        <cfvo type="percent" val="0"/>
        <cfvo type="num" val="0"/>
        <cfvo type="num" val="1"/>
      </iconSet>
    </cfRule>
  </conditionalFormatting>
  <conditionalFormatting sqref="AO277:AO282">
    <cfRule type="iconSet" priority="1507">
      <iconSet iconSet="3Symbols2" showValue="0">
        <cfvo type="percent" val="0"/>
        <cfvo type="num" val="0"/>
        <cfvo type="num" val="1"/>
      </iconSet>
    </cfRule>
  </conditionalFormatting>
  <conditionalFormatting sqref="AO347:AO349 AO285">
    <cfRule type="iconSet" priority="1484">
      <iconSet iconSet="3Symbols2" showValue="0">
        <cfvo type="percent" val="0"/>
        <cfvo type="num" val="0"/>
        <cfvo type="num" val="1"/>
      </iconSet>
    </cfRule>
  </conditionalFormatting>
  <conditionalFormatting sqref="AO350:AO354">
    <cfRule type="iconSet" priority="126186">
      <iconSet iconSet="3Symbols2" showValue="0">
        <cfvo type="percent" val="0"/>
        <cfvo type="num" val="0"/>
        <cfvo type="num" val="1"/>
      </iconSet>
    </cfRule>
  </conditionalFormatting>
  <conditionalFormatting sqref="AO355:AO364 AO305:AO307">
    <cfRule type="iconSet" priority="137794">
      <iconSet iconSet="3Symbols2" showValue="0">
        <cfvo type="percent" val="0"/>
        <cfvo type="num" val="0"/>
        <cfvo type="num" val="1"/>
      </iconSet>
    </cfRule>
  </conditionalFormatting>
  <conditionalFormatting sqref="AO365:AO366">
    <cfRule type="iconSet" priority="138339">
      <iconSet iconSet="3Symbols2" showValue="0">
        <cfvo type="percent" val="0"/>
        <cfvo type="num" val="0"/>
        <cfvo type="num" val="1"/>
      </iconSet>
    </cfRule>
  </conditionalFormatting>
  <conditionalFormatting sqref="AO369:AO371">
    <cfRule type="iconSet" priority="1415">
      <iconSet iconSet="3Symbols2" showValue="0">
        <cfvo type="percent" val="0"/>
        <cfvo type="num" val="0"/>
        <cfvo type="num" val="1"/>
      </iconSet>
    </cfRule>
  </conditionalFormatting>
  <conditionalFormatting sqref="AO374:AO376">
    <cfRule type="iconSet" priority="1392">
      <iconSet iconSet="3Symbols2" showValue="0">
        <cfvo type="percent" val="0"/>
        <cfvo type="num" val="0"/>
        <cfvo type="num" val="1"/>
      </iconSet>
    </cfRule>
  </conditionalFormatting>
  <conditionalFormatting sqref="AO379:AO380">
    <cfRule type="iconSet" priority="788">
      <iconSet iconSet="3Symbols2" showValue="0">
        <cfvo type="percent" val="0"/>
        <cfvo type="num" val="0"/>
        <cfvo type="num" val="1"/>
      </iconSet>
    </cfRule>
  </conditionalFormatting>
  <conditionalFormatting sqref="AO381:AO387">
    <cfRule type="iconSet" priority="808">
      <iconSet iconSet="3Symbols2" showValue="0">
        <cfvo type="percent" val="0"/>
        <cfvo type="num" val="0"/>
        <cfvo type="num" val="1"/>
      </iconSet>
    </cfRule>
  </conditionalFormatting>
  <conditionalFormatting sqref="AO388:AO393">
    <cfRule type="iconSet" priority="768">
      <iconSet iconSet="3Symbols2" showValue="0">
        <cfvo type="percent" val="0"/>
        <cfvo type="num" val="0"/>
        <cfvo type="num" val="1"/>
      </iconSet>
    </cfRule>
  </conditionalFormatting>
  <conditionalFormatting sqref="AO547:AO552">
    <cfRule type="iconSet" priority="543">
      <iconSet iconSet="3Symbols2" showValue="0">
        <cfvo type="percent" val="0"/>
        <cfvo type="num" val="0"/>
        <cfvo type="num" val="1"/>
      </iconSet>
    </cfRule>
  </conditionalFormatting>
  <conditionalFormatting sqref="AO555:AO560">
    <cfRule type="iconSet" priority="520">
      <iconSet iconSet="3Symbols2" showValue="0">
        <cfvo type="percent" val="0"/>
        <cfvo type="num" val="0"/>
        <cfvo type="num" val="1"/>
      </iconSet>
    </cfRule>
  </conditionalFormatting>
  <conditionalFormatting sqref="AO563:AO568">
    <cfRule type="iconSet" priority="497">
      <iconSet iconSet="3Symbols2" showValue="0">
        <cfvo type="percent" val="0"/>
        <cfvo type="num" val="0"/>
        <cfvo type="num" val="1"/>
      </iconSet>
    </cfRule>
  </conditionalFormatting>
  <conditionalFormatting sqref="AO571:AO576">
    <cfRule type="iconSet" priority="474">
      <iconSet iconSet="3Symbols2" showValue="0">
        <cfvo type="percent" val="0"/>
        <cfvo type="num" val="0"/>
        <cfvo type="num" val="1"/>
      </iconSet>
    </cfRule>
  </conditionalFormatting>
  <conditionalFormatting sqref="AO579:AO584">
    <cfRule type="iconSet" priority="451">
      <iconSet iconSet="3Symbols2" showValue="0">
        <cfvo type="percent" val="0"/>
        <cfvo type="num" val="0"/>
        <cfvo type="num" val="1"/>
      </iconSet>
    </cfRule>
  </conditionalFormatting>
  <conditionalFormatting sqref="AO587:AO592">
    <cfRule type="iconSet" priority="428">
      <iconSet iconSet="3Symbols2" showValue="0">
        <cfvo type="percent" val="0"/>
        <cfvo type="num" val="0"/>
        <cfvo type="num" val="1"/>
      </iconSet>
    </cfRule>
  </conditionalFormatting>
  <conditionalFormatting sqref="AO595:AO600">
    <cfRule type="iconSet" priority="405">
      <iconSet iconSet="3Symbols2" showValue="0">
        <cfvo type="percent" val="0"/>
        <cfvo type="num" val="0"/>
        <cfvo type="num" val="1"/>
      </iconSet>
    </cfRule>
  </conditionalFormatting>
  <conditionalFormatting sqref="AO605:AO608">
    <cfRule type="iconSet" priority="1070">
      <iconSet iconSet="3Symbols2" showValue="0">
        <cfvo type="percent" val="0"/>
        <cfvo type="num" val="0"/>
        <cfvo type="num" val="1"/>
      </iconSet>
    </cfRule>
  </conditionalFormatting>
  <conditionalFormatting sqref="AO613 AO620:AO653">
    <cfRule type="iconSet" priority="129751">
      <iconSet iconSet="3Symbols2" showValue="0">
        <cfvo type="percent" val="0"/>
        <cfvo type="num" val="0"/>
        <cfvo type="num" val="1"/>
      </iconSet>
    </cfRule>
  </conditionalFormatting>
  <conditionalFormatting sqref="AO656:AO704">
    <cfRule type="iconSet" priority="130433">
      <iconSet iconSet="3Symbols2" showValue="0">
        <cfvo type="percent" val="0"/>
        <cfvo type="num" val="0"/>
        <cfvo type="num" val="1"/>
      </iconSet>
    </cfRule>
  </conditionalFormatting>
  <conditionalFormatting sqref="AO707:AO709">
    <cfRule type="iconSet" priority="909">
      <iconSet iconSet="3Symbols2" showValue="0">
        <cfvo type="percent" val="0"/>
        <cfvo type="num" val="0"/>
        <cfvo type="num" val="1"/>
      </iconSet>
    </cfRule>
  </conditionalFormatting>
  <conditionalFormatting sqref="AO714:AO723">
    <cfRule type="iconSet" priority="131112">
      <iconSet iconSet="3Symbols2" showValue="0">
        <cfvo type="percent" val="0"/>
        <cfvo type="num" val="0"/>
        <cfvo type="num" val="1"/>
      </iconSet>
    </cfRule>
  </conditionalFormatting>
  <conditionalFormatting sqref="AO726:AO750">
    <cfRule type="iconSet" priority="131779">
      <iconSet iconSet="3Symbols2" showValue="0">
        <cfvo type="percent" val="0"/>
        <cfvo type="num" val="0"/>
        <cfvo type="num" val="1"/>
      </iconSet>
    </cfRule>
  </conditionalFormatting>
  <conditionalFormatting sqref="AO753:AO755">
    <cfRule type="iconSet" priority="955">
      <iconSet iconSet="3Symbols2" showValue="0">
        <cfvo type="percent" val="0"/>
        <cfvo type="num" val="0"/>
        <cfvo type="num" val="1"/>
      </iconSet>
    </cfRule>
  </conditionalFormatting>
  <conditionalFormatting sqref="AO758:AO777 AO779:AO780">
    <cfRule type="iconSet" priority="133379">
      <iconSet iconSet="3Symbols2" showValue="0">
        <cfvo type="percent" val="0"/>
        <cfvo type="num" val="0"/>
        <cfvo type="num" val="1"/>
      </iconSet>
    </cfRule>
  </conditionalFormatting>
  <conditionalFormatting sqref="AP355:AP364 AP305:AP307">
    <cfRule type="iconSet" priority="137713">
      <iconSet iconSet="3Symbols2" showValue="0">
        <cfvo type="percent" val="0"/>
        <cfvo type="num" val="0"/>
        <cfvo type="num" val="1"/>
      </iconSet>
    </cfRule>
  </conditionalFormatting>
  <conditionalFormatting sqref="AQ12:AQ31">
    <cfRule type="iconSet" priority="150233">
      <iconSet iconSet="3Symbols2" showValue="0">
        <cfvo type="percent" val="0"/>
        <cfvo type="num" val="0"/>
        <cfvo type="num" val="1"/>
      </iconSet>
    </cfRule>
  </conditionalFormatting>
  <conditionalFormatting sqref="AQ34">
    <cfRule type="iconSet" priority="128366">
      <iconSet iconSet="3Symbols2" showValue="0">
        <cfvo type="percent" val="0"/>
        <cfvo type="num" val="0"/>
        <cfvo type="num" val="1"/>
      </iconSet>
    </cfRule>
  </conditionalFormatting>
  <conditionalFormatting sqref="AQ37">
    <cfRule type="iconSet" priority="647">
      <iconSet iconSet="3Symbols2" showValue="0">
        <cfvo type="percent" val="0"/>
        <cfvo type="num" val="0"/>
        <cfvo type="num" val="1"/>
      </iconSet>
    </cfRule>
  </conditionalFormatting>
  <conditionalFormatting sqref="AQ40:AQ41">
    <cfRule type="iconSet" priority="598">
      <iconSet iconSet="3Symbols2" showValue="0">
        <cfvo type="percent" val="0"/>
        <cfvo type="num" val="0"/>
        <cfvo type="num" val="1"/>
      </iconSet>
    </cfRule>
  </conditionalFormatting>
  <conditionalFormatting sqref="AQ68:AQ73">
    <cfRule type="iconSet" priority="579">
      <iconSet iconSet="3Symbols2" showValue="0">
        <cfvo type="percent" val="0"/>
        <cfvo type="num" val="0"/>
        <cfvo type="num" val="1"/>
      </iconSet>
    </cfRule>
  </conditionalFormatting>
  <conditionalFormatting sqref="AQ76">
    <cfRule type="iconSet" priority="1598">
      <iconSet iconSet="3Symbols2" showValue="0">
        <cfvo type="percent" val="0"/>
        <cfvo type="num" val="0"/>
        <cfvo type="num" val="1"/>
      </iconSet>
    </cfRule>
  </conditionalFormatting>
  <conditionalFormatting sqref="AQ77">
    <cfRule type="iconSet" priority="169">
      <iconSet iconSet="3Symbols2" showValue="0">
        <cfvo type="percent" val="0"/>
        <cfvo type="num" val="0"/>
        <cfvo type="num" val="1"/>
      </iconSet>
    </cfRule>
  </conditionalFormatting>
  <conditionalFormatting sqref="AQ78:AQ181">
    <cfRule type="iconSet" priority="135014">
      <iconSet iconSet="3Symbols2" showValue="0">
        <cfvo type="percent" val="0"/>
        <cfvo type="num" val="0"/>
        <cfvo type="num" val="1"/>
      </iconSet>
    </cfRule>
  </conditionalFormatting>
  <conditionalFormatting sqref="AQ184:AQ200">
    <cfRule type="iconSet" priority="135585">
      <iconSet iconSet="3Symbols2" showValue="0">
        <cfvo type="percent" val="0"/>
        <cfvo type="num" val="0"/>
        <cfvo type="num" val="1"/>
      </iconSet>
    </cfRule>
  </conditionalFormatting>
  <conditionalFormatting sqref="AQ203:AQ274">
    <cfRule type="iconSet" priority="136191">
      <iconSet iconSet="3Symbols2" showValue="0">
        <cfvo type="percent" val="0"/>
        <cfvo type="num" val="0"/>
        <cfvo type="num" val="1"/>
      </iconSet>
    </cfRule>
  </conditionalFormatting>
  <conditionalFormatting sqref="AQ277:AQ282">
    <cfRule type="iconSet" priority="1506">
      <iconSet iconSet="3Symbols2" showValue="0">
        <cfvo type="percent" val="0"/>
        <cfvo type="num" val="0"/>
        <cfvo type="num" val="1"/>
      </iconSet>
    </cfRule>
  </conditionalFormatting>
  <conditionalFormatting sqref="AQ347:AQ349 AQ285">
    <cfRule type="iconSet" priority="1483">
      <iconSet iconSet="3Symbols2" showValue="0">
        <cfvo type="percent" val="0"/>
        <cfvo type="num" val="0"/>
        <cfvo type="num" val="1"/>
      </iconSet>
    </cfRule>
  </conditionalFormatting>
  <conditionalFormatting sqref="AQ350:AQ354">
    <cfRule type="iconSet" priority="126187">
      <iconSet iconSet="3Symbols2" showValue="0">
        <cfvo type="percent" val="0"/>
        <cfvo type="num" val="0"/>
        <cfvo type="num" val="1"/>
      </iconSet>
    </cfRule>
  </conditionalFormatting>
  <conditionalFormatting sqref="AQ355:AQ364 AQ305:AQ307">
    <cfRule type="iconSet" priority="137796">
      <iconSet iconSet="3Symbols2" showValue="0">
        <cfvo type="percent" val="0"/>
        <cfvo type="num" val="0"/>
        <cfvo type="num" val="1"/>
      </iconSet>
    </cfRule>
  </conditionalFormatting>
  <conditionalFormatting sqref="AQ365:AQ366">
    <cfRule type="iconSet" priority="138341">
      <iconSet iconSet="3Symbols2" showValue="0">
        <cfvo type="percent" val="0"/>
        <cfvo type="num" val="0"/>
        <cfvo type="num" val="1"/>
      </iconSet>
    </cfRule>
  </conditionalFormatting>
  <conditionalFormatting sqref="AQ369:AQ371">
    <cfRule type="iconSet" priority="1414">
      <iconSet iconSet="3Symbols2" showValue="0">
        <cfvo type="percent" val="0"/>
        <cfvo type="num" val="0"/>
        <cfvo type="num" val="1"/>
      </iconSet>
    </cfRule>
  </conditionalFormatting>
  <conditionalFormatting sqref="AQ374:AQ376">
    <cfRule type="iconSet" priority="1391">
      <iconSet iconSet="3Symbols2" showValue="0">
        <cfvo type="percent" val="0"/>
        <cfvo type="num" val="0"/>
        <cfvo type="num" val="1"/>
      </iconSet>
    </cfRule>
  </conditionalFormatting>
  <conditionalFormatting sqref="AQ379:AQ380">
    <cfRule type="iconSet" priority="787">
      <iconSet iconSet="3Symbols2" showValue="0">
        <cfvo type="percent" val="0"/>
        <cfvo type="num" val="0"/>
        <cfvo type="num" val="1"/>
      </iconSet>
    </cfRule>
  </conditionalFormatting>
  <conditionalFormatting sqref="AQ381:AQ387">
    <cfRule type="iconSet" priority="807">
      <iconSet iconSet="3Symbols2" showValue="0">
        <cfvo type="percent" val="0"/>
        <cfvo type="num" val="0"/>
        <cfvo type="num" val="1"/>
      </iconSet>
    </cfRule>
  </conditionalFormatting>
  <conditionalFormatting sqref="AQ388:AQ393">
    <cfRule type="iconSet" priority="767">
      <iconSet iconSet="3Symbols2" showValue="0">
        <cfvo type="percent" val="0"/>
        <cfvo type="num" val="0"/>
        <cfvo type="num" val="1"/>
      </iconSet>
    </cfRule>
  </conditionalFormatting>
  <conditionalFormatting sqref="AQ547:AQ552">
    <cfRule type="iconSet" priority="542">
      <iconSet iconSet="3Symbols2" showValue="0">
        <cfvo type="percent" val="0"/>
        <cfvo type="num" val="0"/>
        <cfvo type="num" val="1"/>
      </iconSet>
    </cfRule>
  </conditionalFormatting>
  <conditionalFormatting sqref="AQ555:AQ560">
    <cfRule type="iconSet" priority="519">
      <iconSet iconSet="3Symbols2" showValue="0">
        <cfvo type="percent" val="0"/>
        <cfvo type="num" val="0"/>
        <cfvo type="num" val="1"/>
      </iconSet>
    </cfRule>
  </conditionalFormatting>
  <conditionalFormatting sqref="AQ563:AQ568">
    <cfRule type="iconSet" priority="496">
      <iconSet iconSet="3Symbols2" showValue="0">
        <cfvo type="percent" val="0"/>
        <cfvo type="num" val="0"/>
        <cfvo type="num" val="1"/>
      </iconSet>
    </cfRule>
  </conditionalFormatting>
  <conditionalFormatting sqref="AQ571:AQ576">
    <cfRule type="iconSet" priority="473">
      <iconSet iconSet="3Symbols2" showValue="0">
        <cfvo type="percent" val="0"/>
        <cfvo type="num" val="0"/>
        <cfvo type="num" val="1"/>
      </iconSet>
    </cfRule>
  </conditionalFormatting>
  <conditionalFormatting sqref="AQ579:AQ584">
    <cfRule type="iconSet" priority="450">
      <iconSet iconSet="3Symbols2" showValue="0">
        <cfvo type="percent" val="0"/>
        <cfvo type="num" val="0"/>
        <cfvo type="num" val="1"/>
      </iconSet>
    </cfRule>
  </conditionalFormatting>
  <conditionalFormatting sqref="AQ587:AQ592">
    <cfRule type="iconSet" priority="427">
      <iconSet iconSet="3Symbols2" showValue="0">
        <cfvo type="percent" val="0"/>
        <cfvo type="num" val="0"/>
        <cfvo type="num" val="1"/>
      </iconSet>
    </cfRule>
  </conditionalFormatting>
  <conditionalFormatting sqref="AQ595:AQ600">
    <cfRule type="iconSet" priority="404">
      <iconSet iconSet="3Symbols2" showValue="0">
        <cfvo type="percent" val="0"/>
        <cfvo type="num" val="0"/>
        <cfvo type="num" val="1"/>
      </iconSet>
    </cfRule>
  </conditionalFormatting>
  <conditionalFormatting sqref="AQ605:AQ608">
    <cfRule type="iconSet" priority="1069">
      <iconSet iconSet="3Symbols2" showValue="0">
        <cfvo type="percent" val="0"/>
        <cfvo type="num" val="0"/>
        <cfvo type="num" val="1"/>
      </iconSet>
    </cfRule>
  </conditionalFormatting>
  <conditionalFormatting sqref="AQ613 AQ620:AQ653">
    <cfRule type="iconSet" priority="129752">
      <iconSet iconSet="3Symbols2" showValue="0">
        <cfvo type="percent" val="0"/>
        <cfvo type="num" val="0"/>
        <cfvo type="num" val="1"/>
      </iconSet>
    </cfRule>
  </conditionalFormatting>
  <conditionalFormatting sqref="AQ656:AQ704">
    <cfRule type="iconSet" priority="130434">
      <iconSet iconSet="3Symbols2" showValue="0">
        <cfvo type="percent" val="0"/>
        <cfvo type="num" val="0"/>
        <cfvo type="num" val="1"/>
      </iconSet>
    </cfRule>
  </conditionalFormatting>
  <conditionalFormatting sqref="AQ707:AQ709">
    <cfRule type="iconSet" priority="908">
      <iconSet iconSet="3Symbols2" showValue="0">
        <cfvo type="percent" val="0"/>
        <cfvo type="num" val="0"/>
        <cfvo type="num" val="1"/>
      </iconSet>
    </cfRule>
  </conditionalFormatting>
  <conditionalFormatting sqref="AQ714:AQ723">
    <cfRule type="iconSet" priority="131113">
      <iconSet iconSet="3Symbols2" showValue="0">
        <cfvo type="percent" val="0"/>
        <cfvo type="num" val="0"/>
        <cfvo type="num" val="1"/>
      </iconSet>
    </cfRule>
  </conditionalFormatting>
  <conditionalFormatting sqref="AQ726:AQ750">
    <cfRule type="iconSet" priority="131818">
      <iconSet iconSet="3Symbols2" showValue="0">
        <cfvo type="percent" val="0"/>
        <cfvo type="num" val="0"/>
        <cfvo type="num" val="1"/>
      </iconSet>
    </cfRule>
  </conditionalFormatting>
  <conditionalFormatting sqref="AQ753:AQ755">
    <cfRule type="iconSet" priority="954">
      <iconSet iconSet="3Symbols2" showValue="0">
        <cfvo type="percent" val="0"/>
        <cfvo type="num" val="0"/>
        <cfvo type="num" val="1"/>
      </iconSet>
    </cfRule>
  </conditionalFormatting>
  <conditionalFormatting sqref="AQ758:AQ777 AQ779:AQ780">
    <cfRule type="iconSet" priority="133381">
      <iconSet iconSet="3Symbols2" showValue="0">
        <cfvo type="percent" val="0"/>
        <cfvo type="num" val="0"/>
        <cfvo type="num" val="1"/>
      </iconSet>
    </cfRule>
  </conditionalFormatting>
  <conditionalFormatting sqref="AQ778">
    <cfRule type="iconSet" priority="158">
      <iconSet iconSet="3Symbols2" showValue="0">
        <cfvo type="percent" val="0"/>
        <cfvo type="num" val="0"/>
        <cfvo type="num" val="1"/>
      </iconSet>
    </cfRule>
  </conditionalFormatting>
  <conditionalFormatting sqref="AQ781:AQ1048576 AQ4 AQ394 AQ74 AQ601 AQ710 AQ8:AQ11 AQ32:AQ33 AQ35:AQ36 AQ38:AQ39 AQ182:AQ183 AQ201:AQ202 AQ275:AQ276 AQ283:AQ284 AQ286:AQ287 AQ303:AQ304 AQ367:AQ368 AQ372:AQ373 AQ377:AQ378 AQ396:AQ397 AQ545:AQ546 AQ553:AQ554 AQ561:AQ562 AQ569:AQ570 AQ577:AQ578 AQ585:AQ586 AQ593:AQ594 AQ603:AQ604 AQ611:AQ612 AQ654:AQ655 AQ705:AQ706 AQ712:AQ713 AQ724:AQ725 AQ751:AQ752 AQ756:AQ757">
    <cfRule type="iconSet" priority="1834">
      <iconSet iconSet="3Symbols2" showValue="0">
        <cfvo type="percent" val="0"/>
        <cfvo type="num" val="0"/>
        <cfvo type="num" val="1"/>
      </iconSet>
    </cfRule>
  </conditionalFormatting>
  <conditionalFormatting sqref="AQ5:AT6">
    <cfRule type="iconSet" priority="1818">
      <iconSet iconSet="3Symbols2" showValue="0">
        <cfvo type="percent" val="0"/>
        <cfvo type="num" val="0"/>
        <cfvo type="num" val="1"/>
      </iconSet>
    </cfRule>
  </conditionalFormatting>
  <conditionalFormatting sqref="AR12:AR31">
    <cfRule type="iconSet" priority="150273">
      <iconSet iconSet="3Symbols2" showValue="0">
        <cfvo type="percent" val="0"/>
        <cfvo type="num" val="0"/>
        <cfvo type="num" val="1"/>
      </iconSet>
    </cfRule>
  </conditionalFormatting>
  <conditionalFormatting sqref="AR34">
    <cfRule type="iconSet" priority="128405">
      <iconSet iconSet="3Symbols2" showValue="0">
        <cfvo type="percent" val="0"/>
        <cfvo type="num" val="0"/>
        <cfvo type="num" val="1"/>
      </iconSet>
    </cfRule>
  </conditionalFormatting>
  <conditionalFormatting sqref="AR37">
    <cfRule type="iconSet" priority="646">
      <iconSet iconSet="3Symbols2" showValue="0">
        <cfvo type="percent" val="0"/>
        <cfvo type="num" val="0"/>
        <cfvo type="num" val="1"/>
      </iconSet>
    </cfRule>
  </conditionalFormatting>
  <conditionalFormatting sqref="AR40:AR41">
    <cfRule type="iconSet" priority="597">
      <iconSet iconSet="3Symbols2" showValue="0">
        <cfvo type="percent" val="0"/>
        <cfvo type="num" val="0"/>
        <cfvo type="num" val="1"/>
      </iconSet>
    </cfRule>
  </conditionalFormatting>
  <conditionalFormatting sqref="AR68:AR73">
    <cfRule type="iconSet" priority="578">
      <iconSet iconSet="3Symbols2" showValue="0">
        <cfvo type="percent" val="0"/>
        <cfvo type="num" val="0"/>
        <cfvo type="num" val="1"/>
      </iconSet>
    </cfRule>
  </conditionalFormatting>
  <conditionalFormatting sqref="AR76">
    <cfRule type="iconSet" priority="1597">
      <iconSet iconSet="3Symbols2" showValue="0">
        <cfvo type="percent" val="0"/>
        <cfvo type="num" val="0"/>
        <cfvo type="num" val="1"/>
      </iconSet>
    </cfRule>
  </conditionalFormatting>
  <conditionalFormatting sqref="AR77">
    <cfRule type="iconSet" priority="168">
      <iconSet iconSet="3Symbols2" showValue="0">
        <cfvo type="percent" val="0"/>
        <cfvo type="num" val="0"/>
        <cfvo type="num" val="1"/>
      </iconSet>
    </cfRule>
  </conditionalFormatting>
  <conditionalFormatting sqref="AR78:AR181">
    <cfRule type="iconSet" priority="135051">
      <iconSet iconSet="3Symbols2" showValue="0">
        <cfvo type="percent" val="0"/>
        <cfvo type="num" val="0"/>
        <cfvo type="num" val="1"/>
      </iconSet>
    </cfRule>
  </conditionalFormatting>
  <conditionalFormatting sqref="AR184:AR200">
    <cfRule type="iconSet" priority="135622">
      <iconSet iconSet="3Symbols2" showValue="0">
        <cfvo type="percent" val="0"/>
        <cfvo type="num" val="0"/>
        <cfvo type="num" val="1"/>
      </iconSet>
    </cfRule>
  </conditionalFormatting>
  <conditionalFormatting sqref="AR203:AR274">
    <cfRule type="iconSet" priority="136227">
      <iconSet iconSet="3Symbols2" showValue="0">
        <cfvo type="percent" val="0"/>
        <cfvo type="num" val="0"/>
        <cfvo type="num" val="1"/>
      </iconSet>
    </cfRule>
  </conditionalFormatting>
  <conditionalFormatting sqref="AR277:AR282">
    <cfRule type="iconSet" priority="1505">
      <iconSet iconSet="3Symbols2" showValue="0">
        <cfvo type="percent" val="0"/>
        <cfvo type="num" val="0"/>
        <cfvo type="num" val="1"/>
      </iconSet>
    </cfRule>
  </conditionalFormatting>
  <conditionalFormatting sqref="AR347:AR349 AR285">
    <cfRule type="iconSet" priority="1482">
      <iconSet iconSet="3Symbols2" showValue="0">
        <cfvo type="percent" val="0"/>
        <cfvo type="num" val="0"/>
        <cfvo type="num" val="1"/>
      </iconSet>
    </cfRule>
  </conditionalFormatting>
  <conditionalFormatting sqref="AR350:AR354">
    <cfRule type="iconSet" priority="126226">
      <iconSet iconSet="3Symbols2" showValue="0">
        <cfvo type="percent" val="0"/>
        <cfvo type="num" val="0"/>
        <cfvo type="num" val="1"/>
      </iconSet>
    </cfRule>
  </conditionalFormatting>
  <conditionalFormatting sqref="AR355:AR364 AR305:AR307">
    <cfRule type="iconSet" priority="137833">
      <iconSet iconSet="3Symbols2" showValue="0">
        <cfvo type="percent" val="0"/>
        <cfvo type="num" val="0"/>
        <cfvo type="num" val="1"/>
      </iconSet>
    </cfRule>
  </conditionalFormatting>
  <conditionalFormatting sqref="AR365:AR366">
    <cfRule type="iconSet" priority="138377">
      <iconSet iconSet="3Symbols2" showValue="0">
        <cfvo type="percent" val="0"/>
        <cfvo type="num" val="0"/>
        <cfvo type="num" val="1"/>
      </iconSet>
    </cfRule>
  </conditionalFormatting>
  <conditionalFormatting sqref="AR369:AR371">
    <cfRule type="iconSet" priority="1413">
      <iconSet iconSet="3Symbols2" showValue="0">
        <cfvo type="percent" val="0"/>
        <cfvo type="num" val="0"/>
        <cfvo type="num" val="1"/>
      </iconSet>
    </cfRule>
  </conditionalFormatting>
  <conditionalFormatting sqref="AR374:AR376">
    <cfRule type="iconSet" priority="1390">
      <iconSet iconSet="3Symbols2" showValue="0">
        <cfvo type="percent" val="0"/>
        <cfvo type="num" val="0"/>
        <cfvo type="num" val="1"/>
      </iconSet>
    </cfRule>
  </conditionalFormatting>
  <conditionalFormatting sqref="AR379:AR380">
    <cfRule type="iconSet" priority="786">
      <iconSet iconSet="3Symbols2" showValue="0">
        <cfvo type="percent" val="0"/>
        <cfvo type="num" val="0"/>
        <cfvo type="num" val="1"/>
      </iconSet>
    </cfRule>
  </conditionalFormatting>
  <conditionalFormatting sqref="AR381:AR387">
    <cfRule type="iconSet" priority="806">
      <iconSet iconSet="3Symbols2" showValue="0">
        <cfvo type="percent" val="0"/>
        <cfvo type="num" val="0"/>
        <cfvo type="num" val="1"/>
      </iconSet>
    </cfRule>
  </conditionalFormatting>
  <conditionalFormatting sqref="AR388:AR393">
    <cfRule type="iconSet" priority="766">
      <iconSet iconSet="3Symbols2" showValue="0">
        <cfvo type="percent" val="0"/>
        <cfvo type="num" val="0"/>
        <cfvo type="num" val="1"/>
      </iconSet>
    </cfRule>
  </conditionalFormatting>
  <conditionalFormatting sqref="AR547:AR552">
    <cfRule type="iconSet" priority="541">
      <iconSet iconSet="3Symbols2" showValue="0">
        <cfvo type="percent" val="0"/>
        <cfvo type="num" val="0"/>
        <cfvo type="num" val="1"/>
      </iconSet>
    </cfRule>
  </conditionalFormatting>
  <conditionalFormatting sqref="AR555:AR560">
    <cfRule type="iconSet" priority="518">
      <iconSet iconSet="3Symbols2" showValue="0">
        <cfvo type="percent" val="0"/>
        <cfvo type="num" val="0"/>
        <cfvo type="num" val="1"/>
      </iconSet>
    </cfRule>
  </conditionalFormatting>
  <conditionalFormatting sqref="AR563:AR568">
    <cfRule type="iconSet" priority="495">
      <iconSet iconSet="3Symbols2" showValue="0">
        <cfvo type="percent" val="0"/>
        <cfvo type="num" val="0"/>
        <cfvo type="num" val="1"/>
      </iconSet>
    </cfRule>
  </conditionalFormatting>
  <conditionalFormatting sqref="AR571:AR576">
    <cfRule type="iconSet" priority="472">
      <iconSet iconSet="3Symbols2" showValue="0">
        <cfvo type="percent" val="0"/>
        <cfvo type="num" val="0"/>
        <cfvo type="num" val="1"/>
      </iconSet>
    </cfRule>
  </conditionalFormatting>
  <conditionalFormatting sqref="AR579:AR584">
    <cfRule type="iconSet" priority="449">
      <iconSet iconSet="3Symbols2" showValue="0">
        <cfvo type="percent" val="0"/>
        <cfvo type="num" val="0"/>
        <cfvo type="num" val="1"/>
      </iconSet>
    </cfRule>
  </conditionalFormatting>
  <conditionalFormatting sqref="AR587:AR592">
    <cfRule type="iconSet" priority="426">
      <iconSet iconSet="3Symbols2" showValue="0">
        <cfvo type="percent" val="0"/>
        <cfvo type="num" val="0"/>
        <cfvo type="num" val="1"/>
      </iconSet>
    </cfRule>
  </conditionalFormatting>
  <conditionalFormatting sqref="AR595:AR600">
    <cfRule type="iconSet" priority="403">
      <iconSet iconSet="3Symbols2" showValue="0">
        <cfvo type="percent" val="0"/>
        <cfvo type="num" val="0"/>
        <cfvo type="num" val="1"/>
      </iconSet>
    </cfRule>
  </conditionalFormatting>
  <conditionalFormatting sqref="AR605:AR608">
    <cfRule type="iconSet" priority="1068">
      <iconSet iconSet="3Symbols2" showValue="0">
        <cfvo type="percent" val="0"/>
        <cfvo type="num" val="0"/>
        <cfvo type="num" val="1"/>
      </iconSet>
    </cfRule>
  </conditionalFormatting>
  <conditionalFormatting sqref="AR613 AR620:AR653">
    <cfRule type="iconSet" priority="129791">
      <iconSet iconSet="3Symbols2" showValue="0">
        <cfvo type="percent" val="0"/>
        <cfvo type="num" val="0"/>
        <cfvo type="num" val="1"/>
      </iconSet>
    </cfRule>
  </conditionalFormatting>
  <conditionalFormatting sqref="AR656:AR704">
    <cfRule type="iconSet" priority="130473">
      <iconSet iconSet="3Symbols2" showValue="0">
        <cfvo type="percent" val="0"/>
        <cfvo type="num" val="0"/>
        <cfvo type="num" val="1"/>
      </iconSet>
    </cfRule>
  </conditionalFormatting>
  <conditionalFormatting sqref="AR707:AR709">
    <cfRule type="iconSet" priority="907">
      <iconSet iconSet="3Symbols2" showValue="0">
        <cfvo type="percent" val="0"/>
        <cfvo type="num" val="0"/>
        <cfvo type="num" val="1"/>
      </iconSet>
    </cfRule>
  </conditionalFormatting>
  <conditionalFormatting sqref="AR714:AR723">
    <cfRule type="iconSet" priority="131152">
      <iconSet iconSet="3Symbols2" showValue="0">
        <cfvo type="percent" val="0"/>
        <cfvo type="num" val="0"/>
        <cfvo type="num" val="1"/>
      </iconSet>
    </cfRule>
  </conditionalFormatting>
  <conditionalFormatting sqref="AR726:AR750">
    <cfRule type="iconSet" priority="131857">
      <iconSet iconSet="3Symbols2" showValue="0">
        <cfvo type="percent" val="0"/>
        <cfvo type="num" val="0"/>
        <cfvo type="num" val="1"/>
      </iconSet>
    </cfRule>
  </conditionalFormatting>
  <conditionalFormatting sqref="AR753:AR755">
    <cfRule type="iconSet" priority="953">
      <iconSet iconSet="3Symbols2" showValue="0">
        <cfvo type="percent" val="0"/>
        <cfvo type="num" val="0"/>
        <cfvo type="num" val="1"/>
      </iconSet>
    </cfRule>
  </conditionalFormatting>
  <conditionalFormatting sqref="AR758:AR777 AR779:AR780">
    <cfRule type="iconSet" priority="133383">
      <iconSet iconSet="3Symbols2" showValue="0">
        <cfvo type="percent" val="0"/>
        <cfvo type="num" val="0"/>
        <cfvo type="num" val="1"/>
      </iconSet>
    </cfRule>
  </conditionalFormatting>
  <conditionalFormatting sqref="AR778">
    <cfRule type="iconSet" priority="157">
      <iconSet iconSet="3Symbols2" showValue="0">
        <cfvo type="percent" val="0"/>
        <cfvo type="num" val="0"/>
        <cfvo type="num" val="1"/>
      </iconSet>
    </cfRule>
  </conditionalFormatting>
  <conditionalFormatting sqref="AR781:AR1048576 AR4 AR394 AR74 AR601 AR710 AR8:AR11 AR32:AR33 AR35:AR36 AR38:AR39 AR182:AR183 AR201:AR202 AR275:AR276 AR283:AR284 AR286:AR287 AR303:AR304 AR367:AR368 AR372:AR373 AR377:AR378 AR396:AR397 AR545:AR546 AR553:AR554 AR561:AR562 AR569:AR570 AR577:AR578 AR585:AR586 AR593:AR594 AR603:AR604 AR611:AR612 AR654:AR655 AR705:AR706 AR712:AR713 AR724:AR725 AR751:AR752 AR756:AR757">
    <cfRule type="iconSet" priority="1833">
      <iconSet iconSet="3Symbols2" showValue="0">
        <cfvo type="percent" val="0"/>
        <cfvo type="num" val="0"/>
        <cfvo type="num" val="1"/>
      </iconSet>
    </cfRule>
  </conditionalFormatting>
  <conditionalFormatting sqref="AS12:AS31">
    <cfRule type="iconSet" priority="150313">
      <iconSet iconSet="3Symbols2" showValue="0">
        <cfvo type="percent" val="0"/>
        <cfvo type="num" val="0"/>
        <cfvo type="num" val="1"/>
      </iconSet>
    </cfRule>
  </conditionalFormatting>
  <conditionalFormatting sqref="AS34">
    <cfRule type="iconSet" priority="128444">
      <iconSet iconSet="3Symbols2" showValue="0">
        <cfvo type="percent" val="0"/>
        <cfvo type="num" val="0"/>
        <cfvo type="num" val="1"/>
      </iconSet>
    </cfRule>
  </conditionalFormatting>
  <conditionalFormatting sqref="AS37">
    <cfRule type="iconSet" priority="645">
      <iconSet iconSet="3Symbols2" showValue="0">
        <cfvo type="percent" val="0"/>
        <cfvo type="num" val="0"/>
        <cfvo type="num" val="1"/>
      </iconSet>
    </cfRule>
  </conditionalFormatting>
  <conditionalFormatting sqref="AS40:AS41">
    <cfRule type="iconSet" priority="596">
      <iconSet iconSet="3Symbols2" showValue="0">
        <cfvo type="percent" val="0"/>
        <cfvo type="num" val="0"/>
        <cfvo type="num" val="1"/>
      </iconSet>
    </cfRule>
  </conditionalFormatting>
  <conditionalFormatting sqref="AS68:AS73">
    <cfRule type="iconSet" priority="577">
      <iconSet iconSet="3Symbols2" showValue="0">
        <cfvo type="percent" val="0"/>
        <cfvo type="num" val="0"/>
        <cfvo type="num" val="1"/>
      </iconSet>
    </cfRule>
  </conditionalFormatting>
  <conditionalFormatting sqref="AS76">
    <cfRule type="iconSet" priority="1596">
      <iconSet iconSet="3Symbols2" showValue="0">
        <cfvo type="percent" val="0"/>
        <cfvo type="num" val="0"/>
        <cfvo type="num" val="1"/>
      </iconSet>
    </cfRule>
  </conditionalFormatting>
  <conditionalFormatting sqref="AS77">
    <cfRule type="iconSet" priority="167">
      <iconSet iconSet="3Symbols2" showValue="0">
        <cfvo type="percent" val="0"/>
        <cfvo type="num" val="0"/>
        <cfvo type="num" val="1"/>
      </iconSet>
    </cfRule>
  </conditionalFormatting>
  <conditionalFormatting sqref="AS78:AS181">
    <cfRule type="iconSet" priority="135088">
      <iconSet iconSet="3Symbols2" showValue="0">
        <cfvo type="percent" val="0"/>
        <cfvo type="num" val="0"/>
        <cfvo type="num" val="1"/>
      </iconSet>
    </cfRule>
  </conditionalFormatting>
  <conditionalFormatting sqref="AS184:AS200">
    <cfRule type="iconSet" priority="135659">
      <iconSet iconSet="3Symbols2" showValue="0">
        <cfvo type="percent" val="0"/>
        <cfvo type="num" val="0"/>
        <cfvo type="num" val="1"/>
      </iconSet>
    </cfRule>
  </conditionalFormatting>
  <conditionalFormatting sqref="AS203:AS274">
    <cfRule type="iconSet" priority="136263">
      <iconSet iconSet="3Symbols2" showValue="0">
        <cfvo type="percent" val="0"/>
        <cfvo type="num" val="0"/>
        <cfvo type="num" val="1"/>
      </iconSet>
    </cfRule>
  </conditionalFormatting>
  <conditionalFormatting sqref="AS277:AS282">
    <cfRule type="iconSet" priority="1504">
      <iconSet iconSet="3Symbols2" showValue="0">
        <cfvo type="percent" val="0"/>
        <cfvo type="num" val="0"/>
        <cfvo type="num" val="1"/>
      </iconSet>
    </cfRule>
  </conditionalFormatting>
  <conditionalFormatting sqref="AS347:AS349 AS285">
    <cfRule type="iconSet" priority="1481">
      <iconSet iconSet="3Symbols2" showValue="0">
        <cfvo type="percent" val="0"/>
        <cfvo type="num" val="0"/>
        <cfvo type="num" val="1"/>
      </iconSet>
    </cfRule>
  </conditionalFormatting>
  <conditionalFormatting sqref="AS350:AS354">
    <cfRule type="iconSet" priority="126265">
      <iconSet iconSet="3Symbols2" showValue="0">
        <cfvo type="percent" val="0"/>
        <cfvo type="num" val="0"/>
        <cfvo type="num" val="1"/>
      </iconSet>
    </cfRule>
  </conditionalFormatting>
  <conditionalFormatting sqref="AS355:AS364 AS305:AS307">
    <cfRule type="iconSet" priority="137870">
      <iconSet iconSet="3Symbols2" showValue="0">
        <cfvo type="percent" val="0"/>
        <cfvo type="num" val="0"/>
        <cfvo type="num" val="1"/>
      </iconSet>
    </cfRule>
  </conditionalFormatting>
  <conditionalFormatting sqref="AS365:AS366">
    <cfRule type="iconSet" priority="138413">
      <iconSet iconSet="3Symbols2" showValue="0">
        <cfvo type="percent" val="0"/>
        <cfvo type="num" val="0"/>
        <cfvo type="num" val="1"/>
      </iconSet>
    </cfRule>
  </conditionalFormatting>
  <conditionalFormatting sqref="AS369:AS371">
    <cfRule type="iconSet" priority="1412">
      <iconSet iconSet="3Symbols2" showValue="0">
        <cfvo type="percent" val="0"/>
        <cfvo type="num" val="0"/>
        <cfvo type="num" val="1"/>
      </iconSet>
    </cfRule>
  </conditionalFormatting>
  <conditionalFormatting sqref="AS374:AS376">
    <cfRule type="iconSet" priority="1389">
      <iconSet iconSet="3Symbols2" showValue="0">
        <cfvo type="percent" val="0"/>
        <cfvo type="num" val="0"/>
        <cfvo type="num" val="1"/>
      </iconSet>
    </cfRule>
  </conditionalFormatting>
  <conditionalFormatting sqref="AS379:AS380">
    <cfRule type="iconSet" priority="785">
      <iconSet iconSet="3Symbols2" showValue="0">
        <cfvo type="percent" val="0"/>
        <cfvo type="num" val="0"/>
        <cfvo type="num" val="1"/>
      </iconSet>
    </cfRule>
  </conditionalFormatting>
  <conditionalFormatting sqref="AS381:AS387">
    <cfRule type="iconSet" priority="805">
      <iconSet iconSet="3Symbols2" showValue="0">
        <cfvo type="percent" val="0"/>
        <cfvo type="num" val="0"/>
        <cfvo type="num" val="1"/>
      </iconSet>
    </cfRule>
  </conditionalFormatting>
  <conditionalFormatting sqref="AS388:AS393">
    <cfRule type="iconSet" priority="765">
      <iconSet iconSet="3Symbols2" showValue="0">
        <cfvo type="percent" val="0"/>
        <cfvo type="num" val="0"/>
        <cfvo type="num" val="1"/>
      </iconSet>
    </cfRule>
  </conditionalFormatting>
  <conditionalFormatting sqref="AS547:AS552">
    <cfRule type="iconSet" priority="540">
      <iconSet iconSet="3Symbols2" showValue="0">
        <cfvo type="percent" val="0"/>
        <cfvo type="num" val="0"/>
        <cfvo type="num" val="1"/>
      </iconSet>
    </cfRule>
  </conditionalFormatting>
  <conditionalFormatting sqref="AS555:AS560">
    <cfRule type="iconSet" priority="517">
      <iconSet iconSet="3Symbols2" showValue="0">
        <cfvo type="percent" val="0"/>
        <cfvo type="num" val="0"/>
        <cfvo type="num" val="1"/>
      </iconSet>
    </cfRule>
  </conditionalFormatting>
  <conditionalFormatting sqref="AS563:AS568">
    <cfRule type="iconSet" priority="494">
      <iconSet iconSet="3Symbols2" showValue="0">
        <cfvo type="percent" val="0"/>
        <cfvo type="num" val="0"/>
        <cfvo type="num" val="1"/>
      </iconSet>
    </cfRule>
  </conditionalFormatting>
  <conditionalFormatting sqref="AS571:AS576">
    <cfRule type="iconSet" priority="471">
      <iconSet iconSet="3Symbols2" showValue="0">
        <cfvo type="percent" val="0"/>
        <cfvo type="num" val="0"/>
        <cfvo type="num" val="1"/>
      </iconSet>
    </cfRule>
  </conditionalFormatting>
  <conditionalFormatting sqref="AS579:AS584">
    <cfRule type="iconSet" priority="448">
      <iconSet iconSet="3Symbols2" showValue="0">
        <cfvo type="percent" val="0"/>
        <cfvo type="num" val="0"/>
        <cfvo type="num" val="1"/>
      </iconSet>
    </cfRule>
  </conditionalFormatting>
  <conditionalFormatting sqref="AS587:AS592">
    <cfRule type="iconSet" priority="425">
      <iconSet iconSet="3Symbols2" showValue="0">
        <cfvo type="percent" val="0"/>
        <cfvo type="num" val="0"/>
        <cfvo type="num" val="1"/>
      </iconSet>
    </cfRule>
  </conditionalFormatting>
  <conditionalFormatting sqref="AS595:AS600">
    <cfRule type="iconSet" priority="402">
      <iconSet iconSet="3Symbols2" showValue="0">
        <cfvo type="percent" val="0"/>
        <cfvo type="num" val="0"/>
        <cfvo type="num" val="1"/>
      </iconSet>
    </cfRule>
  </conditionalFormatting>
  <conditionalFormatting sqref="AS605:AS608">
    <cfRule type="iconSet" priority="1067">
      <iconSet iconSet="3Symbols2" showValue="0">
        <cfvo type="percent" val="0"/>
        <cfvo type="num" val="0"/>
        <cfvo type="num" val="1"/>
      </iconSet>
    </cfRule>
  </conditionalFormatting>
  <conditionalFormatting sqref="AS613 AS620:AS653">
    <cfRule type="iconSet" priority="129830">
      <iconSet iconSet="3Symbols2" showValue="0">
        <cfvo type="percent" val="0"/>
        <cfvo type="num" val="0"/>
        <cfvo type="num" val="1"/>
      </iconSet>
    </cfRule>
  </conditionalFormatting>
  <conditionalFormatting sqref="AS656:AS704">
    <cfRule type="iconSet" priority="130512">
      <iconSet iconSet="3Symbols2" showValue="0">
        <cfvo type="percent" val="0"/>
        <cfvo type="num" val="0"/>
        <cfvo type="num" val="1"/>
      </iconSet>
    </cfRule>
  </conditionalFormatting>
  <conditionalFormatting sqref="AS707:AS709">
    <cfRule type="iconSet" priority="906">
      <iconSet iconSet="3Symbols2" showValue="0">
        <cfvo type="percent" val="0"/>
        <cfvo type="num" val="0"/>
        <cfvo type="num" val="1"/>
      </iconSet>
    </cfRule>
  </conditionalFormatting>
  <conditionalFormatting sqref="AS714:AS723">
    <cfRule type="iconSet" priority="131191">
      <iconSet iconSet="3Symbols2" showValue="0">
        <cfvo type="percent" val="0"/>
        <cfvo type="num" val="0"/>
        <cfvo type="num" val="1"/>
      </iconSet>
    </cfRule>
  </conditionalFormatting>
  <conditionalFormatting sqref="AS726:AS750">
    <cfRule type="iconSet" priority="131896">
      <iconSet iconSet="3Symbols2" showValue="0">
        <cfvo type="percent" val="0"/>
        <cfvo type="num" val="0"/>
        <cfvo type="num" val="1"/>
      </iconSet>
    </cfRule>
  </conditionalFormatting>
  <conditionalFormatting sqref="AS753:AS755">
    <cfRule type="iconSet" priority="952">
      <iconSet iconSet="3Symbols2" showValue="0">
        <cfvo type="percent" val="0"/>
        <cfvo type="num" val="0"/>
        <cfvo type="num" val="1"/>
      </iconSet>
    </cfRule>
  </conditionalFormatting>
  <conditionalFormatting sqref="AS758:AS777 AS779:AS780">
    <cfRule type="iconSet" priority="133385">
      <iconSet iconSet="3Symbols2" showValue="0">
        <cfvo type="percent" val="0"/>
        <cfvo type="num" val="0"/>
        <cfvo type="num" val="1"/>
      </iconSet>
    </cfRule>
  </conditionalFormatting>
  <conditionalFormatting sqref="AS778">
    <cfRule type="iconSet" priority="156">
      <iconSet iconSet="3Symbols2" showValue="0">
        <cfvo type="percent" val="0"/>
        <cfvo type="num" val="0"/>
        <cfvo type="num" val="1"/>
      </iconSet>
    </cfRule>
  </conditionalFormatting>
  <conditionalFormatting sqref="AS781:AS1048576 AS4 AS394 AS74 AS601 AS710 AS8:AS11 AS32:AS33 AS35:AS36 AS38:AS39 AS182:AS183 AS201:AS202 AS275:AS276 AS283:AS284 AS286:AS287 AS303:AS304 AS367:AS368 AS372:AS373 AS377:AS378 AS396:AS397 AS545:AS546 AS553:AS554 AS561:AS562 AS569:AS570 AS577:AS578 AS585:AS586 AS593:AS594 AS603:AS604 AS611:AS612 AS654:AS655 AS705:AS706 AS712:AS713 AS724:AS725 AS751:AS752 AS756:AS757">
    <cfRule type="iconSet" priority="1832">
      <iconSet iconSet="3Symbols2" showValue="0">
        <cfvo type="percent" val="0"/>
        <cfvo type="num" val="0"/>
        <cfvo type="num" val="1"/>
      </iconSet>
    </cfRule>
  </conditionalFormatting>
  <conditionalFormatting sqref="AT12:AT31">
    <cfRule type="iconSet" priority="150353">
      <iconSet iconSet="3Symbols2" showValue="0">
        <cfvo type="percent" val="0"/>
        <cfvo type="num" val="0"/>
        <cfvo type="num" val="1"/>
      </iconSet>
    </cfRule>
  </conditionalFormatting>
  <conditionalFormatting sqref="AT34">
    <cfRule type="iconSet" priority="128483">
      <iconSet iconSet="3Symbols2" showValue="0">
        <cfvo type="percent" val="0"/>
        <cfvo type="num" val="0"/>
        <cfvo type="num" val="1"/>
      </iconSet>
    </cfRule>
  </conditionalFormatting>
  <conditionalFormatting sqref="AT37">
    <cfRule type="iconSet" priority="644">
      <iconSet iconSet="3Symbols2" showValue="0">
        <cfvo type="percent" val="0"/>
        <cfvo type="num" val="0"/>
        <cfvo type="num" val="1"/>
      </iconSet>
    </cfRule>
  </conditionalFormatting>
  <conditionalFormatting sqref="AT40:AT41">
    <cfRule type="iconSet" priority="595">
      <iconSet iconSet="3Symbols2" showValue="0">
        <cfvo type="percent" val="0"/>
        <cfvo type="num" val="0"/>
        <cfvo type="num" val="1"/>
      </iconSet>
    </cfRule>
  </conditionalFormatting>
  <conditionalFormatting sqref="AT68:AT73">
    <cfRule type="iconSet" priority="576">
      <iconSet iconSet="3Symbols2" showValue="0">
        <cfvo type="percent" val="0"/>
        <cfvo type="num" val="0"/>
        <cfvo type="num" val="1"/>
      </iconSet>
    </cfRule>
  </conditionalFormatting>
  <conditionalFormatting sqref="AT76">
    <cfRule type="iconSet" priority="1595">
      <iconSet iconSet="3Symbols2" showValue="0">
        <cfvo type="percent" val="0"/>
        <cfvo type="num" val="0"/>
        <cfvo type="num" val="1"/>
      </iconSet>
    </cfRule>
  </conditionalFormatting>
  <conditionalFormatting sqref="AT77">
    <cfRule type="iconSet" priority="166">
      <iconSet iconSet="3Symbols2" showValue="0">
        <cfvo type="percent" val="0"/>
        <cfvo type="num" val="0"/>
        <cfvo type="num" val="1"/>
      </iconSet>
    </cfRule>
  </conditionalFormatting>
  <conditionalFormatting sqref="AT78:AT181">
    <cfRule type="iconSet" priority="135125">
      <iconSet iconSet="3Symbols2" showValue="0">
        <cfvo type="percent" val="0"/>
        <cfvo type="num" val="0"/>
        <cfvo type="num" val="1"/>
      </iconSet>
    </cfRule>
  </conditionalFormatting>
  <conditionalFormatting sqref="AT184:AT200">
    <cfRule type="iconSet" priority="135696">
      <iconSet iconSet="3Symbols2" showValue="0">
        <cfvo type="percent" val="0"/>
        <cfvo type="num" val="0"/>
        <cfvo type="num" val="1"/>
      </iconSet>
    </cfRule>
  </conditionalFormatting>
  <conditionalFormatting sqref="AT203:AT274">
    <cfRule type="iconSet" priority="136299">
      <iconSet iconSet="3Symbols2" showValue="0">
        <cfvo type="percent" val="0"/>
        <cfvo type="num" val="0"/>
        <cfvo type="num" val="1"/>
      </iconSet>
    </cfRule>
  </conditionalFormatting>
  <conditionalFormatting sqref="AT277:AT282">
    <cfRule type="iconSet" priority="1503">
      <iconSet iconSet="3Symbols2" showValue="0">
        <cfvo type="percent" val="0"/>
        <cfvo type="num" val="0"/>
        <cfvo type="num" val="1"/>
      </iconSet>
    </cfRule>
  </conditionalFormatting>
  <conditionalFormatting sqref="AT347:AT349 AT285">
    <cfRule type="iconSet" priority="1480">
      <iconSet iconSet="3Symbols2" showValue="0">
        <cfvo type="percent" val="0"/>
        <cfvo type="num" val="0"/>
        <cfvo type="num" val="1"/>
      </iconSet>
    </cfRule>
  </conditionalFormatting>
  <conditionalFormatting sqref="AT350:AT354">
    <cfRule type="iconSet" priority="126304">
      <iconSet iconSet="3Symbols2" showValue="0">
        <cfvo type="percent" val="0"/>
        <cfvo type="num" val="0"/>
        <cfvo type="num" val="1"/>
      </iconSet>
    </cfRule>
  </conditionalFormatting>
  <conditionalFormatting sqref="AT355:AT364 AT305:AT307">
    <cfRule type="iconSet" priority="137907">
      <iconSet iconSet="3Symbols2" showValue="0">
        <cfvo type="percent" val="0"/>
        <cfvo type="num" val="0"/>
        <cfvo type="num" val="1"/>
      </iconSet>
    </cfRule>
  </conditionalFormatting>
  <conditionalFormatting sqref="AT365:AT366">
    <cfRule type="iconSet" priority="138449">
      <iconSet iconSet="3Symbols2" showValue="0">
        <cfvo type="percent" val="0"/>
        <cfvo type="num" val="0"/>
        <cfvo type="num" val="1"/>
      </iconSet>
    </cfRule>
  </conditionalFormatting>
  <conditionalFormatting sqref="AT369:AT371">
    <cfRule type="iconSet" priority="1411">
      <iconSet iconSet="3Symbols2" showValue="0">
        <cfvo type="percent" val="0"/>
        <cfvo type="num" val="0"/>
        <cfvo type="num" val="1"/>
      </iconSet>
    </cfRule>
  </conditionalFormatting>
  <conditionalFormatting sqref="AT374:AT376">
    <cfRule type="iconSet" priority="1388">
      <iconSet iconSet="3Symbols2" showValue="0">
        <cfvo type="percent" val="0"/>
        <cfvo type="num" val="0"/>
        <cfvo type="num" val="1"/>
      </iconSet>
    </cfRule>
  </conditionalFormatting>
  <conditionalFormatting sqref="AT379:AT380">
    <cfRule type="iconSet" priority="784">
      <iconSet iconSet="3Symbols2" showValue="0">
        <cfvo type="percent" val="0"/>
        <cfvo type="num" val="0"/>
        <cfvo type="num" val="1"/>
      </iconSet>
    </cfRule>
  </conditionalFormatting>
  <conditionalFormatting sqref="AT381:AT387">
    <cfRule type="iconSet" priority="804">
      <iconSet iconSet="3Symbols2" showValue="0">
        <cfvo type="percent" val="0"/>
        <cfvo type="num" val="0"/>
        <cfvo type="num" val="1"/>
      </iconSet>
    </cfRule>
  </conditionalFormatting>
  <conditionalFormatting sqref="AT388:AT393">
    <cfRule type="iconSet" priority="764">
      <iconSet iconSet="3Symbols2" showValue="0">
        <cfvo type="percent" val="0"/>
        <cfvo type="num" val="0"/>
        <cfvo type="num" val="1"/>
      </iconSet>
    </cfRule>
  </conditionalFormatting>
  <conditionalFormatting sqref="AT547:AT552">
    <cfRule type="iconSet" priority="539">
      <iconSet iconSet="3Symbols2" showValue="0">
        <cfvo type="percent" val="0"/>
        <cfvo type="num" val="0"/>
        <cfvo type="num" val="1"/>
      </iconSet>
    </cfRule>
  </conditionalFormatting>
  <conditionalFormatting sqref="AT555:AT560">
    <cfRule type="iconSet" priority="516">
      <iconSet iconSet="3Symbols2" showValue="0">
        <cfvo type="percent" val="0"/>
        <cfvo type="num" val="0"/>
        <cfvo type="num" val="1"/>
      </iconSet>
    </cfRule>
  </conditionalFormatting>
  <conditionalFormatting sqref="AT563:AT568">
    <cfRule type="iconSet" priority="493">
      <iconSet iconSet="3Symbols2" showValue="0">
        <cfvo type="percent" val="0"/>
        <cfvo type="num" val="0"/>
        <cfvo type="num" val="1"/>
      </iconSet>
    </cfRule>
  </conditionalFormatting>
  <conditionalFormatting sqref="AT571:AT576">
    <cfRule type="iconSet" priority="470">
      <iconSet iconSet="3Symbols2" showValue="0">
        <cfvo type="percent" val="0"/>
        <cfvo type="num" val="0"/>
        <cfvo type="num" val="1"/>
      </iconSet>
    </cfRule>
  </conditionalFormatting>
  <conditionalFormatting sqref="AT579:AT584">
    <cfRule type="iconSet" priority="447">
      <iconSet iconSet="3Symbols2" showValue="0">
        <cfvo type="percent" val="0"/>
        <cfvo type="num" val="0"/>
        <cfvo type="num" val="1"/>
      </iconSet>
    </cfRule>
  </conditionalFormatting>
  <conditionalFormatting sqref="AT587:AT592">
    <cfRule type="iconSet" priority="424">
      <iconSet iconSet="3Symbols2" showValue="0">
        <cfvo type="percent" val="0"/>
        <cfvo type="num" val="0"/>
        <cfvo type="num" val="1"/>
      </iconSet>
    </cfRule>
  </conditionalFormatting>
  <conditionalFormatting sqref="AT595:AT600">
    <cfRule type="iconSet" priority="401">
      <iconSet iconSet="3Symbols2" showValue="0">
        <cfvo type="percent" val="0"/>
        <cfvo type="num" val="0"/>
        <cfvo type="num" val="1"/>
      </iconSet>
    </cfRule>
  </conditionalFormatting>
  <conditionalFormatting sqref="AT605:AT608">
    <cfRule type="iconSet" priority="1066">
      <iconSet iconSet="3Symbols2" showValue="0">
        <cfvo type="percent" val="0"/>
        <cfvo type="num" val="0"/>
        <cfvo type="num" val="1"/>
      </iconSet>
    </cfRule>
  </conditionalFormatting>
  <conditionalFormatting sqref="AT613 AT620:AT653">
    <cfRule type="iconSet" priority="129869">
      <iconSet iconSet="3Symbols2" showValue="0">
        <cfvo type="percent" val="0"/>
        <cfvo type="num" val="0"/>
        <cfvo type="num" val="1"/>
      </iconSet>
    </cfRule>
  </conditionalFormatting>
  <conditionalFormatting sqref="AT656:AT704">
    <cfRule type="iconSet" priority="130551">
      <iconSet iconSet="3Symbols2" showValue="0">
        <cfvo type="percent" val="0"/>
        <cfvo type="num" val="0"/>
        <cfvo type="num" val="1"/>
      </iconSet>
    </cfRule>
  </conditionalFormatting>
  <conditionalFormatting sqref="AT707:AT709">
    <cfRule type="iconSet" priority="905">
      <iconSet iconSet="3Symbols2" showValue="0">
        <cfvo type="percent" val="0"/>
        <cfvo type="num" val="0"/>
        <cfvo type="num" val="1"/>
      </iconSet>
    </cfRule>
  </conditionalFormatting>
  <conditionalFormatting sqref="AT714:AT723">
    <cfRule type="iconSet" priority="131230">
      <iconSet iconSet="3Symbols2" showValue="0">
        <cfvo type="percent" val="0"/>
        <cfvo type="num" val="0"/>
        <cfvo type="num" val="1"/>
      </iconSet>
    </cfRule>
  </conditionalFormatting>
  <conditionalFormatting sqref="AT726:AT750">
    <cfRule type="iconSet" priority="131935">
      <iconSet iconSet="3Symbols2" showValue="0">
        <cfvo type="percent" val="0"/>
        <cfvo type="num" val="0"/>
        <cfvo type="num" val="1"/>
      </iconSet>
    </cfRule>
  </conditionalFormatting>
  <conditionalFormatting sqref="AT753:AT755">
    <cfRule type="iconSet" priority="951">
      <iconSet iconSet="3Symbols2" showValue="0">
        <cfvo type="percent" val="0"/>
        <cfvo type="num" val="0"/>
        <cfvo type="num" val="1"/>
      </iconSet>
    </cfRule>
  </conditionalFormatting>
  <conditionalFormatting sqref="AT758:AT777 AT779:AT780">
    <cfRule type="iconSet" priority="133387">
      <iconSet iconSet="3Symbols2" showValue="0">
        <cfvo type="percent" val="0"/>
        <cfvo type="num" val="0"/>
        <cfvo type="num" val="1"/>
      </iconSet>
    </cfRule>
  </conditionalFormatting>
  <conditionalFormatting sqref="AT778">
    <cfRule type="iconSet" priority="155">
      <iconSet iconSet="3Symbols2" showValue="0">
        <cfvo type="percent" val="0"/>
        <cfvo type="num" val="0"/>
        <cfvo type="num" val="1"/>
      </iconSet>
    </cfRule>
  </conditionalFormatting>
  <conditionalFormatting sqref="AT781:AT1048576 AT4 AT394 AT74 AT601 AT710 AT8:AT11 AT32:AT33 AT35:AT36 AT38:AT39 AT182:AT183 AT201:AT202 AT275:AT276 AT283:AT284 AT286:AT287 AT303:AT304 AT367:AT368 AT372:AT373 AT377:AT378 AT396:AT397 AT545:AT546 AT553:AT554 AT561:AT562 AT569:AT570 AT577:AT578 AT585:AT586 AT593:AT594 AT603:AT604 AT611:AT612 AT654:AT655 AT705:AT706 AT712:AT713 AT724:AT725 AT751:AT752 AT756:AT757">
    <cfRule type="iconSet" priority="1831">
      <iconSet iconSet="3Symbols2" showValue="0">
        <cfvo type="percent" val="0"/>
        <cfvo type="num" val="0"/>
        <cfvo type="num" val="1"/>
      </iconSet>
    </cfRule>
  </conditionalFormatting>
  <conditionalFormatting sqref="O352:Q352">
    <cfRule type="iconSet" priority="150">
      <iconSet iconSet="3Symbols2" showValue="0">
        <cfvo type="percent" val="0"/>
        <cfvo type="num" val="0"/>
        <cfvo type="num" val="1"/>
      </iconSet>
    </cfRule>
  </conditionalFormatting>
  <conditionalFormatting sqref="T352:V352">
    <cfRule type="iconSet" priority="149">
      <iconSet iconSet="3Symbols2" showValue="0">
        <cfvo type="percent" val="0"/>
        <cfvo type="num" val="0"/>
        <cfvo type="num" val="1"/>
      </iconSet>
    </cfRule>
  </conditionalFormatting>
  <conditionalFormatting sqref="O351:Q351">
    <cfRule type="iconSet" priority="148">
      <iconSet iconSet="3Symbols2" showValue="0">
        <cfvo type="percent" val="0"/>
        <cfvo type="num" val="0"/>
        <cfvo type="num" val="1"/>
      </iconSet>
    </cfRule>
  </conditionalFormatting>
  <conditionalFormatting sqref="T351:V351">
    <cfRule type="iconSet" priority="147">
      <iconSet iconSet="3Symbols2" showValue="0">
        <cfvo type="percent" val="0"/>
        <cfvo type="num" val="0"/>
        <cfvo type="num" val="1"/>
      </iconSet>
    </cfRule>
  </conditionalFormatting>
  <conditionalFormatting sqref="O350:Q350">
    <cfRule type="iconSet" priority="146">
      <iconSet iconSet="3Symbols2" showValue="0">
        <cfvo type="percent" val="0"/>
        <cfvo type="num" val="0"/>
        <cfvo type="num" val="1"/>
      </iconSet>
    </cfRule>
  </conditionalFormatting>
  <conditionalFormatting sqref="T350:V350">
    <cfRule type="iconSet" priority="145">
      <iconSet iconSet="3Symbols2" showValue="0">
        <cfvo type="percent" val="0"/>
        <cfvo type="num" val="0"/>
        <cfvo type="num" val="1"/>
      </iconSet>
    </cfRule>
  </conditionalFormatting>
  <conditionalFormatting sqref="K353:K366">
    <cfRule type="iconSet" priority="142">
      <iconSet iconSet="3Symbols2" showValue="0">
        <cfvo type="percent" val="0"/>
        <cfvo type="num" val="0"/>
        <cfvo type="num" val="1"/>
      </iconSet>
    </cfRule>
  </conditionalFormatting>
  <conditionalFormatting sqref="R350:R352">
    <cfRule type="iconSet" priority="141">
      <iconSet iconSet="3Symbols2" showValue="0">
        <cfvo type="percent" val="0"/>
        <cfvo type="num" val="0"/>
        <cfvo type="num" val="1"/>
      </iconSet>
    </cfRule>
  </conditionalFormatting>
  <conditionalFormatting sqref="S350:S352">
    <cfRule type="iconSet" priority="140">
      <iconSet iconSet="3Symbols2" showValue="0">
        <cfvo type="percent" val="0"/>
        <cfvo type="num" val="0"/>
        <cfvo type="num" val="1"/>
      </iconSet>
    </cfRule>
  </conditionalFormatting>
  <conditionalFormatting sqref="N769:N776 N759:N767 N753:N755 N726:N750 N714:N723 N707:N708 N681:N691 N669:N679 N657:N667 N645:N653 N595:N600 N587:N592 N579:N584 N571:N576 N563:N568 N555:N560 N547:N552 N379:N393 N374:N376 N369:N371 N350:N352 N305:N307 N277 N37 N605:N610 N614:N643 N693:N704 N40:N73">
    <cfRule type="iconSet" priority="139">
      <iconSet iconSet="3Symbols2" showValue="0">
        <cfvo type="percent" val="0"/>
        <cfvo type="num" val="0"/>
        <cfvo type="num" val="1"/>
      </iconSet>
    </cfRule>
  </conditionalFormatting>
  <conditionalFormatting sqref="O726:O750">
    <cfRule type="iconSet" priority="138">
      <iconSet iconSet="3Symbols2" showValue="0">
        <cfvo type="percent" val="0"/>
        <cfvo type="num" val="0"/>
        <cfvo type="num" val="1"/>
      </iconSet>
    </cfRule>
  </conditionalFormatting>
  <conditionalFormatting sqref="O571:O576">
    <cfRule type="iconSet" priority="137">
      <iconSet iconSet="3Symbols2" showValue="0">
        <cfvo type="percent" val="0"/>
        <cfvo type="num" val="0"/>
        <cfvo type="num" val="1"/>
      </iconSet>
    </cfRule>
  </conditionalFormatting>
  <conditionalFormatting sqref="P579:P584">
    <cfRule type="iconSet" priority="136">
      <iconSet iconSet="3Symbols2" showValue="0">
        <cfvo type="percent" val="0"/>
        <cfvo type="num" val="0"/>
        <cfvo type="num" val="1"/>
      </iconSet>
    </cfRule>
  </conditionalFormatting>
  <conditionalFormatting sqref="P587:P592">
    <cfRule type="iconSet" priority="135">
      <iconSet iconSet="3Symbols2" showValue="0">
        <cfvo type="percent" val="0"/>
        <cfvo type="num" val="0"/>
        <cfvo type="num" val="1"/>
      </iconSet>
    </cfRule>
  </conditionalFormatting>
  <conditionalFormatting sqref="P595:P600">
    <cfRule type="iconSet" priority="134">
      <iconSet iconSet="3Symbols2" showValue="0">
        <cfvo type="percent" val="0"/>
        <cfvo type="num" val="0"/>
        <cfvo type="num" val="1"/>
      </iconSet>
    </cfRule>
  </conditionalFormatting>
  <conditionalFormatting sqref="B610:E610">
    <cfRule type="expression" dxfId="165" priority="131">
      <formula>AND($M610=1,$R610&lt;&gt;1)</formula>
    </cfRule>
    <cfRule type="expression" dxfId="164" priority="132">
      <formula>OR($K610=1,$R610=1)</formula>
    </cfRule>
    <cfRule type="expression" dxfId="163" priority="133">
      <formula>($I610="NA")</formula>
    </cfRule>
  </conditionalFormatting>
  <conditionalFormatting sqref="M609:M610">
    <cfRule type="iconSet" priority="130">
      <iconSet iconSet="3Symbols2" showValue="0">
        <cfvo type="percent" val="0"/>
        <cfvo type="num" val="0"/>
        <cfvo type="num" val="1"/>
      </iconSet>
    </cfRule>
  </conditionalFormatting>
  <conditionalFormatting sqref="X609:X610 Z609:AH610">
    <cfRule type="iconSet" priority="129">
      <iconSet iconSet="3Symbols2" showValue="0">
        <cfvo type="percent" val="0"/>
        <cfvo type="num" val="0"/>
        <cfvo type="num" val="1"/>
      </iconSet>
    </cfRule>
  </conditionalFormatting>
  <conditionalFormatting sqref="Y609:Y610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AK609:AK610 AP609:AP610">
    <cfRule type="iconSet" priority="127">
      <iconSet iconSet="3Symbols2" showValue="0">
        <cfvo type="percent" val="0"/>
        <cfvo type="num" val="0"/>
        <cfvo type="num" val="1"/>
      </iconSet>
    </cfRule>
  </conditionalFormatting>
  <conditionalFormatting sqref="AL609:AL610">
    <cfRule type="iconSet" priority="126">
      <iconSet iconSet="3Symbols2" showValue="0">
        <cfvo type="percent" val="0"/>
        <cfvo type="num" val="0"/>
        <cfvo type="num" val="1"/>
      </iconSet>
    </cfRule>
  </conditionalFormatting>
  <conditionalFormatting sqref="AM609:AM610">
    <cfRule type="iconSet" priority="125">
      <iconSet iconSet="3Symbols2" showValue="0">
        <cfvo type="percent" val="0"/>
        <cfvo type="num" val="0"/>
        <cfvo type="num" val="1"/>
      </iconSet>
    </cfRule>
  </conditionalFormatting>
  <conditionalFormatting sqref="AN609:AN610">
    <cfRule type="iconSet" priority="124">
      <iconSet iconSet="3Symbols2" showValue="0">
        <cfvo type="percent" val="0"/>
        <cfvo type="num" val="0"/>
        <cfvo type="num" val="1"/>
      </iconSet>
    </cfRule>
  </conditionalFormatting>
  <conditionalFormatting sqref="AO609:AO610">
    <cfRule type="iconSet" priority="123">
      <iconSet iconSet="3Symbols2" showValue="0">
        <cfvo type="percent" val="0"/>
        <cfvo type="num" val="0"/>
        <cfvo type="num" val="1"/>
      </iconSet>
    </cfRule>
  </conditionalFormatting>
  <conditionalFormatting sqref="AQ609:AQ610">
    <cfRule type="iconSet" priority="122">
      <iconSet iconSet="3Symbols2" showValue="0">
        <cfvo type="percent" val="0"/>
        <cfvo type="num" val="0"/>
        <cfvo type="num" val="1"/>
      </iconSet>
    </cfRule>
  </conditionalFormatting>
  <conditionalFormatting sqref="AR609:AR610">
    <cfRule type="iconSet" priority="121">
      <iconSet iconSet="3Symbols2" showValue="0">
        <cfvo type="percent" val="0"/>
        <cfvo type="num" val="0"/>
        <cfvo type="num" val="1"/>
      </iconSet>
    </cfRule>
  </conditionalFormatting>
  <conditionalFormatting sqref="AS609:AS610">
    <cfRule type="iconSet" priority="120">
      <iconSet iconSet="3Symbols2" showValue="0">
        <cfvo type="percent" val="0"/>
        <cfvo type="num" val="0"/>
        <cfvo type="num" val="1"/>
      </iconSet>
    </cfRule>
  </conditionalFormatting>
  <conditionalFormatting sqref="AT609:AT610">
    <cfRule type="iconSet" priority="119">
      <iconSet iconSet="3Symbols2" showValue="0">
        <cfvo type="percent" val="0"/>
        <cfvo type="num" val="0"/>
        <cfvo type="num" val="1"/>
      </iconSet>
    </cfRule>
  </conditionalFormatting>
  <conditionalFormatting sqref="O610:Q610">
    <cfRule type="iconSet" priority="118">
      <iconSet iconSet="3Symbols2" showValue="0">
        <cfvo type="percent" val="0"/>
        <cfvo type="num" val="0"/>
        <cfvo type="num" val="1"/>
      </iconSet>
    </cfRule>
  </conditionalFormatting>
  <conditionalFormatting sqref="T610:V610">
    <cfRule type="iconSet" priority="117">
      <iconSet iconSet="3Symbols2" showValue="0">
        <cfvo type="percent" val="0"/>
        <cfvo type="num" val="0"/>
        <cfvo type="num" val="1"/>
      </iconSet>
    </cfRule>
  </conditionalFormatting>
  <conditionalFormatting sqref="R609:R610">
    <cfRule type="iconSet" priority="116">
      <iconSet iconSet="3Symbols2" showValue="0">
        <cfvo type="percent" val="0"/>
        <cfvo type="num" val="0"/>
        <cfvo type="num" val="1"/>
      </iconSet>
    </cfRule>
  </conditionalFormatting>
  <conditionalFormatting sqref="S609:S610">
    <cfRule type="iconSet" priority="115">
      <iconSet iconSet="3Symbols2" showValue="0">
        <cfvo type="percent" val="0"/>
        <cfvo type="num" val="0"/>
        <cfvo type="num" val="1"/>
      </iconSet>
    </cfRule>
  </conditionalFormatting>
  <conditionalFormatting sqref="B609:E609">
    <cfRule type="expression" dxfId="162" priority="107">
      <formula>AND($M609=1,$R609&lt;&gt;1)</formula>
    </cfRule>
    <cfRule type="expression" dxfId="161" priority="108">
      <formula>OR($K609=1,$R609=1)</formula>
    </cfRule>
    <cfRule type="expression" dxfId="160" priority="109">
      <formula>($I609="NA")</formula>
    </cfRule>
  </conditionalFormatting>
  <conditionalFormatting sqref="O609:Q609">
    <cfRule type="iconSet" priority="106">
      <iconSet iconSet="3Symbols2" showValue="0">
        <cfvo type="percent" val="0"/>
        <cfvo type="num" val="0"/>
        <cfvo type="num" val="1"/>
      </iconSet>
    </cfRule>
  </conditionalFormatting>
  <conditionalFormatting sqref="T609:V609">
    <cfRule type="iconSet" priority="105">
      <iconSet iconSet="3Symbols2" showValue="0">
        <cfvo type="percent" val="0"/>
        <cfvo type="num" val="0"/>
        <cfvo type="num" val="1"/>
      </iconSet>
    </cfRule>
  </conditionalFormatting>
  <conditionalFormatting sqref="G618:H619">
    <cfRule type="expression" dxfId="159" priority="102">
      <formula>AND($M618=1,$R618&lt;&gt;1)</formula>
    </cfRule>
    <cfRule type="expression" dxfId="158" priority="103">
      <formula>OR($K618=1,$R618=1)</formula>
    </cfRule>
    <cfRule type="expression" dxfId="157" priority="104">
      <formula>($I618="NA")</formula>
    </cfRule>
  </conditionalFormatting>
  <conditionalFormatting sqref="B619:E619">
    <cfRule type="expression" dxfId="156" priority="99">
      <formula>AND($M619=1,$R619&lt;&gt;1)</formula>
    </cfRule>
    <cfRule type="expression" dxfId="155" priority="100">
      <formula>OR($K619=1,$R619=1)</formula>
    </cfRule>
    <cfRule type="expression" dxfId="154" priority="101">
      <formula>($I619="NA")</formula>
    </cfRule>
  </conditionalFormatting>
  <conditionalFormatting sqref="M614:M619">
    <cfRule type="iconSet" priority="98">
      <iconSet iconSet="3Symbols2" showValue="0">
        <cfvo type="percent" val="0"/>
        <cfvo type="num" val="0"/>
        <cfvo type="num" val="1"/>
      </iconSet>
    </cfRule>
  </conditionalFormatting>
  <conditionalFormatting sqref="X614:X619 Z614:AH619">
    <cfRule type="iconSet" priority="97">
      <iconSet iconSet="3Symbols2" showValue="0">
        <cfvo type="percent" val="0"/>
        <cfvo type="num" val="0"/>
        <cfvo type="num" val="1"/>
      </iconSet>
    </cfRule>
  </conditionalFormatting>
  <conditionalFormatting sqref="Y614:Y619">
    <cfRule type="iconSet" priority="96">
      <iconSet iconSet="3Symbols2" showValue="0">
        <cfvo type="percent" val="0"/>
        <cfvo type="num" val="0"/>
        <cfvo type="num" val="1"/>
      </iconSet>
    </cfRule>
  </conditionalFormatting>
  <conditionalFormatting sqref="AK614:AK619 AP614:AP619">
    <cfRule type="iconSet" priority="95">
      <iconSet iconSet="3Symbols2" showValue="0">
        <cfvo type="percent" val="0"/>
        <cfvo type="num" val="0"/>
        <cfvo type="num" val="1"/>
      </iconSet>
    </cfRule>
  </conditionalFormatting>
  <conditionalFormatting sqref="AL614:AL619">
    <cfRule type="iconSet" priority="94">
      <iconSet iconSet="3Symbols2" showValue="0">
        <cfvo type="percent" val="0"/>
        <cfvo type="num" val="0"/>
        <cfvo type="num" val="1"/>
      </iconSet>
    </cfRule>
  </conditionalFormatting>
  <conditionalFormatting sqref="AM614:AM619">
    <cfRule type="iconSet" priority="93">
      <iconSet iconSet="3Symbols2" showValue="0">
        <cfvo type="percent" val="0"/>
        <cfvo type="num" val="0"/>
        <cfvo type="num" val="1"/>
      </iconSet>
    </cfRule>
  </conditionalFormatting>
  <conditionalFormatting sqref="AN614:AN619">
    <cfRule type="iconSet" priority="92">
      <iconSet iconSet="3Symbols2" showValue="0">
        <cfvo type="percent" val="0"/>
        <cfvo type="num" val="0"/>
        <cfvo type="num" val="1"/>
      </iconSet>
    </cfRule>
  </conditionalFormatting>
  <conditionalFormatting sqref="AO614:AO619">
    <cfRule type="iconSet" priority="91">
      <iconSet iconSet="3Symbols2" showValue="0">
        <cfvo type="percent" val="0"/>
        <cfvo type="num" val="0"/>
        <cfvo type="num" val="1"/>
      </iconSet>
    </cfRule>
  </conditionalFormatting>
  <conditionalFormatting sqref="AQ614:AQ619">
    <cfRule type="iconSet" priority="90">
      <iconSet iconSet="3Symbols2" showValue="0">
        <cfvo type="percent" val="0"/>
        <cfvo type="num" val="0"/>
        <cfvo type="num" val="1"/>
      </iconSet>
    </cfRule>
  </conditionalFormatting>
  <conditionalFormatting sqref="AR614:AR619">
    <cfRule type="iconSet" priority="89">
      <iconSet iconSet="3Symbols2" showValue="0">
        <cfvo type="percent" val="0"/>
        <cfvo type="num" val="0"/>
        <cfvo type="num" val="1"/>
      </iconSet>
    </cfRule>
  </conditionalFormatting>
  <conditionalFormatting sqref="AS614:AS619">
    <cfRule type="iconSet" priority="88">
      <iconSet iconSet="3Symbols2" showValue="0">
        <cfvo type="percent" val="0"/>
        <cfvo type="num" val="0"/>
        <cfvo type="num" val="1"/>
      </iconSet>
    </cfRule>
  </conditionalFormatting>
  <conditionalFormatting sqref="AT614:AT619">
    <cfRule type="iconSet" priority="87">
      <iconSet iconSet="3Symbols2" showValue="0">
        <cfvo type="percent" val="0"/>
        <cfvo type="num" val="0"/>
        <cfvo type="num" val="1"/>
      </iconSet>
    </cfRule>
  </conditionalFormatting>
  <conditionalFormatting sqref="O619:Q619">
    <cfRule type="iconSet" priority="86">
      <iconSet iconSet="3Symbols2" showValue="0">
        <cfvo type="percent" val="0"/>
        <cfvo type="num" val="0"/>
        <cfvo type="num" val="1"/>
      </iconSet>
    </cfRule>
  </conditionalFormatting>
  <conditionalFormatting sqref="T619:V619">
    <cfRule type="iconSet" priority="85">
      <iconSet iconSet="3Symbols2" showValue="0">
        <cfvo type="percent" val="0"/>
        <cfvo type="num" val="0"/>
        <cfvo type="num" val="1"/>
      </iconSet>
    </cfRule>
  </conditionalFormatting>
  <conditionalFormatting sqref="R614:R619">
    <cfRule type="iconSet" priority="84">
      <iconSet iconSet="3Symbols2" showValue="0">
        <cfvo type="percent" val="0"/>
        <cfvo type="num" val="0"/>
        <cfvo type="num" val="1"/>
      </iconSet>
    </cfRule>
  </conditionalFormatting>
  <conditionalFormatting sqref="S614:S619">
    <cfRule type="iconSet" priority="83">
      <iconSet iconSet="3Symbols2" showValue="0">
        <cfvo type="percent" val="0"/>
        <cfvo type="num" val="0"/>
        <cfvo type="num" val="1"/>
      </iconSet>
    </cfRule>
  </conditionalFormatting>
  <conditionalFormatting sqref="B618:E618">
    <cfRule type="expression" dxfId="153" priority="75">
      <formula>AND($M618=1,$R618&lt;&gt;1)</formula>
    </cfRule>
    <cfRule type="expression" dxfId="152" priority="76">
      <formula>OR($K618=1,$R618=1)</formula>
    </cfRule>
    <cfRule type="expression" dxfId="151" priority="77">
      <formula>($I618="NA")</formula>
    </cfRule>
  </conditionalFormatting>
  <conditionalFormatting sqref="O618:Q618">
    <cfRule type="iconSet" priority="74">
      <iconSet iconSet="3Symbols2" showValue="0">
        <cfvo type="percent" val="0"/>
        <cfvo type="num" val="0"/>
        <cfvo type="num" val="1"/>
      </iconSet>
    </cfRule>
  </conditionalFormatting>
  <conditionalFormatting sqref="T618:V618">
    <cfRule type="iconSet" priority="73">
      <iconSet iconSet="3Symbols2" showValue="0">
        <cfvo type="percent" val="0"/>
        <cfvo type="num" val="0"/>
        <cfvo type="num" val="1"/>
      </iconSet>
    </cfRule>
  </conditionalFormatting>
  <conditionalFormatting sqref="G616:H617">
    <cfRule type="expression" dxfId="150" priority="70">
      <formula>AND($M616=1,$R616&lt;&gt;1)</formula>
    </cfRule>
    <cfRule type="expression" dxfId="149" priority="71">
      <formula>OR($K616=1,$R616=1)</formula>
    </cfRule>
    <cfRule type="expression" dxfId="148" priority="72">
      <formula>($I616="NA")</formula>
    </cfRule>
  </conditionalFormatting>
  <conditionalFormatting sqref="B617:E617">
    <cfRule type="expression" dxfId="147" priority="67">
      <formula>AND($M617=1,$R617&lt;&gt;1)</formula>
    </cfRule>
    <cfRule type="expression" dxfId="146" priority="68">
      <formula>OR($K617=1,$R617=1)</formula>
    </cfRule>
    <cfRule type="expression" dxfId="145" priority="69">
      <formula>($I617="NA")</formula>
    </cfRule>
  </conditionalFormatting>
  <conditionalFormatting sqref="O617:Q617">
    <cfRule type="iconSet" priority="66">
      <iconSet iconSet="3Symbols2" showValue="0">
        <cfvo type="percent" val="0"/>
        <cfvo type="num" val="0"/>
        <cfvo type="num" val="1"/>
      </iconSet>
    </cfRule>
  </conditionalFormatting>
  <conditionalFormatting sqref="T617:V617">
    <cfRule type="iconSet" priority="65">
      <iconSet iconSet="3Symbols2" showValue="0">
        <cfvo type="percent" val="0"/>
        <cfvo type="num" val="0"/>
        <cfvo type="num" val="1"/>
      </iconSet>
    </cfRule>
  </conditionalFormatting>
  <conditionalFormatting sqref="B616:E616">
    <cfRule type="expression" dxfId="144" priority="62">
      <formula>AND($M616=1,$R616&lt;&gt;1)</formula>
    </cfRule>
    <cfRule type="expression" dxfId="143" priority="63">
      <formula>OR($K616=1,$R616=1)</formula>
    </cfRule>
    <cfRule type="expression" dxfId="142" priority="64">
      <formula>($I616="NA")</formula>
    </cfRule>
  </conditionalFormatting>
  <conditionalFormatting sqref="O616:Q616">
    <cfRule type="iconSet" priority="61">
      <iconSet iconSet="3Symbols2" showValue="0">
        <cfvo type="percent" val="0"/>
        <cfvo type="num" val="0"/>
        <cfvo type="num" val="1"/>
      </iconSet>
    </cfRule>
  </conditionalFormatting>
  <conditionalFormatting sqref="T616:V616">
    <cfRule type="iconSet" priority="60">
      <iconSet iconSet="3Symbols2" showValue="0">
        <cfvo type="percent" val="0"/>
        <cfvo type="num" val="0"/>
        <cfvo type="num" val="1"/>
      </iconSet>
    </cfRule>
  </conditionalFormatting>
  <conditionalFormatting sqref="G614:H615">
    <cfRule type="expression" dxfId="141" priority="57">
      <formula>AND($M614=1,$R614&lt;&gt;1)</formula>
    </cfRule>
    <cfRule type="expression" dxfId="140" priority="58">
      <formula>OR($K614=1,$R614=1)</formula>
    </cfRule>
    <cfRule type="expression" dxfId="139" priority="59">
      <formula>($I614="NA")</formula>
    </cfRule>
  </conditionalFormatting>
  <conditionalFormatting sqref="B615:E615">
    <cfRule type="expression" dxfId="138" priority="54">
      <formula>AND($M615=1,$R615&lt;&gt;1)</formula>
    </cfRule>
    <cfRule type="expression" dxfId="137" priority="55">
      <formula>OR($K615=1,$R615=1)</formula>
    </cfRule>
    <cfRule type="expression" dxfId="136" priority="56">
      <formula>($I615="NA")</formula>
    </cfRule>
  </conditionalFormatting>
  <conditionalFormatting sqref="O615:Q615">
    <cfRule type="iconSet" priority="53">
      <iconSet iconSet="3Symbols2" showValue="0">
        <cfvo type="percent" val="0"/>
        <cfvo type="num" val="0"/>
        <cfvo type="num" val="1"/>
      </iconSet>
    </cfRule>
  </conditionalFormatting>
  <conditionalFormatting sqref="T615:V615">
    <cfRule type="iconSet" priority="52">
      <iconSet iconSet="3Symbols2" showValue="0">
        <cfvo type="percent" val="0"/>
        <cfvo type="num" val="0"/>
        <cfvo type="num" val="1"/>
      </iconSet>
    </cfRule>
  </conditionalFormatting>
  <conditionalFormatting sqref="B614:E614">
    <cfRule type="expression" dxfId="135" priority="49">
      <formula>AND($M614=1,$R614&lt;&gt;1)</formula>
    </cfRule>
    <cfRule type="expression" dxfId="134" priority="50">
      <formula>OR($K614=1,$R614=1)</formula>
    </cfRule>
    <cfRule type="expression" dxfId="133" priority="51">
      <formula>($I614="NA")</formula>
    </cfRule>
  </conditionalFormatting>
  <conditionalFormatting sqref="O614:Q614">
    <cfRule type="iconSet" priority="48">
      <iconSet iconSet="3Symbols2" showValue="0">
        <cfvo type="percent" val="0"/>
        <cfvo type="num" val="0"/>
        <cfvo type="num" val="1"/>
      </iconSet>
    </cfRule>
  </conditionalFormatting>
  <conditionalFormatting sqref="T614:V614">
    <cfRule type="iconSet" priority="47">
      <iconSet iconSet="3Symbols2" showValue="0">
        <cfvo type="percent" val="0"/>
        <cfvo type="num" val="0"/>
        <cfvo type="num" val="1"/>
      </iconSet>
    </cfRule>
  </conditionalFormatting>
  <conditionalFormatting sqref="R17:R25">
    <cfRule type="iconSet" priority="11">
      <iconSet iconSet="3Symbols2" showValue="0">
        <cfvo type="percent" val="0"/>
        <cfvo type="num" val="0"/>
        <cfvo type="num" val="1"/>
      </iconSet>
    </cfRule>
  </conditionalFormatting>
  <conditionalFormatting sqref="T17:T25">
    <cfRule type="iconSet" priority="10">
      <iconSet iconSet="3Symbols2" showValue="0">
        <cfvo type="percent" val="0"/>
        <cfvo type="num" val="0"/>
        <cfvo type="num" val="1"/>
      </iconSet>
    </cfRule>
  </conditionalFormatting>
  <conditionalFormatting sqref="M398:M544">
    <cfRule type="iconSet" priority="156542">
      <iconSet iconSet="3Symbols2" showValue="0">
        <cfvo type="percent" val="0"/>
        <cfvo type="num" val="0"/>
        <cfvo type="num" val="1"/>
      </iconSet>
    </cfRule>
  </conditionalFormatting>
  <conditionalFormatting sqref="N398:Q544">
    <cfRule type="iconSet" priority="156549">
      <iconSet iconSet="3Symbols2" showValue="0">
        <cfvo type="percent" val="0"/>
        <cfvo type="num" val="0"/>
        <cfvo type="num" val="1"/>
      </iconSet>
    </cfRule>
  </conditionalFormatting>
  <conditionalFormatting sqref="S398:V544">
    <cfRule type="iconSet" priority="156571">
      <iconSet iconSet="3Symbols2" showValue="0">
        <cfvo type="percent" val="0"/>
        <cfvo type="num" val="0"/>
        <cfvo type="num" val="1"/>
      </iconSet>
    </cfRule>
  </conditionalFormatting>
  <conditionalFormatting sqref="X398:X544 Z398:AH544">
    <cfRule type="iconSet" priority="156574">
      <iconSet iconSet="3Symbols2" showValue="0">
        <cfvo type="percent" val="0"/>
        <cfvo type="num" val="0"/>
        <cfvo type="num" val="1"/>
      </iconSet>
    </cfRule>
  </conditionalFormatting>
  <conditionalFormatting sqref="Y398:Y544">
    <cfRule type="iconSet" priority="156595">
      <iconSet iconSet="3Symbols2" showValue="0">
        <cfvo type="percent" val="0"/>
        <cfvo type="num" val="0"/>
        <cfvo type="num" val="1"/>
      </iconSet>
    </cfRule>
  </conditionalFormatting>
  <conditionalFormatting sqref="AK398:AK544 AP398:AP544">
    <cfRule type="iconSet" priority="156805">
      <iconSet iconSet="3Symbols2" showValue="0">
        <cfvo type="percent" val="0"/>
        <cfvo type="num" val="0"/>
        <cfvo type="num" val="1"/>
      </iconSet>
    </cfRule>
  </conditionalFormatting>
  <conditionalFormatting sqref="AL398:AL544">
    <cfRule type="iconSet" priority="156897">
      <iconSet iconSet="3Symbols2" showValue="0">
        <cfvo type="percent" val="0"/>
        <cfvo type="num" val="0"/>
        <cfvo type="num" val="1"/>
      </iconSet>
    </cfRule>
  </conditionalFormatting>
  <conditionalFormatting sqref="AM398:AM544">
    <cfRule type="iconSet" priority="156900">
      <iconSet iconSet="3Symbols2" showValue="0">
        <cfvo type="percent" val="0"/>
        <cfvo type="num" val="0"/>
        <cfvo type="num" val="1"/>
      </iconSet>
    </cfRule>
  </conditionalFormatting>
  <conditionalFormatting sqref="AN398:AN544">
    <cfRule type="iconSet" priority="156903">
      <iconSet iconSet="3Symbols2" showValue="0">
        <cfvo type="percent" val="0"/>
        <cfvo type="num" val="0"/>
        <cfvo type="num" val="1"/>
      </iconSet>
    </cfRule>
  </conditionalFormatting>
  <conditionalFormatting sqref="AO398:AO544">
    <cfRule type="iconSet" priority="156906">
      <iconSet iconSet="3Symbols2" showValue="0">
        <cfvo type="percent" val="0"/>
        <cfvo type="num" val="0"/>
        <cfvo type="num" val="1"/>
      </iconSet>
    </cfRule>
  </conditionalFormatting>
  <conditionalFormatting sqref="AQ398:AQ544">
    <cfRule type="iconSet" priority="156909">
      <iconSet iconSet="3Symbols2" showValue="0">
        <cfvo type="percent" val="0"/>
        <cfvo type="num" val="0"/>
        <cfvo type="num" val="1"/>
      </iconSet>
    </cfRule>
  </conditionalFormatting>
  <conditionalFormatting sqref="AR398:AR544">
    <cfRule type="iconSet" priority="156946">
      <iconSet iconSet="3Symbols2" showValue="0">
        <cfvo type="percent" val="0"/>
        <cfvo type="num" val="0"/>
        <cfvo type="num" val="1"/>
      </iconSet>
    </cfRule>
  </conditionalFormatting>
  <conditionalFormatting sqref="AS398:AS544">
    <cfRule type="iconSet" priority="156983">
      <iconSet iconSet="3Symbols2" showValue="0">
        <cfvo type="percent" val="0"/>
        <cfvo type="num" val="0"/>
        <cfvo type="num" val="1"/>
      </iconSet>
    </cfRule>
  </conditionalFormatting>
  <conditionalFormatting sqref="AT398:AT544">
    <cfRule type="iconSet" priority="157020">
      <iconSet iconSet="3Symbols2" showValue="0">
        <cfvo type="percent" val="0"/>
        <cfvo type="num" val="0"/>
        <cfvo type="num" val="1"/>
      </iconSet>
    </cfRule>
  </conditionalFormatting>
  <conditionalFormatting sqref="N288:N302 N308:N319 N327:N346">
    <cfRule type="iconSet" priority="157224">
      <iconSet iconSet="3Symbols2" showValue="0">
        <cfvo type="percent" val="0"/>
        <cfvo type="num" val="0"/>
        <cfvo type="num" val="1"/>
      </iconSet>
    </cfRule>
  </conditionalFormatting>
  <conditionalFormatting sqref="U288:U302 U308:U346">
    <cfRule type="iconSet" priority="157263">
      <iconSet iconSet="3Symbols2" showValue="0">
        <cfvo type="percent" val="0"/>
        <cfvo type="num" val="0"/>
        <cfvo type="num" val="1"/>
      </iconSet>
    </cfRule>
  </conditionalFormatting>
  <conditionalFormatting sqref="X288:X302 Z288:AH302 X308:X346 Z308:AH346">
    <cfRule type="iconSet" priority="157277">
      <iconSet iconSet="3Symbols2" showValue="0">
        <cfvo type="percent" val="0"/>
        <cfvo type="num" val="0"/>
        <cfvo type="num" val="1"/>
      </iconSet>
    </cfRule>
  </conditionalFormatting>
  <conditionalFormatting sqref="Y288:Y302 Y308:Y346">
    <cfRule type="iconSet" priority="157313">
      <iconSet iconSet="3Symbols2" showValue="0">
        <cfvo type="percent" val="0"/>
        <cfvo type="num" val="0"/>
        <cfvo type="num" val="1"/>
      </iconSet>
    </cfRule>
  </conditionalFormatting>
  <conditionalFormatting sqref="AK288:AK302 AP288:AP302 AK308:AK346 AP308:AP346">
    <cfRule type="iconSet" priority="157528">
      <iconSet iconSet="3Symbols2" showValue="0">
        <cfvo type="percent" val="0"/>
        <cfvo type="num" val="0"/>
        <cfvo type="num" val="1"/>
      </iconSet>
    </cfRule>
  </conditionalFormatting>
  <conditionalFormatting sqref="AL288:AL302 AL308:AL346">
    <cfRule type="iconSet" priority="157635">
      <iconSet iconSet="3Symbols2" showValue="0">
        <cfvo type="percent" val="0"/>
        <cfvo type="num" val="0"/>
        <cfvo type="num" val="1"/>
      </iconSet>
    </cfRule>
  </conditionalFormatting>
  <conditionalFormatting sqref="AM288:AM302 AM308:AM346">
    <cfRule type="iconSet" priority="157642">
      <iconSet iconSet="3Symbols2" showValue="0">
        <cfvo type="percent" val="0"/>
        <cfvo type="num" val="0"/>
        <cfvo type="num" val="1"/>
      </iconSet>
    </cfRule>
  </conditionalFormatting>
  <conditionalFormatting sqref="AN288:AN302 AN308:AN346">
    <cfRule type="iconSet" priority="157649">
      <iconSet iconSet="3Symbols2" showValue="0">
        <cfvo type="percent" val="0"/>
        <cfvo type="num" val="0"/>
        <cfvo type="num" val="1"/>
      </iconSet>
    </cfRule>
  </conditionalFormatting>
  <conditionalFormatting sqref="AO288:AO302 AO308:AO346">
    <cfRule type="iconSet" priority="157656">
      <iconSet iconSet="3Symbols2" showValue="0">
        <cfvo type="percent" val="0"/>
        <cfvo type="num" val="0"/>
        <cfvo type="num" val="1"/>
      </iconSet>
    </cfRule>
  </conditionalFormatting>
  <conditionalFormatting sqref="AQ288:AQ302 AQ308:AQ346">
    <cfRule type="iconSet" priority="157664">
      <iconSet iconSet="3Symbols2" showValue="0">
        <cfvo type="percent" val="0"/>
        <cfvo type="num" val="0"/>
        <cfvo type="num" val="1"/>
      </iconSet>
    </cfRule>
  </conditionalFormatting>
  <conditionalFormatting sqref="AR288:AR302 AR308:AR346">
    <cfRule type="iconSet" priority="157705">
      <iconSet iconSet="3Symbols2" showValue="0">
        <cfvo type="percent" val="0"/>
        <cfvo type="num" val="0"/>
        <cfvo type="num" val="1"/>
      </iconSet>
    </cfRule>
  </conditionalFormatting>
  <conditionalFormatting sqref="AS288:AS302 AS308:AS346">
    <cfRule type="iconSet" priority="157746">
      <iconSet iconSet="3Symbols2" showValue="0">
        <cfvo type="percent" val="0"/>
        <cfvo type="num" val="0"/>
        <cfvo type="num" val="1"/>
      </iconSet>
    </cfRule>
  </conditionalFormatting>
  <conditionalFormatting sqref="AT288:AT302 AT308:AT346">
    <cfRule type="iconSet" priority="157787">
      <iconSet iconSet="3Symbols2" showValue="0">
        <cfvo type="percent" val="0"/>
        <cfvo type="num" val="0"/>
        <cfvo type="num" val="1"/>
      </iconSet>
    </cfRule>
  </conditionalFormatting>
  <conditionalFormatting sqref="K285 K278:K282 K264:K274 K217:K228 K203 K13:K25 K288:K302 K308:K349">
    <cfRule type="iconSet" priority="157828">
      <iconSet iconSet="3Symbols2" showValue="0">
        <cfvo type="percent" val="0"/>
        <cfvo type="num" val="0"/>
        <cfvo type="num" val="1"/>
      </iconSet>
    </cfRule>
  </conditionalFormatting>
  <conditionalFormatting sqref="M320:M326">
    <cfRule type="iconSet" priority="157943">
      <iconSet iconSet="3Symbols2" showValue="0">
        <cfvo type="percent" val="0"/>
        <cfvo type="num" val="0"/>
        <cfvo type="num" val="1"/>
      </iconSet>
    </cfRule>
  </conditionalFormatting>
  <conditionalFormatting sqref="O320:O326">
    <cfRule type="iconSet" priority="157944">
      <iconSet iconSet="3Symbols2" showValue="0">
        <cfvo type="percent" val="0"/>
        <cfvo type="num" val="0"/>
        <cfvo type="num" val="1"/>
      </iconSet>
    </cfRule>
  </conditionalFormatting>
  <conditionalFormatting sqref="R320:R326">
    <cfRule type="iconSet" priority="157945">
      <iconSet iconSet="3Symbols2" showValue="0">
        <cfvo type="percent" val="0"/>
        <cfvo type="num" val="0"/>
        <cfvo type="num" val="1"/>
      </iconSet>
    </cfRule>
  </conditionalFormatting>
  <conditionalFormatting sqref="T320:T326">
    <cfRule type="iconSet" priority="157946">
      <iconSet iconSet="3Symbols2" showValue="0">
        <cfvo type="percent" val="0"/>
        <cfvo type="num" val="0"/>
        <cfvo type="num" val="1"/>
      </iconSet>
    </cfRule>
  </conditionalFormatting>
  <conditionalFormatting sqref="N320:N326">
    <cfRule type="iconSet" priority="5">
      <iconSet iconSet="3Symbols2" showValue="0">
        <cfvo type="percent" val="0"/>
        <cfvo type="num" val="0"/>
        <cfvo type="num" val="1"/>
      </iconSet>
    </cfRule>
  </conditionalFormatting>
  <conditionalFormatting sqref="M355:N361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R355">
    <cfRule type="iconSet" priority="3">
      <iconSet iconSet="3Symbols2" showValue="0">
        <cfvo type="percent" val="0"/>
        <cfvo type="num" val="0"/>
        <cfvo type="num" val="1"/>
      </iconSet>
    </cfRule>
  </conditionalFormatting>
  <conditionalFormatting sqref="M50:M73 M40:M48">
    <cfRule type="iconSet" priority="158147">
      <iconSet iconSet="3Symbols2" showValue="0">
        <cfvo type="percent" val="0"/>
        <cfvo type="num" val="0"/>
        <cfvo type="num" val="1"/>
      </iconSet>
    </cfRule>
  </conditionalFormatting>
  <conditionalFormatting sqref="O40:O73">
    <cfRule type="iconSet" priority="158161">
      <iconSet iconSet="3Symbols2" showValue="0">
        <cfvo type="percent" val="0"/>
        <cfvo type="num" val="0"/>
        <cfvo type="num" val="1"/>
      </iconSet>
    </cfRule>
  </conditionalFormatting>
  <conditionalFormatting sqref="P42:Q67">
    <cfRule type="iconSet" priority="158189">
      <iconSet iconSet="3Symbols2" showValue="0">
        <cfvo type="percent" val="0"/>
        <cfvo type="num" val="0"/>
        <cfvo type="num" val="1"/>
      </iconSet>
    </cfRule>
  </conditionalFormatting>
  <conditionalFormatting sqref="S42:V50 S62:V67 T51:V61">
    <cfRule type="iconSet" priority="158200">
      <iconSet iconSet="3Symbols2" showValue="0">
        <cfvo type="percent" val="0"/>
        <cfvo type="num" val="0"/>
        <cfvo type="num" val="1"/>
      </iconSet>
    </cfRule>
  </conditionalFormatting>
  <conditionalFormatting sqref="X42:X67 Z42:AH67">
    <cfRule type="iconSet" priority="158215">
      <iconSet iconSet="3Symbols2" showValue="0">
        <cfvo type="percent" val="0"/>
        <cfvo type="num" val="0"/>
        <cfvo type="num" val="1"/>
      </iconSet>
    </cfRule>
  </conditionalFormatting>
  <conditionalFormatting sqref="Y42:Y67">
    <cfRule type="iconSet" priority="158254">
      <iconSet iconSet="3Symbols2" showValue="0">
        <cfvo type="percent" val="0"/>
        <cfvo type="num" val="0"/>
        <cfvo type="num" val="1"/>
      </iconSet>
    </cfRule>
  </conditionalFormatting>
  <conditionalFormatting sqref="AK42:AK67 AP42:AP67">
    <cfRule type="iconSet" priority="158470">
      <iconSet iconSet="3Symbols2" showValue="0">
        <cfvo type="percent" val="0"/>
        <cfvo type="num" val="0"/>
        <cfvo type="num" val="1"/>
      </iconSet>
    </cfRule>
  </conditionalFormatting>
  <conditionalFormatting sqref="AL42:AL67">
    <cfRule type="iconSet" priority="158582">
      <iconSet iconSet="3Symbols2" showValue="0">
        <cfvo type="percent" val="0"/>
        <cfvo type="num" val="0"/>
        <cfvo type="num" val="1"/>
      </iconSet>
    </cfRule>
  </conditionalFormatting>
  <conditionalFormatting sqref="AM42:AM67">
    <cfRule type="iconSet" priority="158588">
      <iconSet iconSet="3Symbols2" showValue="0">
        <cfvo type="percent" val="0"/>
        <cfvo type="num" val="0"/>
        <cfvo type="num" val="1"/>
      </iconSet>
    </cfRule>
  </conditionalFormatting>
  <conditionalFormatting sqref="AN42:AN67">
    <cfRule type="iconSet" priority="158594">
      <iconSet iconSet="3Symbols2" showValue="0">
        <cfvo type="percent" val="0"/>
        <cfvo type="num" val="0"/>
        <cfvo type="num" val="1"/>
      </iconSet>
    </cfRule>
  </conditionalFormatting>
  <conditionalFormatting sqref="AO42:AO67">
    <cfRule type="iconSet" priority="158600">
      <iconSet iconSet="3Symbols2" showValue="0">
        <cfvo type="percent" val="0"/>
        <cfvo type="num" val="0"/>
        <cfvo type="num" val="1"/>
      </iconSet>
    </cfRule>
  </conditionalFormatting>
  <conditionalFormatting sqref="AQ42:AQ67">
    <cfRule type="iconSet" priority="158607">
      <iconSet iconSet="3Symbols2" showValue="0">
        <cfvo type="percent" val="0"/>
        <cfvo type="num" val="0"/>
        <cfvo type="num" val="1"/>
      </iconSet>
    </cfRule>
  </conditionalFormatting>
  <conditionalFormatting sqref="AR42:AR67">
    <cfRule type="iconSet" priority="158647">
      <iconSet iconSet="3Symbols2" showValue="0">
        <cfvo type="percent" val="0"/>
        <cfvo type="num" val="0"/>
        <cfvo type="num" val="1"/>
      </iconSet>
    </cfRule>
  </conditionalFormatting>
  <conditionalFormatting sqref="AS42:AS67">
    <cfRule type="iconSet" priority="158687">
      <iconSet iconSet="3Symbols2" showValue="0">
        <cfvo type="percent" val="0"/>
        <cfvo type="num" val="0"/>
        <cfvo type="num" val="1"/>
      </iconSet>
    </cfRule>
  </conditionalFormatting>
  <conditionalFormatting sqref="AT42:AT67">
    <cfRule type="iconSet" priority="158727">
      <iconSet iconSet="3Symbols2" showValue="0">
        <cfvo type="percent" val="0"/>
        <cfvo type="num" val="0"/>
        <cfvo type="num" val="1"/>
      </iconSet>
    </cfRule>
  </conditionalFormatting>
  <conditionalFormatting sqref="S51:S61">
    <cfRule type="iconSet" priority="2">
      <iconSet iconSet="3Symbols2" showValue="0">
        <cfvo type="percent" val="0"/>
        <cfvo type="num" val="0"/>
        <cfvo type="num" val="1"/>
      </iconSet>
    </cfRule>
  </conditionalFormatting>
  <conditionalFormatting sqref="R51:R61">
    <cfRule type="iconSet" priority="1">
      <iconSet iconSet="3Symbols2" showValue="0">
        <cfvo type="percent" val="0"/>
        <cfvo type="num" val="0"/>
        <cfvo type="num" val="1"/>
      </iconSet>
    </cfRule>
  </conditionalFormatting>
  <conditionalFormatting sqref="B44:E49 G44:I49">
    <cfRule type="expression" dxfId="132" priority="158898">
      <formula>AND($M43=1,$R44&lt;&gt;1)</formula>
    </cfRule>
    <cfRule type="expression" dxfId="131" priority="158899">
      <formula>OR($K44=1,$R44=1)</formula>
    </cfRule>
    <cfRule type="expression" dxfId="130" priority="158900">
      <formula>($I44="NA")</formula>
    </cfRule>
  </conditionalFormatting>
  <conditionalFormatting sqref="B43:E43 G43:I43">
    <cfRule type="expression" dxfId="129" priority="158901">
      <formula>AND(#REF!=1,$R43&lt;&gt;1)</formula>
    </cfRule>
    <cfRule type="expression" dxfId="128" priority="158902">
      <formula>OR($K43=1,$R43=1)</formula>
    </cfRule>
    <cfRule type="expression" dxfId="127" priority="158903">
      <formula>($I43="NA")</formula>
    </cfRule>
  </conditionalFormatting>
  <printOptions horizontalCentered="1"/>
  <pageMargins left="0.23622047244094491" right="0.27559055118110237" top="0.43307086614173229" bottom="0.6692913385826772" header="0.51181102362204722" footer="0.51181102362204722"/>
  <pageSetup paperSize="9" scale="21" firstPageNumber="0" fitToHeight="0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8" id="{312F4A0B-7183-4EE7-BBB9-7DCDC7999B9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14:cfRule type="iconSet" priority="209" id="{6D507A09-0456-449E-8041-F968FD7A984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K1:K2</xm:sqref>
        </x14:conditionalFormatting>
        <x14:conditionalFormatting xmlns:xm="http://schemas.microsoft.com/office/excel/2006/main">
          <x14:cfRule type="iconSet" priority="149693" id="{CF1DFA5E-5BA8-496E-96D4-C8D486F2E1A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K12 K26:K31</xm:sqref>
        </x14:conditionalFormatting>
        <x14:conditionalFormatting xmlns:xm="http://schemas.microsoft.com/office/excel/2006/main">
          <x14:cfRule type="iconSet" priority="127784" id="{B0CA4635-84A8-4D11-9764-F3F759FA3C1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K34</xm:sqref>
        </x14:conditionalFormatting>
        <x14:conditionalFormatting xmlns:xm="http://schemas.microsoft.com/office/excel/2006/main">
          <x14:cfRule type="iconSet" priority="662" id="{8E6830F5-3C3D-4D8D-A8FA-3185DF4A8CE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K37</xm:sqref>
        </x14:conditionalFormatting>
        <x14:conditionalFormatting xmlns:xm="http://schemas.microsoft.com/office/excel/2006/main">
          <x14:cfRule type="iconSet" priority="613" id="{48254935-80C3-4962-AAC6-F41018ABBF3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K40:K41</xm:sqref>
        </x14:conditionalFormatting>
        <x14:conditionalFormatting xmlns:xm="http://schemas.microsoft.com/office/excel/2006/main">
          <x14:cfRule type="iconSet" priority="594" id="{28CC2F7B-B27F-4F0E-919B-E3E2A0463E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K68:K73</xm:sqref>
        </x14:conditionalFormatting>
        <x14:conditionalFormatting xmlns:xm="http://schemas.microsoft.com/office/excel/2006/main">
          <x14:cfRule type="iconSet" priority="1626" id="{1C31225F-9E8A-47BB-86D8-2516C37D8D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K76</xm:sqref>
        </x14:conditionalFormatting>
        <x14:conditionalFormatting xmlns:xm="http://schemas.microsoft.com/office/excel/2006/main">
          <x14:cfRule type="iconSet" priority="134551" id="{E9626D70-85AB-40B6-B052-75B2C4D31F2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K78:K181</xm:sqref>
        </x14:conditionalFormatting>
        <x14:conditionalFormatting xmlns:xm="http://schemas.microsoft.com/office/excel/2006/main">
          <x14:cfRule type="iconSet" priority="135126" id="{58701075-335D-4AC3-8BD5-565F228ABE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K184:K200</xm:sqref>
        </x14:conditionalFormatting>
        <x14:conditionalFormatting xmlns:xm="http://schemas.microsoft.com/office/excel/2006/main">
          <x14:cfRule type="iconSet" priority="178" id="{90733041-B89E-4BE8-ACDD-FF8678C8F6D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K204:K216</xm:sqref>
        </x14:conditionalFormatting>
        <x14:conditionalFormatting xmlns:xm="http://schemas.microsoft.com/office/excel/2006/main">
          <x14:cfRule type="iconSet" priority="177" id="{2CABAC85-BF2C-49DA-9DCA-F25DD05085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K229:K263</xm:sqref>
        </x14:conditionalFormatting>
        <x14:conditionalFormatting xmlns:xm="http://schemas.microsoft.com/office/excel/2006/main">
          <x14:cfRule type="iconSet" priority="1522" id="{5E41AD6F-D66E-4845-91C9-D70D13B173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K277</xm:sqref>
        </x14:conditionalFormatting>
        <x14:conditionalFormatting xmlns:xm="http://schemas.microsoft.com/office/excel/2006/main">
          <x14:cfRule type="iconSet" priority="125592" id="{CE69F7E8-8E87-4703-BF00-A759E4911C8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K350:K352</xm:sqref>
        </x14:conditionalFormatting>
        <x14:conditionalFormatting xmlns:xm="http://schemas.microsoft.com/office/excel/2006/main">
          <x14:cfRule type="iconSet" priority="137435" id="{B2FE4AE7-79DD-4B4E-92DF-BD15A199B87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K305:K307</xm:sqref>
        </x14:conditionalFormatting>
        <x14:conditionalFormatting xmlns:xm="http://schemas.microsoft.com/office/excel/2006/main">
          <x14:cfRule type="iconSet" priority="1430" id="{DEF17C83-2CD7-49B8-A4A8-39547C2D341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K369:K371</xm:sqref>
        </x14:conditionalFormatting>
        <x14:conditionalFormatting xmlns:xm="http://schemas.microsoft.com/office/excel/2006/main">
          <x14:cfRule type="iconSet" priority="1407" id="{9F74A81F-04F7-4C74-944B-7DC0AE8DEE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K374:K376</xm:sqref>
        </x14:conditionalFormatting>
        <x14:conditionalFormatting xmlns:xm="http://schemas.microsoft.com/office/excel/2006/main">
          <x14:cfRule type="iconSet" priority="803" id="{C623F7DF-6FD0-46B4-A834-2D780CFC4AC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K379:K380</xm:sqref>
        </x14:conditionalFormatting>
        <x14:conditionalFormatting xmlns:xm="http://schemas.microsoft.com/office/excel/2006/main">
          <x14:cfRule type="iconSet" priority="823" id="{058FD231-9E01-4AB4-9F8F-023AC80A678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K381:K387</xm:sqref>
        </x14:conditionalFormatting>
        <x14:conditionalFormatting xmlns:xm="http://schemas.microsoft.com/office/excel/2006/main">
          <x14:cfRule type="iconSet" priority="783" id="{E67EBA11-18ED-4288-977A-280C713BFFF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K388:K393</xm:sqref>
        </x14:conditionalFormatting>
        <x14:conditionalFormatting xmlns:xm="http://schemas.microsoft.com/office/excel/2006/main">
          <x14:cfRule type="iconSet" priority="558" id="{074D0831-3157-4ACE-8ED6-7DB224D6E1C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K548:K552</xm:sqref>
        </x14:conditionalFormatting>
        <x14:conditionalFormatting xmlns:xm="http://schemas.microsoft.com/office/excel/2006/main">
          <x14:cfRule type="iconSet" priority="535" id="{7448B138-76F1-413A-80E7-CDB2DC27BB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K556:K560</xm:sqref>
        </x14:conditionalFormatting>
        <x14:conditionalFormatting xmlns:xm="http://schemas.microsoft.com/office/excel/2006/main">
          <x14:cfRule type="iconSet" priority="489" id="{E182F442-A5E8-46A3-93C4-CDD9DC2A3DA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K572:K576</xm:sqref>
        </x14:conditionalFormatting>
        <x14:conditionalFormatting xmlns:xm="http://schemas.microsoft.com/office/excel/2006/main">
          <x14:cfRule type="iconSet" priority="129192" id="{522DA2F8-88E5-469D-AD1C-AB34960975F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K613 K621:K644</xm:sqref>
        </x14:conditionalFormatting>
        <x14:conditionalFormatting xmlns:xm="http://schemas.microsoft.com/office/excel/2006/main">
          <x14:cfRule type="iconSet" priority="129876" id="{7E4C8220-8C71-4526-99FE-89CC157A56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K656 K658:K668 K680 K692</xm:sqref>
        </x14:conditionalFormatting>
        <x14:conditionalFormatting xmlns:xm="http://schemas.microsoft.com/office/excel/2006/main">
          <x14:cfRule type="iconSet" priority="924" id="{93D58A29-C40C-45D7-8750-470C37AFB69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K709</xm:sqref>
        </x14:conditionalFormatting>
        <x14:conditionalFormatting xmlns:xm="http://schemas.microsoft.com/office/excel/2006/main">
          <x14:cfRule type="iconSet" priority="130558" id="{EF1FC6AD-8619-48F8-AB8A-4C14611F9C9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K715:K723</xm:sqref>
        </x14:conditionalFormatting>
        <x14:conditionalFormatting xmlns:xm="http://schemas.microsoft.com/office/excel/2006/main">
          <x14:cfRule type="iconSet" priority="970" id="{DD59FDCE-B94D-4B2C-83BC-1171F61804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K754:K755</xm:sqref>
        </x14:conditionalFormatting>
        <x14:conditionalFormatting xmlns:xm="http://schemas.microsoft.com/office/excel/2006/main">
          <x14:cfRule type="iconSet" priority="133340" id="{9D75CCE2-1C10-452C-ACAF-A1E7DB21834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K758 K760:K768</xm:sqref>
        </x14:conditionalFormatting>
        <x14:conditionalFormatting xmlns:xm="http://schemas.microsoft.com/office/excel/2006/main">
          <x14:cfRule type="iconSet" priority="229" id="{CF1F3806-CBB2-4DEA-81D1-36E3697A985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K779</xm:sqref>
        </x14:conditionalFormatting>
        <x14:conditionalFormatting xmlns:xm="http://schemas.microsoft.com/office/excel/2006/main">
          <x14:cfRule type="iconSet" priority="164" id="{0A41A948-B176-48C1-B656-1831922333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K77:L77</xm:sqref>
        </x14:conditionalFormatting>
        <x14:conditionalFormatting xmlns:xm="http://schemas.microsoft.com/office/excel/2006/main">
          <x14:cfRule type="iconSet" priority="396" id="{FAB4243A-277E-4737-8ED0-B571CFE63D9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K547:L552</xm:sqref>
        </x14:conditionalFormatting>
        <x14:conditionalFormatting xmlns:xm="http://schemas.microsoft.com/office/excel/2006/main">
          <x14:cfRule type="iconSet" priority="389" id="{ADB77B68-25DC-4EFE-87D5-FF995805CA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K555:L560</xm:sqref>
        </x14:conditionalFormatting>
        <x14:conditionalFormatting xmlns:xm="http://schemas.microsoft.com/office/excel/2006/main">
          <x14:cfRule type="iconSet" priority="382" id="{FE6E0272-0077-46EA-BF38-1F78017461B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K563:L565</xm:sqref>
        </x14:conditionalFormatting>
        <x14:conditionalFormatting xmlns:xm="http://schemas.microsoft.com/office/excel/2006/main">
          <x14:cfRule type="iconSet" priority="375" id="{1BDC108E-28EB-4093-BC4E-1A90D463A11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K566:L568</xm:sqref>
        </x14:conditionalFormatting>
        <x14:conditionalFormatting xmlns:xm="http://schemas.microsoft.com/office/excel/2006/main">
          <x14:cfRule type="iconSet" priority="371" id="{9F36F06F-288D-4758-859B-21543372C57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K571:L576</xm:sqref>
        </x14:conditionalFormatting>
        <x14:conditionalFormatting xmlns:xm="http://schemas.microsoft.com/office/excel/2006/main">
          <x14:cfRule type="iconSet" priority="362" id="{97AB785E-A7EF-43C5-9CBA-E0F77946535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K579:L584</xm:sqref>
        </x14:conditionalFormatting>
        <x14:conditionalFormatting xmlns:xm="http://schemas.microsoft.com/office/excel/2006/main">
          <x14:cfRule type="iconSet" priority="353" id="{CFF8AFB8-3277-4AC8-98F8-D55EB439094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K587:L592</xm:sqref>
        </x14:conditionalFormatting>
        <x14:conditionalFormatting xmlns:xm="http://schemas.microsoft.com/office/excel/2006/main">
          <x14:cfRule type="iconSet" priority="344" id="{FF97FECA-FD78-449D-AA0E-414B38CF758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K595:L600</xm:sqref>
        </x14:conditionalFormatting>
        <x14:conditionalFormatting xmlns:xm="http://schemas.microsoft.com/office/excel/2006/main">
          <x14:cfRule type="iconSet" priority="335" id="{A2269D5F-F30A-4424-BB31-E113FD64205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K605:L608</xm:sqref>
        </x14:conditionalFormatting>
        <x14:conditionalFormatting xmlns:xm="http://schemas.microsoft.com/office/excel/2006/main">
          <x14:cfRule type="iconSet" priority="329" id="{5A9DAD85-AA79-4F68-9AA5-CD67D2DFF5D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K620:L643</xm:sqref>
        </x14:conditionalFormatting>
        <x14:conditionalFormatting xmlns:xm="http://schemas.microsoft.com/office/excel/2006/main">
          <x14:cfRule type="iconSet" priority="323" id="{70B43A4B-92DB-455E-886B-11882C76879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K645:L653</xm:sqref>
        </x14:conditionalFormatting>
        <x14:conditionalFormatting xmlns:xm="http://schemas.microsoft.com/office/excel/2006/main">
          <x14:cfRule type="iconSet" priority="317" id="{96B41F3F-7B84-43C8-85AF-D8231ECA2F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K657:L667</xm:sqref>
        </x14:conditionalFormatting>
        <x14:conditionalFormatting xmlns:xm="http://schemas.microsoft.com/office/excel/2006/main">
          <x14:cfRule type="iconSet" priority="310" id="{CBEBD2C6-8495-46F2-8DB0-D99295AE86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K669:L679</xm:sqref>
        </x14:conditionalFormatting>
        <x14:conditionalFormatting xmlns:xm="http://schemas.microsoft.com/office/excel/2006/main">
          <x14:cfRule type="iconSet" priority="303" id="{419D4A3A-0A45-4A95-93A4-B18F764B76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K681:L691</xm:sqref>
        </x14:conditionalFormatting>
        <x14:conditionalFormatting xmlns:xm="http://schemas.microsoft.com/office/excel/2006/main">
          <x14:cfRule type="iconSet" priority="296" id="{AF707780-447B-4818-823D-F7A5F6B920D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K693:L704</xm:sqref>
        </x14:conditionalFormatting>
        <x14:conditionalFormatting xmlns:xm="http://schemas.microsoft.com/office/excel/2006/main">
          <x14:cfRule type="iconSet" priority="281" id="{3B27B4BB-106A-48AF-A614-D283A37ABB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K707:L708</xm:sqref>
        </x14:conditionalFormatting>
        <x14:conditionalFormatting xmlns:xm="http://schemas.microsoft.com/office/excel/2006/main">
          <x14:cfRule type="iconSet" priority="273" id="{B783A902-AC20-4A09-B6A2-00621125D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K714:L723</xm:sqref>
        </x14:conditionalFormatting>
        <x14:conditionalFormatting xmlns:xm="http://schemas.microsoft.com/office/excel/2006/main">
          <x14:cfRule type="iconSet" priority="261" id="{A2F1B073-7EE0-4147-BF18-A41C85E2858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K726:L750</xm:sqref>
        </x14:conditionalFormatting>
        <x14:conditionalFormatting xmlns:xm="http://schemas.microsoft.com/office/excel/2006/main">
          <x14:cfRule type="iconSet" priority="251" id="{B72048A4-5387-4735-95FA-1E104E7815D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K753:L755</xm:sqref>
        </x14:conditionalFormatting>
        <x14:conditionalFormatting xmlns:xm="http://schemas.microsoft.com/office/excel/2006/main">
          <x14:cfRule type="iconSet" priority="244" id="{73114F97-31F8-4A9B-9ECD-D40A082746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K759:L767</xm:sqref>
        </x14:conditionalFormatting>
        <x14:conditionalFormatting xmlns:xm="http://schemas.microsoft.com/office/excel/2006/main">
          <x14:cfRule type="iconSet" priority="235" id="{912E5394-3F58-4E8E-8107-5F5C060827D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K769:L777</xm:sqref>
        </x14:conditionalFormatting>
        <x14:conditionalFormatting xmlns:xm="http://schemas.microsoft.com/office/excel/2006/main">
          <x14:cfRule type="iconSet" priority="153" id="{68FDB845-97EC-4FF0-8F2F-B556D29BCD3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K778:L778</xm:sqref>
        </x14:conditionalFormatting>
        <x14:conditionalFormatting xmlns:xm="http://schemas.microsoft.com/office/excel/2006/main">
          <x14:cfRule type="iconSet" priority="228" id="{69D2EFB8-7780-430C-96A4-A5710AF089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K780:L780</xm:sqref>
        </x14:conditionalFormatting>
        <x14:conditionalFormatting xmlns:xm="http://schemas.microsoft.com/office/excel/2006/main">
          <x14:cfRule type="iconSet" priority="1722" id="{CB2EB4D2-5398-4578-9522-643D211E2F9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K781:L1048576 K3 K6:L6 K394:L394 K74:L74 K601:L601 K710:L710 K8:L11 K32:L33 K35:L36 K38:L39 K182:L183 K201:L202 K275:L276 K283:L284 K286:L287 K303:L304 K367:L368 K372:L373 K377:L378 K396:L397 K545:L546 K553:L554 K561:L562 K569:L570 K577:L578 K585:L586 K593:L594 K603:L604 K611:L612 K654:L655 K705:L706 K712:L713 K724:L725 K751:L752 K756:L757</xm:sqref>
        </x14:conditionalFormatting>
        <x14:conditionalFormatting xmlns:xm="http://schemas.microsoft.com/office/excel/2006/main">
          <x14:cfRule type="iconSet" priority="207" id="{5F607EDE-3525-4588-8975-9A3FC353323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L1:L2</xm:sqref>
        </x14:conditionalFormatting>
        <x14:conditionalFormatting xmlns:xm="http://schemas.microsoft.com/office/excel/2006/main">
          <x14:cfRule type="iconSet" priority="149740" id="{2A72FCCF-EE4C-4FFD-AE19-A596D8D6438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L12 L26:L31</xm:sqref>
        </x14:conditionalFormatting>
        <x14:conditionalFormatting xmlns:xm="http://schemas.microsoft.com/office/excel/2006/main">
          <x14:cfRule type="iconSet" priority="127823" id="{DC931B77-D564-414C-951E-210B95E810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L34</xm:sqref>
        </x14:conditionalFormatting>
        <x14:conditionalFormatting xmlns:xm="http://schemas.microsoft.com/office/excel/2006/main">
          <x14:cfRule type="iconSet" priority="661" id="{F4740AF9-FCE3-4064-8875-477B9E6C828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L37</xm:sqref>
        </x14:conditionalFormatting>
        <x14:conditionalFormatting xmlns:xm="http://schemas.microsoft.com/office/excel/2006/main">
          <x14:cfRule type="iconSet" priority="612" id="{06271AE6-7056-4324-8E38-EDAD581446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L40:L41</xm:sqref>
        </x14:conditionalFormatting>
        <x14:conditionalFormatting xmlns:xm="http://schemas.microsoft.com/office/excel/2006/main">
          <x14:cfRule type="iconSet" priority="593" id="{F90BA22B-2302-41C7-A2C3-4E96D89E13C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L68:L73</xm:sqref>
        </x14:conditionalFormatting>
        <x14:conditionalFormatting xmlns:xm="http://schemas.microsoft.com/office/excel/2006/main">
          <x14:cfRule type="iconSet" priority="1625" id="{4854CA65-1513-4DD4-A56F-0BB2F6F50EA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L76</xm:sqref>
        </x14:conditionalFormatting>
        <x14:conditionalFormatting xmlns:xm="http://schemas.microsoft.com/office/excel/2006/main">
          <x14:cfRule type="iconSet" priority="134593" id="{4C5F86C9-8B66-421E-8449-53FD1B1A8F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L78:L181</xm:sqref>
        </x14:conditionalFormatting>
        <x14:conditionalFormatting xmlns:xm="http://schemas.microsoft.com/office/excel/2006/main">
          <x14:cfRule type="iconSet" priority="135168" id="{72FDC69A-DD51-47C8-BF12-61A1D8375A5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L184:L200</xm:sqref>
        </x14:conditionalFormatting>
        <x14:conditionalFormatting xmlns:xm="http://schemas.microsoft.com/office/excel/2006/main">
          <x14:cfRule type="iconSet" priority="135791" id="{0AD7F502-5553-4A3F-8431-78BD9E25B26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L203:L274</xm:sqref>
        </x14:conditionalFormatting>
        <x14:conditionalFormatting xmlns:xm="http://schemas.microsoft.com/office/excel/2006/main">
          <x14:cfRule type="iconSet" priority="1521" id="{BC975AB4-E49E-45A7-BE3E-0D3D32EF6B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L277</xm:sqref>
        </x14:conditionalFormatting>
        <x14:conditionalFormatting xmlns:xm="http://schemas.microsoft.com/office/excel/2006/main">
          <x14:cfRule type="iconSet" priority="185" id="{5F68C063-F36B-47AC-A391-5E381A7931E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L278:L282</xm:sqref>
        </x14:conditionalFormatting>
        <x14:conditionalFormatting xmlns:xm="http://schemas.microsoft.com/office/excel/2006/main">
          <x14:cfRule type="iconSet" priority="137473" id="{A0D53A86-709D-488A-9CA6-A6215EC9B45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L305:L307</xm:sqref>
        </x14:conditionalFormatting>
        <x14:conditionalFormatting xmlns:xm="http://schemas.microsoft.com/office/excel/2006/main">
          <x14:cfRule type="iconSet" priority="184" id="{E20EA367-302B-41A1-864F-DF484E917A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L347:L349 L285</xm:sqref>
        </x14:conditionalFormatting>
        <x14:conditionalFormatting xmlns:xm="http://schemas.microsoft.com/office/excel/2006/main">
          <x14:cfRule type="iconSet" priority="175" id="{002BE795-64BF-479D-B5D7-5B12F49756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L350:L366</xm:sqref>
        </x14:conditionalFormatting>
        <x14:conditionalFormatting xmlns:xm="http://schemas.microsoft.com/office/excel/2006/main">
          <x14:cfRule type="iconSet" priority="1429" id="{BDCFFB74-19A0-4B84-BDB0-E7CC56C9BBF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L369:L371</xm:sqref>
        </x14:conditionalFormatting>
        <x14:conditionalFormatting xmlns:xm="http://schemas.microsoft.com/office/excel/2006/main">
          <x14:cfRule type="iconSet" priority="1406" id="{9BF4C51A-ECFD-4229-9BC8-7AEB7523E6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L374:L376</xm:sqref>
        </x14:conditionalFormatting>
        <x14:conditionalFormatting xmlns:xm="http://schemas.microsoft.com/office/excel/2006/main">
          <x14:cfRule type="iconSet" priority="802" id="{5722EC1E-7394-4855-AD4A-CCCDBABDD64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L379:L380</xm:sqref>
        </x14:conditionalFormatting>
        <x14:conditionalFormatting xmlns:xm="http://schemas.microsoft.com/office/excel/2006/main">
          <x14:cfRule type="iconSet" priority="822" id="{6A5AE249-CE9C-4741-AE8B-89445DE1E7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L381:L387</xm:sqref>
        </x14:conditionalFormatting>
        <x14:conditionalFormatting xmlns:xm="http://schemas.microsoft.com/office/excel/2006/main">
          <x14:cfRule type="iconSet" priority="782" id="{BE988F9D-568C-4186-B87B-C412A3655F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L388:L393</xm:sqref>
        </x14:conditionalFormatting>
        <x14:conditionalFormatting xmlns:xm="http://schemas.microsoft.com/office/excel/2006/main">
          <x14:cfRule type="iconSet" priority="557" id="{86BD8113-FA45-48E4-8506-4C9426983E8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L548:L552</xm:sqref>
        </x14:conditionalFormatting>
        <x14:conditionalFormatting xmlns:xm="http://schemas.microsoft.com/office/excel/2006/main">
          <x14:cfRule type="iconSet" priority="534" id="{3DB81814-6D67-496C-8078-D983B1A84A8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L556:L560</xm:sqref>
        </x14:conditionalFormatting>
        <x14:conditionalFormatting xmlns:xm="http://schemas.microsoft.com/office/excel/2006/main">
          <x14:cfRule type="iconSet" priority="488" id="{E137216F-6BE8-454D-B601-0124675B5EA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L572:L576</xm:sqref>
        </x14:conditionalFormatting>
        <x14:conditionalFormatting xmlns:xm="http://schemas.microsoft.com/office/excel/2006/main">
          <x14:cfRule type="iconSet" priority="129231" id="{3D77DFC2-5072-44F0-8A4B-3658693C77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L613 L621:L644</xm:sqref>
        </x14:conditionalFormatting>
        <x14:conditionalFormatting xmlns:xm="http://schemas.microsoft.com/office/excel/2006/main">
          <x14:cfRule type="iconSet" priority="129915" id="{D3FC98C3-F5A5-4D5E-BABF-EE58E8EB7C5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L656 L658:L668 L680 L692</xm:sqref>
        </x14:conditionalFormatting>
        <x14:conditionalFormatting xmlns:xm="http://schemas.microsoft.com/office/excel/2006/main">
          <x14:cfRule type="iconSet" priority="923" id="{A5E874FA-4105-4826-90B8-756B775EED4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L709</xm:sqref>
        </x14:conditionalFormatting>
        <x14:conditionalFormatting xmlns:xm="http://schemas.microsoft.com/office/excel/2006/main">
          <x14:cfRule type="iconSet" priority="130597" id="{AF92FFF6-756B-42F8-A770-CEC5247E533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L715:L723</xm:sqref>
        </x14:conditionalFormatting>
        <x14:conditionalFormatting xmlns:xm="http://schemas.microsoft.com/office/excel/2006/main">
          <x14:cfRule type="iconSet" priority="969" id="{4D978B3E-4BC5-4331-9203-6DE4083550E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L754:L755</xm:sqref>
        </x14:conditionalFormatting>
        <x14:conditionalFormatting xmlns:xm="http://schemas.microsoft.com/office/excel/2006/main">
          <x14:cfRule type="iconSet" priority="133343" id="{11D5D9C6-B5A9-4E04-AE85-C112C4AD47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L758 L760:L768</xm:sqref>
        </x14:conditionalFormatting>
        <x14:conditionalFormatting xmlns:xm="http://schemas.microsoft.com/office/excel/2006/main">
          <x14:cfRule type="iconSet" priority="226" id="{0E295170-C419-4D72-ACFA-3A5A1097C7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L779</xm:sqref>
        </x14:conditionalFormatting>
        <x14:conditionalFormatting xmlns:xm="http://schemas.microsoft.com/office/excel/2006/main">
          <x14:cfRule type="iconSet" priority="394" id="{C3B15FA6-F9DC-43ED-AB45-9027DBAD69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M547:M552</xm:sqref>
        </x14:conditionalFormatting>
        <x14:conditionalFormatting xmlns:xm="http://schemas.microsoft.com/office/excel/2006/main">
          <x14:cfRule type="iconSet" priority="387" id="{F1397392-E47F-4058-ADAB-96F6DFA0C8B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M555:M560</xm:sqref>
        </x14:conditionalFormatting>
        <x14:conditionalFormatting xmlns:xm="http://schemas.microsoft.com/office/excel/2006/main">
          <x14:cfRule type="iconSet" priority="380" id="{581A5DD1-F2D8-45B4-8694-686CBF68053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M563:M568</xm:sqref>
        </x14:conditionalFormatting>
        <x14:conditionalFormatting xmlns:xm="http://schemas.microsoft.com/office/excel/2006/main">
          <x14:cfRule type="iconSet" priority="367" id="{05F761D0-D7B1-4F37-999E-87DA9A2F18A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M571:M576</xm:sqref>
        </x14:conditionalFormatting>
        <x14:conditionalFormatting xmlns:xm="http://schemas.microsoft.com/office/excel/2006/main">
          <x14:cfRule type="iconSet" priority="359" id="{C34A72AA-6550-4E33-A5DB-A6007EE0B5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M579:M584</xm:sqref>
        </x14:conditionalFormatting>
        <x14:conditionalFormatting xmlns:xm="http://schemas.microsoft.com/office/excel/2006/main">
          <x14:cfRule type="iconSet" priority="350" id="{7C020C56-DF0E-46B3-A0E7-236956252C6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M587:M592</xm:sqref>
        </x14:conditionalFormatting>
        <x14:conditionalFormatting xmlns:xm="http://schemas.microsoft.com/office/excel/2006/main">
          <x14:cfRule type="iconSet" priority="341" id="{CF4F0C22-BE7B-4201-B37A-9099E3CD97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M595:M600</xm:sqref>
        </x14:conditionalFormatting>
        <x14:conditionalFormatting xmlns:xm="http://schemas.microsoft.com/office/excel/2006/main">
          <x14:cfRule type="iconSet" priority="334" id="{253BA837-12DD-465F-81D0-006AE83736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M605:M608</xm:sqref>
        </x14:conditionalFormatting>
        <x14:conditionalFormatting xmlns:xm="http://schemas.microsoft.com/office/excel/2006/main">
          <x14:cfRule type="iconSet" priority="328" id="{7BC2717F-CC60-494D-9759-D1BD6E3B1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M620:M643</xm:sqref>
        </x14:conditionalFormatting>
        <x14:conditionalFormatting xmlns:xm="http://schemas.microsoft.com/office/excel/2006/main">
          <x14:cfRule type="iconSet" priority="322" id="{8CCF52B4-60E5-4E84-A5DA-B2FEB74669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M645:M653</xm:sqref>
        </x14:conditionalFormatting>
        <x14:conditionalFormatting xmlns:xm="http://schemas.microsoft.com/office/excel/2006/main">
          <x14:cfRule type="iconSet" priority="316" id="{062257D0-8DE4-4BEE-94FA-6219C655D8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M657:M667</xm:sqref>
        </x14:conditionalFormatting>
        <x14:conditionalFormatting xmlns:xm="http://schemas.microsoft.com/office/excel/2006/main">
          <x14:cfRule type="iconSet" priority="309" id="{5651EF7D-9785-4152-A720-0CB39AA14B2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M669:M679</xm:sqref>
        </x14:conditionalFormatting>
        <x14:conditionalFormatting xmlns:xm="http://schemas.microsoft.com/office/excel/2006/main">
          <x14:cfRule type="iconSet" priority="302" id="{44EB1AB8-8966-4C5C-9A3E-5B10A3DEB44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M681:M691</xm:sqref>
        </x14:conditionalFormatting>
        <x14:conditionalFormatting xmlns:xm="http://schemas.microsoft.com/office/excel/2006/main">
          <x14:cfRule type="iconSet" priority="295" id="{15DF5CB6-3D0C-4572-9D80-64262185AD4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M693:M704</xm:sqref>
        </x14:conditionalFormatting>
        <x14:conditionalFormatting xmlns:xm="http://schemas.microsoft.com/office/excel/2006/main">
          <x14:cfRule type="iconSet" priority="280" id="{D0EA64D2-95CC-4C06-B9FE-F62584D34BC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M707:M708</xm:sqref>
        </x14:conditionalFormatting>
        <x14:conditionalFormatting xmlns:xm="http://schemas.microsoft.com/office/excel/2006/main">
          <x14:cfRule type="iconSet" priority="272" id="{00419FBB-8855-4F65-81F3-2EE162C6B75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M714:M723</xm:sqref>
        </x14:conditionalFormatting>
        <x14:conditionalFormatting xmlns:xm="http://schemas.microsoft.com/office/excel/2006/main">
          <x14:cfRule type="iconSet" priority="260" id="{4510BDD0-C52F-4C77-BB9A-D64D1DBF874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M726:M750</xm:sqref>
        </x14:conditionalFormatting>
        <x14:conditionalFormatting xmlns:xm="http://schemas.microsoft.com/office/excel/2006/main">
          <x14:cfRule type="iconSet" priority="250" id="{21EF6B9E-CAB3-4CB8-B750-9E9D3B18B16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M753:M755</xm:sqref>
        </x14:conditionalFormatting>
        <x14:conditionalFormatting xmlns:xm="http://schemas.microsoft.com/office/excel/2006/main">
          <x14:cfRule type="iconSet" priority="243" id="{C0C266BC-9DAE-49E1-9CC5-CAFDE8D4351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M759:M767</xm:sqref>
        </x14:conditionalFormatting>
        <x14:conditionalFormatting xmlns:xm="http://schemas.microsoft.com/office/excel/2006/main">
          <x14:cfRule type="iconSet" priority="234" id="{87673522-788C-407B-B14F-BCF55EB1AC6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M769:M777</xm:sqref>
        </x14:conditionalFormatting>
        <x14:conditionalFormatting xmlns:xm="http://schemas.microsoft.com/office/excel/2006/main">
          <x14:cfRule type="iconSet" priority="224" id="{F33F424D-1973-4A86-8D59-A54190C0906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M780</xm:sqref>
        </x14:conditionalFormatting>
        <x14:conditionalFormatting xmlns:xm="http://schemas.microsoft.com/office/excel/2006/main">
          <x14:cfRule type="iconSet" priority="368" id="{53844D31-F438-4CA8-82FB-C9E549842F7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Q571:Q576</xm:sqref>
        </x14:conditionalFormatting>
        <x14:conditionalFormatting xmlns:xm="http://schemas.microsoft.com/office/excel/2006/main">
          <x14:cfRule type="iconSet" priority="149790" id="{62800BA1-EA04-455D-BD10-6E2A7B2BB3E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R12 R26:R31</xm:sqref>
        </x14:conditionalFormatting>
        <x14:conditionalFormatting xmlns:xm="http://schemas.microsoft.com/office/excel/2006/main">
          <x14:cfRule type="iconSet" priority="127826" id="{BB2E4F03-290A-4AA6-963D-D0642F748B0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R34</xm:sqref>
        </x14:conditionalFormatting>
        <x14:conditionalFormatting xmlns:xm="http://schemas.microsoft.com/office/excel/2006/main">
          <x14:cfRule type="iconSet" priority="659" id="{3A6C8155-72E3-423F-B86F-DBD9D178573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R37</xm:sqref>
        </x14:conditionalFormatting>
        <x14:conditionalFormatting xmlns:xm="http://schemas.microsoft.com/office/excel/2006/main">
          <x14:cfRule type="iconSet" priority="610" id="{B287FC3F-8B34-4A00-8DA4-D4DA211E701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R40:R41</xm:sqref>
        </x14:conditionalFormatting>
        <x14:conditionalFormatting xmlns:xm="http://schemas.microsoft.com/office/excel/2006/main">
          <x14:cfRule type="iconSet" priority="591" id="{EFAC51FB-0472-451C-B599-9496E9D6DB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R68:R73</xm:sqref>
        </x14:conditionalFormatting>
        <x14:conditionalFormatting xmlns:xm="http://schemas.microsoft.com/office/excel/2006/main">
          <x14:cfRule type="iconSet" priority="1621" id="{AFF176F1-E6CC-4918-9B45-697F6C9CCE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R76</xm:sqref>
        </x14:conditionalFormatting>
        <x14:conditionalFormatting xmlns:xm="http://schemas.microsoft.com/office/excel/2006/main">
          <x14:cfRule type="iconSet" priority="134628" id="{5C8F0487-485E-4376-8C6C-524280C6B99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R78:R181</xm:sqref>
        </x14:conditionalFormatting>
        <x14:conditionalFormatting xmlns:xm="http://schemas.microsoft.com/office/excel/2006/main">
          <x14:cfRule type="iconSet" priority="135202" id="{F0EF8533-800F-4C16-8E21-7ABB8D9D237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R184:R200</xm:sqref>
        </x14:conditionalFormatting>
        <x14:conditionalFormatting xmlns:xm="http://schemas.microsoft.com/office/excel/2006/main">
          <x14:cfRule type="iconSet" priority="1518" id="{A04DE613-2EFF-488C-9A81-7D79D5928AE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R277</xm:sqref>
        </x14:conditionalFormatting>
        <x14:conditionalFormatting xmlns:xm="http://schemas.microsoft.com/office/excel/2006/main">
          <x14:cfRule type="iconSet" priority="137993" id="{B7BC26B8-CDA2-4DB6-A3D2-EAA42DF43BA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R353:R354 R305:R307 R356:R366</xm:sqref>
        </x14:conditionalFormatting>
        <x14:conditionalFormatting xmlns:xm="http://schemas.microsoft.com/office/excel/2006/main">
          <x14:cfRule type="iconSet" priority="1426" id="{1EBB7ADE-DBD0-42D8-A6A0-AE9CDF22268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R369:R371</xm:sqref>
        </x14:conditionalFormatting>
        <x14:conditionalFormatting xmlns:xm="http://schemas.microsoft.com/office/excel/2006/main">
          <x14:cfRule type="iconSet" priority="1403" id="{B0044B26-314B-4932-A8B1-4121178271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R374:R376</xm:sqref>
        </x14:conditionalFormatting>
        <x14:conditionalFormatting xmlns:xm="http://schemas.microsoft.com/office/excel/2006/main">
          <x14:cfRule type="iconSet" priority="799" id="{5FF69B0E-90D3-4EF1-9F15-B36FB17226F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R379:R380</xm:sqref>
        </x14:conditionalFormatting>
        <x14:conditionalFormatting xmlns:xm="http://schemas.microsoft.com/office/excel/2006/main">
          <x14:cfRule type="iconSet" priority="819" id="{669632D7-A4AB-4E37-BA3F-6A38456347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R381:R387</xm:sqref>
        </x14:conditionalFormatting>
        <x14:conditionalFormatting xmlns:xm="http://schemas.microsoft.com/office/excel/2006/main">
          <x14:cfRule type="iconSet" priority="779" id="{91E6E291-7B10-45E6-9DA6-3038DB90BFD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R388:R393</xm:sqref>
        </x14:conditionalFormatting>
        <x14:conditionalFormatting xmlns:xm="http://schemas.microsoft.com/office/excel/2006/main">
          <x14:cfRule type="iconSet" priority="554" id="{225782CB-B1C5-4E69-A67F-603EB2E342A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R547:R552</xm:sqref>
        </x14:conditionalFormatting>
        <x14:conditionalFormatting xmlns:xm="http://schemas.microsoft.com/office/excel/2006/main">
          <x14:cfRule type="iconSet" priority="531" id="{6315A27A-DB5E-46C3-8945-AB4625E652C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R555:R560</xm:sqref>
        </x14:conditionalFormatting>
        <x14:conditionalFormatting xmlns:xm="http://schemas.microsoft.com/office/excel/2006/main">
          <x14:cfRule type="iconSet" priority="508" id="{4C448501-DD5C-48D8-B21A-BFACB1E489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R563:R568</xm:sqref>
        </x14:conditionalFormatting>
        <x14:conditionalFormatting xmlns:xm="http://schemas.microsoft.com/office/excel/2006/main">
          <x14:cfRule type="iconSet" priority="485" id="{BA3A018D-EF70-414C-B731-79287261CA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R571:R576</xm:sqref>
        </x14:conditionalFormatting>
        <x14:conditionalFormatting xmlns:xm="http://schemas.microsoft.com/office/excel/2006/main">
          <x14:cfRule type="iconSet" priority="462" id="{23381898-4DBD-4381-8EA4-1D663FFBFF9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R579:R584</xm:sqref>
        </x14:conditionalFormatting>
        <x14:conditionalFormatting xmlns:xm="http://schemas.microsoft.com/office/excel/2006/main">
          <x14:cfRule type="iconSet" priority="439" id="{9A692B5B-45B8-4939-BFEE-932B5584A0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R587:R592</xm:sqref>
        </x14:conditionalFormatting>
        <x14:conditionalFormatting xmlns:xm="http://schemas.microsoft.com/office/excel/2006/main">
          <x14:cfRule type="iconSet" priority="416" id="{EAEF3CF7-AB2D-4692-9489-D0E35A3DB1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R595:R600</xm:sqref>
        </x14:conditionalFormatting>
        <x14:conditionalFormatting xmlns:xm="http://schemas.microsoft.com/office/excel/2006/main">
          <x14:cfRule type="iconSet" priority="1081" id="{424B5D29-6701-4814-83F9-1249EC67C05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R605:R608</xm:sqref>
        </x14:conditionalFormatting>
        <x14:conditionalFormatting xmlns:xm="http://schemas.microsoft.com/office/excel/2006/main">
          <x14:cfRule type="iconSet" priority="129234" id="{F819CC96-EB61-4D4C-997B-14AAEBD2DCE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R613 R620:R653</xm:sqref>
        </x14:conditionalFormatting>
        <x14:conditionalFormatting xmlns:xm="http://schemas.microsoft.com/office/excel/2006/main">
          <x14:cfRule type="iconSet" priority="129918" id="{164DE4C1-53E7-48D4-A369-23EAB46DFC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R656:R704</xm:sqref>
        </x14:conditionalFormatting>
        <x14:conditionalFormatting xmlns:xm="http://schemas.microsoft.com/office/excel/2006/main">
          <x14:cfRule type="iconSet" priority="920" id="{43FF34D2-CAC2-4591-859E-02D3AC3DD1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R707:R709</xm:sqref>
        </x14:conditionalFormatting>
        <x14:conditionalFormatting xmlns:xm="http://schemas.microsoft.com/office/excel/2006/main">
          <x14:cfRule type="iconSet" priority="130601" id="{89B440CA-52D8-4D50-A3CF-FCF022A48CD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R714:R723</xm:sqref>
        </x14:conditionalFormatting>
        <x14:conditionalFormatting xmlns:xm="http://schemas.microsoft.com/office/excel/2006/main">
          <x14:cfRule type="iconSet" priority="131270" id="{BDD0778A-F1EB-413F-ABAE-4E2FE4F23A1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R726:R750</xm:sqref>
        </x14:conditionalFormatting>
        <x14:conditionalFormatting xmlns:xm="http://schemas.microsoft.com/office/excel/2006/main">
          <x14:cfRule type="iconSet" priority="966" id="{6AE6442F-3F38-4AA1-85B7-DDE9943B0F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R753:R755</xm:sqref>
        </x14:conditionalFormatting>
        <x14:conditionalFormatting xmlns:xm="http://schemas.microsoft.com/office/excel/2006/main">
          <x14:cfRule type="iconSet" priority="133353" id="{13A80510-0CA3-418B-B181-90C20F5345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R758:R777 R779:R780</xm:sqref>
        </x14:conditionalFormatting>
        <x14:conditionalFormatting xmlns:xm="http://schemas.microsoft.com/office/excel/2006/main">
          <x14:cfRule type="iconSet" priority="1684" id="{DC993A52-17D1-45F1-9F78-6BCD4449EB6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</xm:sqref>
        </x14:conditionalFormatting>
        <x14:conditionalFormatting xmlns:xm="http://schemas.microsoft.com/office/excel/2006/main">
          <x14:cfRule type="iconSet" priority="149811" id="{A892249D-4837-43FE-A259-CBC54922E41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W12:W31</xm:sqref>
        </x14:conditionalFormatting>
        <x14:conditionalFormatting xmlns:xm="http://schemas.microsoft.com/office/excel/2006/main">
          <x14:cfRule type="iconSet" priority="127828" id="{1DDF0452-0F94-485B-9060-3F15DA8634F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W34</xm:sqref>
        </x14:conditionalFormatting>
        <x14:conditionalFormatting xmlns:xm="http://schemas.microsoft.com/office/excel/2006/main">
          <x14:cfRule type="iconSet" priority="657" id="{FFABBC4D-D51A-4141-B0EE-C6DDDD780D7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W37</xm:sqref>
        </x14:conditionalFormatting>
        <x14:conditionalFormatting xmlns:xm="http://schemas.microsoft.com/office/excel/2006/main">
          <x14:cfRule type="iconSet" priority="608" id="{4535BBD1-7BD9-43D4-A82B-B90480A2CE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W40:W41</xm:sqref>
        </x14:conditionalFormatting>
        <x14:conditionalFormatting xmlns:xm="http://schemas.microsoft.com/office/excel/2006/main">
          <x14:cfRule type="iconSet" priority="589" id="{410C9EA8-45CE-49FF-A28C-1D4AA036A84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W68:W73</xm:sqref>
        </x14:conditionalFormatting>
        <x14:conditionalFormatting xmlns:xm="http://schemas.microsoft.com/office/excel/2006/main">
          <x14:cfRule type="iconSet" priority="1616" id="{D364CD0F-DE2A-4F3A-A5B9-EFC3325CE1D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W76</xm:sqref>
        </x14:conditionalFormatting>
        <x14:conditionalFormatting xmlns:xm="http://schemas.microsoft.com/office/excel/2006/main">
          <x14:cfRule type="iconSet" priority="134640" id="{9108B7DC-2147-4B12-A3F3-C9BDAB5E1FF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W78:W181</xm:sqref>
        </x14:conditionalFormatting>
        <x14:conditionalFormatting xmlns:xm="http://schemas.microsoft.com/office/excel/2006/main">
          <x14:cfRule type="iconSet" priority="135213" id="{464512C0-88C6-4837-842A-988EB6DCE85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W184:W200</xm:sqref>
        </x14:conditionalFormatting>
        <x14:conditionalFormatting xmlns:xm="http://schemas.microsoft.com/office/excel/2006/main">
          <x14:cfRule type="iconSet" priority="135835" id="{46E33892-F6A6-41DA-8BA9-022E819F44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W203:W274</xm:sqref>
        </x14:conditionalFormatting>
        <x14:conditionalFormatting xmlns:xm="http://schemas.microsoft.com/office/excel/2006/main">
          <x14:cfRule type="iconSet" priority="1516" id="{A99357AD-679B-4CDB-9523-C9639399F2E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W277:W282</xm:sqref>
        </x14:conditionalFormatting>
        <x14:conditionalFormatting xmlns:xm="http://schemas.microsoft.com/office/excel/2006/main">
          <x14:cfRule type="iconSet" priority="1493" id="{C7BCD2D5-E16E-472A-887E-7B3E527805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W347:W349 W285</xm:sqref>
        </x14:conditionalFormatting>
        <x14:conditionalFormatting xmlns:xm="http://schemas.microsoft.com/office/excel/2006/main">
          <x14:cfRule type="iconSet" priority="125636" id="{FB304285-EAD4-4518-807C-514EDA670D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W350:W354</xm:sqref>
        </x14:conditionalFormatting>
        <x14:conditionalFormatting xmlns:xm="http://schemas.microsoft.com/office/excel/2006/main">
          <x14:cfRule type="iconSet" priority="137490" id="{7398829E-A7BB-4E84-B9ED-9F93F6F79F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W355:W364 W305:W307</xm:sqref>
        </x14:conditionalFormatting>
        <x14:conditionalFormatting xmlns:xm="http://schemas.microsoft.com/office/excel/2006/main">
          <x14:cfRule type="iconSet" priority="137997" id="{A68D83A3-F3D7-4989-8AB7-207031EC88A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W365:W366</xm:sqref>
        </x14:conditionalFormatting>
        <x14:conditionalFormatting xmlns:xm="http://schemas.microsoft.com/office/excel/2006/main">
          <x14:cfRule type="iconSet" priority="1424" id="{E1F0F0DC-43D2-4D4C-808A-F71B9F8304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W369:W371</xm:sqref>
        </x14:conditionalFormatting>
        <x14:conditionalFormatting xmlns:xm="http://schemas.microsoft.com/office/excel/2006/main">
          <x14:cfRule type="iconSet" priority="1401" id="{6C46559E-0175-48F9-93B0-22356D0169F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W374:W376</xm:sqref>
        </x14:conditionalFormatting>
        <x14:conditionalFormatting xmlns:xm="http://schemas.microsoft.com/office/excel/2006/main">
          <x14:cfRule type="iconSet" priority="797" id="{F7A90035-B93F-4B3A-81CA-E7475CC5040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W379:W380</xm:sqref>
        </x14:conditionalFormatting>
        <x14:conditionalFormatting xmlns:xm="http://schemas.microsoft.com/office/excel/2006/main">
          <x14:cfRule type="iconSet" priority="817" id="{19759FA5-2263-4781-973A-B9F6557229A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W381:W387</xm:sqref>
        </x14:conditionalFormatting>
        <x14:conditionalFormatting xmlns:xm="http://schemas.microsoft.com/office/excel/2006/main">
          <x14:cfRule type="iconSet" priority="777" id="{185529D6-C901-4708-AFE0-E8E6BF22470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W388:W393</xm:sqref>
        </x14:conditionalFormatting>
        <x14:conditionalFormatting xmlns:xm="http://schemas.microsoft.com/office/excel/2006/main">
          <x14:cfRule type="iconSet" priority="552" id="{8D28C3B8-0466-48F7-AB3B-0A47C317857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W547:W552</xm:sqref>
        </x14:conditionalFormatting>
        <x14:conditionalFormatting xmlns:xm="http://schemas.microsoft.com/office/excel/2006/main">
          <x14:cfRule type="iconSet" priority="529" id="{4136470E-C527-44F6-A10C-CF5ADE26889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W555:W560</xm:sqref>
        </x14:conditionalFormatting>
        <x14:conditionalFormatting xmlns:xm="http://schemas.microsoft.com/office/excel/2006/main">
          <x14:cfRule type="iconSet" priority="506" id="{61A54E67-2051-479D-BA63-7FB78FE341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W563:W568</xm:sqref>
        </x14:conditionalFormatting>
        <x14:conditionalFormatting xmlns:xm="http://schemas.microsoft.com/office/excel/2006/main">
          <x14:cfRule type="iconSet" priority="483" id="{CF18AAC4-3352-4240-9408-7F735184EB0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W571:W576</xm:sqref>
        </x14:conditionalFormatting>
        <x14:conditionalFormatting xmlns:xm="http://schemas.microsoft.com/office/excel/2006/main">
          <x14:cfRule type="iconSet" priority="460" id="{97415B0B-55CE-4F3B-9ABE-201BBE7199C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W579:W584</xm:sqref>
        </x14:conditionalFormatting>
        <x14:conditionalFormatting xmlns:xm="http://schemas.microsoft.com/office/excel/2006/main">
          <x14:cfRule type="iconSet" priority="437" id="{59CC4C35-A10B-4190-8624-86B4B343DF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W587:W592</xm:sqref>
        </x14:conditionalFormatting>
        <x14:conditionalFormatting xmlns:xm="http://schemas.microsoft.com/office/excel/2006/main">
          <x14:cfRule type="iconSet" priority="414" id="{C941359D-8A1E-4222-BC4C-0D68E2EE40E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W595:W600</xm:sqref>
        </x14:conditionalFormatting>
        <x14:conditionalFormatting xmlns:xm="http://schemas.microsoft.com/office/excel/2006/main">
          <x14:cfRule type="iconSet" priority="1079" id="{2CB5DAC7-9019-4CDC-879E-BE1BDBD3723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W605:W608</xm:sqref>
        </x14:conditionalFormatting>
        <x14:conditionalFormatting xmlns:xm="http://schemas.microsoft.com/office/excel/2006/main">
          <x14:cfRule type="iconSet" priority="129236" id="{9963C50F-7811-46AC-868B-D5B654CA38C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W613 W620:W653</xm:sqref>
        </x14:conditionalFormatting>
        <x14:conditionalFormatting xmlns:xm="http://schemas.microsoft.com/office/excel/2006/main">
          <x14:cfRule type="iconSet" priority="129920" id="{B1190928-F0F5-489F-B50D-B771C441759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W656:W704</xm:sqref>
        </x14:conditionalFormatting>
        <x14:conditionalFormatting xmlns:xm="http://schemas.microsoft.com/office/excel/2006/main">
          <x14:cfRule type="iconSet" priority="918" id="{33FABFB0-A743-4E85-9BF9-9DDBBEC7FF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W707:W709</xm:sqref>
        </x14:conditionalFormatting>
        <x14:conditionalFormatting xmlns:xm="http://schemas.microsoft.com/office/excel/2006/main">
          <x14:cfRule type="iconSet" priority="130603" id="{7F16E99D-D2CF-4F26-A328-2E17E6F0DD8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W714:W723</xm:sqref>
        </x14:conditionalFormatting>
        <x14:conditionalFormatting xmlns:xm="http://schemas.microsoft.com/office/excel/2006/main">
          <x14:cfRule type="iconSet" priority="131272" id="{0AF36E36-114F-43C9-AA5A-1F9170EDFC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W726:W750</xm:sqref>
        </x14:conditionalFormatting>
        <x14:conditionalFormatting xmlns:xm="http://schemas.microsoft.com/office/excel/2006/main">
          <x14:cfRule type="iconSet" priority="964" id="{D17BACD3-A81E-4185-A4E5-BC173C88286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W753:W755</xm:sqref>
        </x14:conditionalFormatting>
        <x14:conditionalFormatting xmlns:xm="http://schemas.microsoft.com/office/excel/2006/main">
          <x14:cfRule type="iconSet" priority="133357" id="{85912DF9-4C4A-4387-8DFC-426D2E62F1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W758:W777 W779:W780</xm:sqref>
        </x14:conditionalFormatting>
        <x14:conditionalFormatting xmlns:xm="http://schemas.microsoft.com/office/excel/2006/main">
          <x14:cfRule type="iconSet" priority="1615" id="{41567926-1F91-4E50-927B-ADE7886F863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X76</xm:sqref>
        </x14:conditionalFormatting>
        <x14:conditionalFormatting xmlns:xm="http://schemas.microsoft.com/office/excel/2006/main">
          <x14:cfRule type="iconSet" priority="1683" id="{06C39847-7D2D-438D-862C-8476EE4183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</xm:sqref>
        </x14:conditionalFormatting>
        <x14:conditionalFormatting xmlns:xm="http://schemas.microsoft.com/office/excel/2006/main">
          <x14:cfRule type="iconSet" priority="150078" id="{F786B217-7BD1-4C4E-9179-9969B2A4C6A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AI12:AI31</xm:sqref>
        </x14:conditionalFormatting>
        <x14:conditionalFormatting xmlns:xm="http://schemas.microsoft.com/office/excel/2006/main">
          <x14:cfRule type="iconSet" priority="128249" id="{127F0320-BE91-4498-9E13-00A4897254E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AI34</xm:sqref>
        </x14:conditionalFormatting>
        <x14:conditionalFormatting xmlns:xm="http://schemas.microsoft.com/office/excel/2006/main">
          <x14:cfRule type="iconSet" priority="654" id="{6EEC60C3-1D70-4F2E-8FFF-C4ADB633CA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AI37</xm:sqref>
        </x14:conditionalFormatting>
        <x14:conditionalFormatting xmlns:xm="http://schemas.microsoft.com/office/excel/2006/main">
          <x14:cfRule type="iconSet" priority="605" id="{CDFE4865-24A8-4617-B759-65FA3C7831B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AI40:AI41</xm:sqref>
        </x14:conditionalFormatting>
        <x14:conditionalFormatting xmlns:xm="http://schemas.microsoft.com/office/excel/2006/main">
          <x14:cfRule type="iconSet" priority="586" id="{7C70D46A-A846-4F62-A621-6FB4AFB03BD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AI68:AI73</xm:sqref>
        </x14:conditionalFormatting>
        <x14:conditionalFormatting xmlns:xm="http://schemas.microsoft.com/office/excel/2006/main">
          <x14:cfRule type="iconSet" priority="1605" id="{B0CC902E-DFA5-45C4-917E-FF21D9CC817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AI76</xm:sqref>
        </x14:conditionalFormatting>
        <x14:conditionalFormatting xmlns:xm="http://schemas.microsoft.com/office/excel/2006/main">
          <x14:cfRule type="iconSet" priority="134889" id="{92A5A929-BA0B-4355-BAB6-5D70B1574AE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AI78:AI181</xm:sqref>
        </x14:conditionalFormatting>
        <x14:conditionalFormatting xmlns:xm="http://schemas.microsoft.com/office/excel/2006/main">
          <x14:cfRule type="iconSet" priority="135461" id="{46C8FA11-8681-4C87-B09B-313C22FF922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AI184:AI200</xm:sqref>
        </x14:conditionalFormatting>
        <x14:conditionalFormatting xmlns:xm="http://schemas.microsoft.com/office/excel/2006/main">
          <x14:cfRule type="iconSet" priority="136077" id="{056FA148-703B-49C5-94F5-C7EFDB74148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AI203:AI274</xm:sqref>
        </x14:conditionalFormatting>
        <x14:conditionalFormatting xmlns:xm="http://schemas.microsoft.com/office/excel/2006/main">
          <x14:cfRule type="iconSet" priority="1513" id="{E839D7CF-8B99-4A5D-AC92-FA88D6BE1BA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AI277:AI282</xm:sqref>
        </x14:conditionalFormatting>
        <x14:conditionalFormatting xmlns:xm="http://schemas.microsoft.com/office/excel/2006/main">
          <x14:cfRule type="iconSet" priority="1490" id="{2AE52BB8-F0E5-42DA-84DC-1889AC1760C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AI347:AI349 AI285</xm:sqref>
        </x14:conditionalFormatting>
        <x14:conditionalFormatting xmlns:xm="http://schemas.microsoft.com/office/excel/2006/main">
          <x14:cfRule type="iconSet" priority="126064" id="{D11BF294-6AC3-4167-81E3-9707DB9808F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AI350:AI354</xm:sqref>
        </x14:conditionalFormatting>
        <x14:conditionalFormatting xmlns:xm="http://schemas.microsoft.com/office/excel/2006/main">
          <x14:cfRule type="iconSet" priority="137709" id="{33288BC1-643F-42FE-89CC-EC21FB4D13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AI355:AI364 AI305:AI307</xm:sqref>
        </x14:conditionalFormatting>
        <x14:conditionalFormatting xmlns:xm="http://schemas.microsoft.com/office/excel/2006/main">
          <x14:cfRule type="iconSet" priority="138233" id="{EEEB037D-0814-4F8C-BBD8-A3546D960E3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AI365:AI366</xm:sqref>
        </x14:conditionalFormatting>
        <x14:conditionalFormatting xmlns:xm="http://schemas.microsoft.com/office/excel/2006/main">
          <x14:cfRule type="iconSet" priority="1421" id="{2210EA28-A684-4397-A66A-78C47C4DCB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AI369:AI371</xm:sqref>
        </x14:conditionalFormatting>
        <x14:conditionalFormatting xmlns:xm="http://schemas.microsoft.com/office/excel/2006/main">
          <x14:cfRule type="iconSet" priority="1398" id="{A074D187-85FB-4778-B8D9-6709E7483B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AI374:AI376</xm:sqref>
        </x14:conditionalFormatting>
        <x14:conditionalFormatting xmlns:xm="http://schemas.microsoft.com/office/excel/2006/main">
          <x14:cfRule type="iconSet" priority="794" id="{464BC345-3D3D-4BD5-98F9-F69C4534491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AI379:AI380</xm:sqref>
        </x14:conditionalFormatting>
        <x14:conditionalFormatting xmlns:xm="http://schemas.microsoft.com/office/excel/2006/main">
          <x14:cfRule type="iconSet" priority="814" id="{E5CC24AE-E682-4417-895A-65CDAC1E61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AI381:AI387</xm:sqref>
        </x14:conditionalFormatting>
        <x14:conditionalFormatting xmlns:xm="http://schemas.microsoft.com/office/excel/2006/main">
          <x14:cfRule type="iconSet" priority="774" id="{A3F16ED7-7EF8-4FE5-9490-0359B6C59B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AI388:AI393</xm:sqref>
        </x14:conditionalFormatting>
        <x14:conditionalFormatting xmlns:xm="http://schemas.microsoft.com/office/excel/2006/main">
          <x14:cfRule type="iconSet" priority="549" id="{EFCD72E1-81B1-4C5F-BE70-65697AA038C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AI547:AI552</xm:sqref>
        </x14:conditionalFormatting>
        <x14:conditionalFormatting xmlns:xm="http://schemas.microsoft.com/office/excel/2006/main">
          <x14:cfRule type="iconSet" priority="526" id="{E6B2ABF4-FF65-4BB0-B130-BC29B8AA44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AI555:AI560</xm:sqref>
        </x14:conditionalFormatting>
        <x14:conditionalFormatting xmlns:xm="http://schemas.microsoft.com/office/excel/2006/main">
          <x14:cfRule type="iconSet" priority="503" id="{05ECEFB9-0525-437E-AD92-42EAB9D89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AI563:AI568</xm:sqref>
        </x14:conditionalFormatting>
        <x14:conditionalFormatting xmlns:xm="http://schemas.microsoft.com/office/excel/2006/main">
          <x14:cfRule type="iconSet" priority="480" id="{4EE5DF33-E6AB-438D-A718-A824229AEE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AI571:AI576</xm:sqref>
        </x14:conditionalFormatting>
        <x14:conditionalFormatting xmlns:xm="http://schemas.microsoft.com/office/excel/2006/main">
          <x14:cfRule type="iconSet" priority="457" id="{ECBEF550-1189-44B8-8077-4C75DFE1B8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AI579:AI584</xm:sqref>
        </x14:conditionalFormatting>
        <x14:conditionalFormatting xmlns:xm="http://schemas.microsoft.com/office/excel/2006/main">
          <x14:cfRule type="iconSet" priority="434" id="{60CA9117-96A8-439B-A620-23F872B3DB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AI587:AI592</xm:sqref>
        </x14:conditionalFormatting>
        <x14:conditionalFormatting xmlns:xm="http://schemas.microsoft.com/office/excel/2006/main">
          <x14:cfRule type="iconSet" priority="411" id="{5FDCD221-131D-4F10-9864-CCAE75465BB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AI595:AI600</xm:sqref>
        </x14:conditionalFormatting>
        <x14:conditionalFormatting xmlns:xm="http://schemas.microsoft.com/office/excel/2006/main">
          <x14:cfRule type="iconSet" priority="1076" id="{6F56FF08-E0E8-4D74-BBDF-0FA7ED48C54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AI605:AI608</xm:sqref>
        </x14:conditionalFormatting>
        <x14:conditionalFormatting xmlns:xm="http://schemas.microsoft.com/office/excel/2006/main">
          <x14:cfRule type="iconSet" priority="129646" id="{A21D8542-DDF8-493A-84C7-F2255E5BB71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AI613 AI620:AI653</xm:sqref>
        </x14:conditionalFormatting>
        <x14:conditionalFormatting xmlns:xm="http://schemas.microsoft.com/office/excel/2006/main">
          <x14:cfRule type="iconSet" priority="130329" id="{CF521FB6-1972-4F1E-ABB3-DDB9DCADF0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AI656:AI704</xm:sqref>
        </x14:conditionalFormatting>
        <x14:conditionalFormatting xmlns:xm="http://schemas.microsoft.com/office/excel/2006/main">
          <x14:cfRule type="iconSet" priority="915" id="{531B012B-52AB-4D09-84C7-ECEC4559FBC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AI707:AI709</xm:sqref>
        </x14:conditionalFormatting>
        <x14:conditionalFormatting xmlns:xm="http://schemas.microsoft.com/office/excel/2006/main">
          <x14:cfRule type="iconSet" priority="131010" id="{05C4BC53-A166-43EE-8A4A-EC86CE9D70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AI714:AI723</xm:sqref>
        </x14:conditionalFormatting>
        <x14:conditionalFormatting xmlns:xm="http://schemas.microsoft.com/office/excel/2006/main">
          <x14:cfRule type="iconSet" priority="131678" id="{8276E65B-8942-42BC-A3ED-008961CF8E5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AI726:AI750</xm:sqref>
        </x14:conditionalFormatting>
        <x14:conditionalFormatting xmlns:xm="http://schemas.microsoft.com/office/excel/2006/main">
          <x14:cfRule type="iconSet" priority="961" id="{21D641C2-67B0-4B0B-8DBA-FC4645D0D15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AI753:AI755</xm:sqref>
        </x14:conditionalFormatting>
        <x14:conditionalFormatting xmlns:xm="http://schemas.microsoft.com/office/excel/2006/main">
          <x14:cfRule type="iconSet" priority="133365" id="{8321ADCC-FDE8-41CB-994E-A545A33C44A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AI758:AI777 AI779:AI780</xm:sqref>
        </x14:conditionalFormatting>
        <x14:conditionalFormatting xmlns:xm="http://schemas.microsoft.com/office/excel/2006/main">
          <x14:cfRule type="iconSet" priority="150084" id="{F2C34CE2-6EED-43A9-9F11-6D609C8CA00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AJ12:AJ31</xm:sqref>
        </x14:conditionalFormatting>
        <x14:conditionalFormatting xmlns:xm="http://schemas.microsoft.com/office/excel/2006/main">
          <x14:cfRule type="iconSet" priority="128250" id="{66D8EFCA-85F6-49B0-9F90-E8458913022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AJ34</xm:sqref>
        </x14:conditionalFormatting>
        <x14:conditionalFormatting xmlns:xm="http://schemas.microsoft.com/office/excel/2006/main">
          <x14:cfRule type="iconSet" priority="653" id="{169D8FE4-FBB0-4899-BD93-A4DB622BE4D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AJ37</xm:sqref>
        </x14:conditionalFormatting>
        <x14:conditionalFormatting xmlns:xm="http://schemas.microsoft.com/office/excel/2006/main">
          <x14:cfRule type="iconSet" priority="604" id="{621ADF27-E9C9-48C3-97B9-E075619C65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AJ40:AJ41</xm:sqref>
        </x14:conditionalFormatting>
        <x14:conditionalFormatting xmlns:xm="http://schemas.microsoft.com/office/excel/2006/main">
          <x14:cfRule type="iconSet" priority="585" id="{A36EE387-E01D-4EAF-A5B9-96312B18568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AJ68:AJ73</xm:sqref>
        </x14:conditionalFormatting>
        <x14:conditionalFormatting xmlns:xm="http://schemas.microsoft.com/office/excel/2006/main">
          <x14:cfRule type="iconSet" priority="1604" id="{8BD5F64B-47F6-48E8-A262-2ADECFA537C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AJ76</xm:sqref>
        </x14:conditionalFormatting>
        <x14:conditionalFormatting xmlns:xm="http://schemas.microsoft.com/office/excel/2006/main">
          <x14:cfRule type="iconSet" priority="134892" id="{6C96ADBE-5B3A-4A42-B784-7B5C356229A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AJ78:AJ181</xm:sqref>
        </x14:conditionalFormatting>
        <x14:conditionalFormatting xmlns:xm="http://schemas.microsoft.com/office/excel/2006/main">
          <x14:cfRule type="iconSet" priority="135464" id="{40EF36B4-F1B8-4D13-8077-766F2602D1B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AJ184:AJ200</xm:sqref>
        </x14:conditionalFormatting>
        <x14:conditionalFormatting xmlns:xm="http://schemas.microsoft.com/office/excel/2006/main">
          <x14:cfRule type="iconSet" priority="136079" id="{2096A61A-2C40-4E95-B8DC-60C1F104E19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AJ203:AJ274</xm:sqref>
        </x14:conditionalFormatting>
        <x14:conditionalFormatting xmlns:xm="http://schemas.microsoft.com/office/excel/2006/main">
          <x14:cfRule type="iconSet" priority="1512" id="{D41DEC7C-9766-4F4C-BC79-EC7CFE7657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AJ277:AJ282</xm:sqref>
        </x14:conditionalFormatting>
        <x14:conditionalFormatting xmlns:xm="http://schemas.microsoft.com/office/excel/2006/main">
          <x14:cfRule type="iconSet" priority="1489" id="{7EB4F8B8-0727-49F6-B919-7C9B1795825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AJ347:AJ349 AJ285</xm:sqref>
        </x14:conditionalFormatting>
        <x14:conditionalFormatting xmlns:xm="http://schemas.microsoft.com/office/excel/2006/main">
          <x14:cfRule type="iconSet" priority="126065" id="{50E42A8C-B04A-40C3-9C04-89B961199BE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AJ350:AJ354</xm:sqref>
        </x14:conditionalFormatting>
        <x14:conditionalFormatting xmlns:xm="http://schemas.microsoft.com/office/excel/2006/main">
          <x14:cfRule type="iconSet" priority="137711" id="{8A5FAFEC-B86F-4A0D-97D7-C193D457FCA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AJ355:AJ364 AJ305:AJ307</xm:sqref>
        </x14:conditionalFormatting>
        <x14:conditionalFormatting xmlns:xm="http://schemas.microsoft.com/office/excel/2006/main">
          <x14:cfRule type="iconSet" priority="138235" id="{36DB4A41-7C78-424D-BBF9-CFC250DCE18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AJ365:AJ366</xm:sqref>
        </x14:conditionalFormatting>
        <x14:conditionalFormatting xmlns:xm="http://schemas.microsoft.com/office/excel/2006/main">
          <x14:cfRule type="iconSet" priority="1420" id="{3A561645-0749-4537-8AE0-8DED727BF4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AJ369:AJ371</xm:sqref>
        </x14:conditionalFormatting>
        <x14:conditionalFormatting xmlns:xm="http://schemas.microsoft.com/office/excel/2006/main">
          <x14:cfRule type="iconSet" priority="1397" id="{4BA1536B-F89F-4C84-B13D-22EE985D26F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AJ374:AJ376</xm:sqref>
        </x14:conditionalFormatting>
        <x14:conditionalFormatting xmlns:xm="http://schemas.microsoft.com/office/excel/2006/main">
          <x14:cfRule type="iconSet" priority="793" id="{1A96E62D-DB98-4625-A2D8-37D03358299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AJ379:AJ380</xm:sqref>
        </x14:conditionalFormatting>
        <x14:conditionalFormatting xmlns:xm="http://schemas.microsoft.com/office/excel/2006/main">
          <x14:cfRule type="iconSet" priority="813" id="{33F2BBAB-CB93-41E4-A665-94A3382936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AJ381:AJ387</xm:sqref>
        </x14:conditionalFormatting>
        <x14:conditionalFormatting xmlns:xm="http://schemas.microsoft.com/office/excel/2006/main">
          <x14:cfRule type="iconSet" priority="773" id="{FCC58260-A695-43F7-891A-71D7912FFA2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AJ388:AJ393</xm:sqref>
        </x14:conditionalFormatting>
        <x14:conditionalFormatting xmlns:xm="http://schemas.microsoft.com/office/excel/2006/main">
          <x14:cfRule type="iconSet" priority="548" id="{9B2D1C2D-E96A-460E-941E-8F6FDC74F70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AJ547:AJ552</xm:sqref>
        </x14:conditionalFormatting>
        <x14:conditionalFormatting xmlns:xm="http://schemas.microsoft.com/office/excel/2006/main">
          <x14:cfRule type="iconSet" priority="525" id="{4E6A14A4-1EEC-40E2-89AB-4DDC1D328C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AJ555:AJ560</xm:sqref>
        </x14:conditionalFormatting>
        <x14:conditionalFormatting xmlns:xm="http://schemas.microsoft.com/office/excel/2006/main">
          <x14:cfRule type="iconSet" priority="502" id="{9F3CD041-E458-4815-9350-7284675292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AJ563:AJ568</xm:sqref>
        </x14:conditionalFormatting>
        <x14:conditionalFormatting xmlns:xm="http://schemas.microsoft.com/office/excel/2006/main">
          <x14:cfRule type="iconSet" priority="479" id="{C1157E3E-C3C9-4583-83A0-F8A2233EB58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AJ571:AJ576</xm:sqref>
        </x14:conditionalFormatting>
        <x14:conditionalFormatting xmlns:xm="http://schemas.microsoft.com/office/excel/2006/main">
          <x14:cfRule type="iconSet" priority="456" id="{C9D61107-0C3B-497F-B3C4-47B6DFE215D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AJ579:AJ584</xm:sqref>
        </x14:conditionalFormatting>
        <x14:conditionalFormatting xmlns:xm="http://schemas.microsoft.com/office/excel/2006/main">
          <x14:cfRule type="iconSet" priority="433" id="{89AF283C-481C-417D-AACF-B5363E5E2D4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AJ587:AJ592</xm:sqref>
        </x14:conditionalFormatting>
        <x14:conditionalFormatting xmlns:xm="http://schemas.microsoft.com/office/excel/2006/main">
          <x14:cfRule type="iconSet" priority="410" id="{AE0B8B16-DB5E-4316-96A6-397421CD9E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AJ595:AJ600</xm:sqref>
        </x14:conditionalFormatting>
        <x14:conditionalFormatting xmlns:xm="http://schemas.microsoft.com/office/excel/2006/main">
          <x14:cfRule type="iconSet" priority="1075" id="{D5D93003-63F6-400E-A370-0FD40A470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AJ605:AJ608</xm:sqref>
        </x14:conditionalFormatting>
        <x14:conditionalFormatting xmlns:xm="http://schemas.microsoft.com/office/excel/2006/main">
          <x14:cfRule type="iconSet" priority="129647" id="{42A63917-5A8C-435A-8FC8-0CB4143E58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AJ613 AJ620:AJ653</xm:sqref>
        </x14:conditionalFormatting>
        <x14:conditionalFormatting xmlns:xm="http://schemas.microsoft.com/office/excel/2006/main">
          <x14:cfRule type="iconSet" priority="130330" id="{994C9FBC-BA30-44C4-9C88-A388A8F0331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AJ656:AJ704</xm:sqref>
        </x14:conditionalFormatting>
        <x14:conditionalFormatting xmlns:xm="http://schemas.microsoft.com/office/excel/2006/main">
          <x14:cfRule type="iconSet" priority="914" id="{BF530EB8-91C9-4CC2-ABC9-7807C4E1C1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AJ707:AJ709</xm:sqref>
        </x14:conditionalFormatting>
        <x14:conditionalFormatting xmlns:xm="http://schemas.microsoft.com/office/excel/2006/main">
          <x14:cfRule type="iconSet" priority="131011" id="{35918E79-9117-4F39-8722-924E642AA2E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AJ714:AJ723</xm:sqref>
        </x14:conditionalFormatting>
        <x14:conditionalFormatting xmlns:xm="http://schemas.microsoft.com/office/excel/2006/main">
          <x14:cfRule type="iconSet" priority="131679" id="{4AA86F69-4AF1-4E0C-BDA3-BB81571380F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AJ726:AJ750</xm:sqref>
        </x14:conditionalFormatting>
        <x14:conditionalFormatting xmlns:xm="http://schemas.microsoft.com/office/excel/2006/main">
          <x14:cfRule type="iconSet" priority="960" id="{3BC6F7BF-CB58-454C-88AC-CAF571E0E13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AJ753:AJ755</xm:sqref>
        </x14:conditionalFormatting>
        <x14:conditionalFormatting xmlns:xm="http://schemas.microsoft.com/office/excel/2006/main">
          <x14:cfRule type="iconSet" priority="133367" id="{E7E7DA7A-513E-4E38-8EE0-CC335672BC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AJ758:AJ777 AJ779:AJ780</xm:sqref>
        </x14:conditionalFormatting>
        <x14:conditionalFormatting xmlns:xm="http://schemas.microsoft.com/office/excel/2006/main">
          <x14:cfRule type="iconSet" priority="144" id="{FCE02242-6B61-44CF-8665-01433CDA6C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L13:L25</xm:sqref>
        </x14:conditionalFormatting>
        <x14:conditionalFormatting xmlns:xm="http://schemas.microsoft.com/office/excel/2006/main">
          <x14:cfRule type="iconSet" priority="114" id="{31CE37E6-3525-4799-92A7-CF9B04ECE4A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K609:K610</xm:sqref>
        </x14:conditionalFormatting>
        <x14:conditionalFormatting xmlns:xm="http://schemas.microsoft.com/office/excel/2006/main">
          <x14:cfRule type="iconSet" priority="113" id="{5D8C1030-D807-473E-9053-FD1E35CD3A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L609:L610</xm:sqref>
        </x14:conditionalFormatting>
        <x14:conditionalFormatting xmlns:xm="http://schemas.microsoft.com/office/excel/2006/main">
          <x14:cfRule type="iconSet" priority="112" id="{120CE31E-205A-424F-85C3-B1D958BD16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W609:W610</xm:sqref>
        </x14:conditionalFormatting>
        <x14:conditionalFormatting xmlns:xm="http://schemas.microsoft.com/office/excel/2006/main">
          <x14:cfRule type="iconSet" priority="111" id="{38EAE30F-1EA2-4260-B0A5-014F00275A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AI609:AI610</xm:sqref>
        </x14:conditionalFormatting>
        <x14:conditionalFormatting xmlns:xm="http://schemas.microsoft.com/office/excel/2006/main">
          <x14:cfRule type="iconSet" priority="110" id="{1E315AA3-324F-46A4-BADA-622EAE86BD1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AJ609:AJ610</xm:sqref>
        </x14:conditionalFormatting>
        <x14:conditionalFormatting xmlns:xm="http://schemas.microsoft.com/office/excel/2006/main">
          <x14:cfRule type="iconSet" priority="82" id="{8B6BCABB-1882-46E6-A8CA-898F60CDDE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K614:K619</xm:sqref>
        </x14:conditionalFormatting>
        <x14:conditionalFormatting xmlns:xm="http://schemas.microsoft.com/office/excel/2006/main">
          <x14:cfRule type="iconSet" priority="81" id="{F76E9922-401F-46C5-98FF-86974F7C87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L614:L619</xm:sqref>
        </x14:conditionalFormatting>
        <x14:conditionalFormatting xmlns:xm="http://schemas.microsoft.com/office/excel/2006/main">
          <x14:cfRule type="iconSet" priority="80" id="{2F16F66F-F8DE-4793-99AE-D44E8A42CEA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W614:W619</xm:sqref>
        </x14:conditionalFormatting>
        <x14:conditionalFormatting xmlns:xm="http://schemas.microsoft.com/office/excel/2006/main">
          <x14:cfRule type="iconSet" priority="79" id="{64CDEC1A-28A1-4DB3-B2EC-9810373D393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AI614:AI619</xm:sqref>
        </x14:conditionalFormatting>
        <x14:conditionalFormatting xmlns:xm="http://schemas.microsoft.com/office/excel/2006/main">
          <x14:cfRule type="iconSet" priority="78" id="{920D2B53-8D0F-439F-A03E-0560BB9028E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AJ614:AJ619</xm:sqref>
        </x14:conditionalFormatting>
        <x14:conditionalFormatting xmlns:xm="http://schemas.microsoft.com/office/excel/2006/main">
          <x14:cfRule type="iconSet" priority="157088" id="{BF817877-9047-4373-A2ED-7A694CE120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K398:K544</xm:sqref>
        </x14:conditionalFormatting>
        <x14:conditionalFormatting xmlns:xm="http://schemas.microsoft.com/office/excel/2006/main">
          <x14:cfRule type="iconSet" priority="157129" id="{0281DA89-1C80-4C81-9A80-1B53EE98DA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L398:L544</xm:sqref>
        </x14:conditionalFormatting>
        <x14:conditionalFormatting xmlns:xm="http://schemas.microsoft.com/office/excel/2006/main">
          <x14:cfRule type="iconSet" priority="157135" id="{3018E751-4A83-4284-8CB2-0C5292DE047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R398:R544</xm:sqref>
        </x14:conditionalFormatting>
        <x14:conditionalFormatting xmlns:xm="http://schemas.microsoft.com/office/excel/2006/main">
          <x14:cfRule type="iconSet" priority="157138" id="{B075A301-2D6F-4858-822D-70083E3AF11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W398:W544</xm:sqref>
        </x14:conditionalFormatting>
        <x14:conditionalFormatting xmlns:xm="http://schemas.microsoft.com/office/excel/2006/main">
          <x14:cfRule type="iconSet" priority="157141" id="{6F1DEA7A-B0DB-41BC-8129-703E6AB9DF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AI398:AI544</xm:sqref>
        </x14:conditionalFormatting>
        <x14:conditionalFormatting xmlns:xm="http://schemas.microsoft.com/office/excel/2006/main">
          <x14:cfRule type="iconSet" priority="157144" id="{922D85B3-333A-4FA6-8F42-49F6E4627A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AJ398:AJ544</xm:sqref>
        </x14:conditionalFormatting>
        <x14:conditionalFormatting xmlns:xm="http://schemas.microsoft.com/office/excel/2006/main">
          <x14:cfRule type="iconSet" priority="157910" id="{BF2FF4C1-E8AB-4A5D-8252-8355B8F1F4E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L288:L302 L308:L346</xm:sqref>
        </x14:conditionalFormatting>
        <x14:conditionalFormatting xmlns:xm="http://schemas.microsoft.com/office/excel/2006/main">
          <x14:cfRule type="iconSet" priority="157922" id="{2B79D8C0-2532-4635-851C-95AC81B07BF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W288:W302 W308:W346</xm:sqref>
        </x14:conditionalFormatting>
        <x14:conditionalFormatting xmlns:xm="http://schemas.microsoft.com/office/excel/2006/main">
          <x14:cfRule type="iconSet" priority="157929" id="{9EF9E45E-F3E5-44A1-A09E-E9B1311871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AI288:AI302 AI308:AI346</xm:sqref>
        </x14:conditionalFormatting>
        <x14:conditionalFormatting xmlns:xm="http://schemas.microsoft.com/office/excel/2006/main">
          <x14:cfRule type="iconSet" priority="157936" id="{58A8E65B-1C04-44C6-9DE6-20A02791D1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AJ288:AJ302 AJ308:AJ346</xm:sqref>
        </x14:conditionalFormatting>
        <x14:conditionalFormatting xmlns:xm="http://schemas.microsoft.com/office/excel/2006/main">
          <x14:cfRule type="iconSet" priority="158826" id="{A274E833-CBB5-4661-B8E7-89B8F5A930B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K42:K67</xm:sqref>
        </x14:conditionalFormatting>
        <x14:conditionalFormatting xmlns:xm="http://schemas.microsoft.com/office/excel/2006/main">
          <x14:cfRule type="iconSet" priority="158868" id="{E3D97396-73C9-44D4-BF51-E05B7B6C290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L42:L67</xm:sqref>
        </x14:conditionalFormatting>
        <x14:conditionalFormatting xmlns:xm="http://schemas.microsoft.com/office/excel/2006/main">
          <x14:cfRule type="iconSet" priority="158876" id="{7C8B6F23-21F8-4F73-8A50-44A6734828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R42:R50 R62:R67</xm:sqref>
        </x14:conditionalFormatting>
        <x14:conditionalFormatting xmlns:xm="http://schemas.microsoft.com/office/excel/2006/main">
          <x14:cfRule type="iconSet" priority="158882" id="{9DE34984-71C4-4C44-95D1-D9FD62B79A4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W42:W67</xm:sqref>
        </x14:conditionalFormatting>
        <x14:conditionalFormatting xmlns:xm="http://schemas.microsoft.com/office/excel/2006/main">
          <x14:cfRule type="iconSet" priority="158888" id="{73717C40-7452-427E-97DB-03721DD13EA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AI42:AI67</xm:sqref>
        </x14:conditionalFormatting>
        <x14:conditionalFormatting xmlns:xm="http://schemas.microsoft.com/office/excel/2006/main">
          <x14:cfRule type="iconSet" priority="158894" id="{995742BB-CD8B-412C-827E-75695FCBEEC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AJ42:AJ67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C445-39AF-4298-B253-74D6E5EA4BEA}">
  <sheetPr codeName="Sheet4" filterMode="1">
    <outlinePr summaryBelow="0" summaryRight="0"/>
  </sheetPr>
  <dimension ref="A1:U700"/>
  <sheetViews>
    <sheetView zoomScaleNormal="100" workbookViewId="0">
      <pane xSplit="9" ySplit="8" topLeftCell="O682" activePane="bottomRight" state="frozen"/>
      <selection pane="topRight" activeCell="K1" sqref="K1"/>
      <selection pane="bottomLeft" activeCell="A9" sqref="A9"/>
      <selection pane="bottomRight" activeCell="E697" sqref="E697:E699"/>
    </sheetView>
  </sheetViews>
  <sheetFormatPr defaultColWidth="8.5546875" defaultRowHeight="12" customHeight="1" outlineLevelRow="2" outlineLevelCol="1"/>
  <cols>
    <col min="1" max="1" width="8.5546875" style="495"/>
    <col min="2" max="2" width="4.5546875" style="515" customWidth="1"/>
    <col min="3" max="3" width="4.5546875" style="515" bestFit="1" customWidth="1"/>
    <col min="4" max="4" width="12.6640625" style="516" bestFit="1" customWidth="1"/>
    <col min="5" max="5" width="79.109375" style="495" customWidth="1"/>
    <col min="6" max="6" width="8.44140625" style="495" bestFit="1" customWidth="1"/>
    <col min="7" max="7" width="10.44140625" style="495" bestFit="1" customWidth="1"/>
    <col min="8" max="8" width="5.5546875" style="500" bestFit="1" customWidth="1"/>
    <col min="9" max="9" width="0.5546875" style="517" customWidth="1"/>
    <col min="10" max="10" width="10.44140625" style="514" bestFit="1" customWidth="1"/>
    <col min="11" max="11" width="9.5546875" style="409" customWidth="1"/>
    <col min="12" max="12" width="10.44140625" style="501" bestFit="1" customWidth="1"/>
    <col min="13" max="13" width="8.5546875" style="407" customWidth="1" outlineLevel="1"/>
    <col min="14" max="16" width="10.44140625" style="501" customWidth="1" outlineLevel="1"/>
    <col min="17" max="17" width="10.44140625" style="502" customWidth="1"/>
    <col min="18" max="21" width="10.44140625" style="501" customWidth="1" outlineLevel="1"/>
    <col min="22" max="22" width="0.5546875" style="495" customWidth="1"/>
    <col min="23" max="16384" width="8.5546875" style="495"/>
  </cols>
  <sheetData>
    <row r="1" spans="1:21" s="407" customFormat="1" ht="18.600000000000001" customHeight="1">
      <c r="A1" s="369"/>
      <c r="B1" s="370"/>
      <c r="C1" s="371"/>
      <c r="D1" s="461"/>
      <c r="E1" s="370"/>
      <c r="F1" s="374"/>
      <c r="G1" s="374"/>
      <c r="H1" s="482" t="s">
        <v>1122</v>
      </c>
      <c r="I1" s="471"/>
      <c r="J1" s="483" t="s">
        <v>145</v>
      </c>
      <c r="K1" s="483"/>
      <c r="L1" s="484" t="s">
        <v>146</v>
      </c>
      <c r="M1" s="484">
        <v>1</v>
      </c>
      <c r="N1" s="484">
        <v>2</v>
      </c>
      <c r="O1" s="484">
        <v>3</v>
      </c>
      <c r="P1" s="484">
        <v>4</v>
      </c>
      <c r="Q1" s="484" t="s">
        <v>147</v>
      </c>
      <c r="R1" s="484">
        <v>5</v>
      </c>
      <c r="S1" s="484">
        <v>6</v>
      </c>
      <c r="T1" s="484">
        <v>7</v>
      </c>
      <c r="U1" s="484">
        <v>8</v>
      </c>
    </row>
    <row r="2" spans="1:21" s="407" customFormat="1" ht="3" customHeight="1">
      <c r="A2" s="369"/>
      <c r="B2" s="370"/>
      <c r="C2" s="371"/>
      <c r="D2" s="461"/>
      <c r="E2" s="370"/>
      <c r="F2" s="374"/>
      <c r="G2" s="374"/>
      <c r="H2" s="375"/>
      <c r="I2" s="471"/>
      <c r="J2" s="376"/>
      <c r="K2" s="376"/>
      <c r="L2" s="377"/>
      <c r="M2" s="487"/>
      <c r="N2" s="488"/>
      <c r="O2" s="488"/>
      <c r="P2" s="488"/>
      <c r="Q2" s="374"/>
      <c r="R2" s="488"/>
      <c r="S2" s="488"/>
      <c r="T2" s="488"/>
      <c r="U2" s="488"/>
    </row>
    <row r="3" spans="1:21" s="407" customFormat="1" ht="19.5" customHeight="1">
      <c r="A3" s="593" t="s">
        <v>178</v>
      </c>
      <c r="B3" s="594"/>
      <c r="C3" s="594"/>
      <c r="D3" s="594"/>
      <c r="E3" s="595"/>
      <c r="F3" s="623" t="s">
        <v>179</v>
      </c>
      <c r="G3" s="623" t="s">
        <v>180</v>
      </c>
      <c r="H3" s="626" t="s">
        <v>181</v>
      </c>
      <c r="I3" s="471"/>
      <c r="J3" s="629" t="s">
        <v>182</v>
      </c>
      <c r="K3" s="629" t="s">
        <v>183</v>
      </c>
      <c r="L3" s="620" t="s">
        <v>184</v>
      </c>
      <c r="M3" s="489"/>
      <c r="N3" s="490"/>
      <c r="O3" s="490"/>
      <c r="P3" s="490"/>
      <c r="Q3" s="620" t="s">
        <v>185</v>
      </c>
      <c r="R3" s="490"/>
      <c r="S3" s="490"/>
      <c r="T3" s="490"/>
      <c r="U3" s="490"/>
    </row>
    <row r="4" spans="1:21" s="407" customFormat="1" ht="3" customHeight="1">
      <c r="A4" s="369"/>
      <c r="B4" s="370"/>
      <c r="C4" s="371"/>
      <c r="D4" s="461"/>
      <c r="E4" s="370"/>
      <c r="F4" s="624"/>
      <c r="G4" s="624"/>
      <c r="H4" s="627"/>
      <c r="I4" s="471"/>
      <c r="J4" s="630"/>
      <c r="K4" s="630"/>
      <c r="L4" s="621"/>
      <c r="M4" s="489"/>
      <c r="N4" s="490"/>
      <c r="O4" s="490"/>
      <c r="P4" s="490"/>
      <c r="Q4" s="621"/>
      <c r="R4" s="490"/>
      <c r="S4" s="490"/>
      <c r="T4" s="490"/>
      <c r="U4" s="490"/>
    </row>
    <row r="5" spans="1:21" s="407" customFormat="1" ht="24.6" customHeight="1">
      <c r="A5" s="593" t="s">
        <v>1123</v>
      </c>
      <c r="B5" s="594"/>
      <c r="C5" s="594"/>
      <c r="D5" s="594"/>
      <c r="E5" s="595"/>
      <c r="F5" s="625"/>
      <c r="G5" s="625"/>
      <c r="H5" s="628"/>
      <c r="I5" s="471"/>
      <c r="J5" s="631"/>
      <c r="K5" s="631"/>
      <c r="L5" s="622"/>
      <c r="M5" s="489" t="s">
        <v>8</v>
      </c>
      <c r="N5" s="490" t="s">
        <v>9</v>
      </c>
      <c r="O5" s="490" t="s">
        <v>10</v>
      </c>
      <c r="P5" s="490" t="s">
        <v>11</v>
      </c>
      <c r="Q5" s="622"/>
      <c r="R5" s="490" t="s">
        <v>8</v>
      </c>
      <c r="S5" s="490" t="s">
        <v>9</v>
      </c>
      <c r="T5" s="490" t="s">
        <v>10</v>
      </c>
      <c r="U5" s="490" t="s">
        <v>11</v>
      </c>
    </row>
    <row r="6" spans="1:21" s="407" customFormat="1" ht="3" customHeight="1">
      <c r="A6" s="369"/>
      <c r="B6" s="370"/>
      <c r="C6" s="371"/>
      <c r="D6" s="461"/>
      <c r="E6" s="370"/>
      <c r="F6" s="378"/>
      <c r="G6" s="378"/>
      <c r="H6" s="379"/>
      <c r="I6" s="471"/>
      <c r="J6" s="470"/>
      <c r="K6" s="470"/>
      <c r="L6" s="488"/>
      <c r="M6" s="487"/>
      <c r="N6" s="488"/>
      <c r="O6" s="488"/>
      <c r="P6" s="488"/>
      <c r="Q6" s="488"/>
      <c r="R6" s="488"/>
      <c r="S6" s="488"/>
      <c r="T6" s="488"/>
      <c r="U6" s="488"/>
    </row>
    <row r="7" spans="1:21" s="407" customFormat="1" ht="17.399999999999999">
      <c r="A7" s="384"/>
      <c r="B7" s="370"/>
      <c r="C7" s="374"/>
      <c r="D7" s="461"/>
      <c r="E7" s="370"/>
      <c r="F7" s="378"/>
      <c r="G7" s="378"/>
      <c r="H7" s="385"/>
      <c r="I7" s="471"/>
      <c r="J7" s="385"/>
      <c r="K7" s="376"/>
      <c r="L7" s="488"/>
      <c r="M7" s="488"/>
      <c r="N7" s="488"/>
      <c r="O7" s="488"/>
      <c r="P7" s="488"/>
      <c r="Q7" s="488"/>
      <c r="R7" s="488"/>
      <c r="S7" s="488"/>
      <c r="T7" s="488"/>
      <c r="U7" s="488"/>
    </row>
    <row r="8" spans="1:21" s="407" customFormat="1" ht="3" hidden="1" customHeight="1">
      <c r="A8" s="369"/>
      <c r="B8" s="370"/>
      <c r="C8" s="371"/>
      <c r="D8" s="461"/>
      <c r="E8" s="370"/>
      <c r="F8" s="378"/>
      <c r="G8" s="378"/>
      <c r="H8" s="379"/>
      <c r="I8" s="471"/>
      <c r="J8" s="470"/>
      <c r="K8" s="470"/>
      <c r="L8" s="488"/>
      <c r="M8" s="487"/>
      <c r="N8" s="488"/>
      <c r="O8" s="488"/>
      <c r="P8" s="488"/>
      <c r="Q8" s="488"/>
      <c r="R8" s="488"/>
      <c r="S8" s="488"/>
      <c r="T8" s="488"/>
      <c r="U8" s="488"/>
    </row>
    <row r="9" spans="1:21" s="407" customFormat="1" ht="12" hidden="1" customHeight="1" collapsed="1">
      <c r="A9" s="466" t="s">
        <v>1124</v>
      </c>
      <c r="B9" s="491"/>
      <c r="C9" s="491"/>
      <c r="D9" s="492"/>
      <c r="E9" s="493"/>
      <c r="F9" s="493"/>
      <c r="G9" s="493"/>
      <c r="H9" s="493"/>
      <c r="I9" s="494"/>
      <c r="J9" s="493"/>
      <c r="K9" s="493"/>
      <c r="L9" s="493"/>
      <c r="M9" s="493"/>
      <c r="N9" s="493"/>
      <c r="O9" s="493"/>
      <c r="P9" s="493"/>
      <c r="Q9" s="493"/>
      <c r="R9" s="493"/>
      <c r="S9" s="493"/>
      <c r="T9" s="493"/>
      <c r="U9" s="493"/>
    </row>
    <row r="10" spans="1:21" s="407" customFormat="1" ht="3" hidden="1" customHeight="1" outlineLevel="1">
      <c r="A10" s="496"/>
      <c r="B10" s="497"/>
      <c r="C10" s="497"/>
      <c r="D10" s="434"/>
      <c r="E10" s="498"/>
      <c r="F10" s="497"/>
      <c r="G10" s="389"/>
      <c r="H10" s="499"/>
      <c r="I10" s="494"/>
      <c r="J10" s="500"/>
      <c r="K10" s="392"/>
      <c r="L10" s="501"/>
      <c r="M10" s="395"/>
      <c r="N10" s="395"/>
      <c r="O10" s="395"/>
      <c r="P10" s="395"/>
      <c r="Q10" s="502"/>
      <c r="R10" s="501"/>
      <c r="S10" s="501"/>
      <c r="T10" s="501"/>
      <c r="U10" s="501"/>
    </row>
    <row r="11" spans="1:21" s="407" customFormat="1" ht="12" hidden="1" customHeight="1" outlineLevel="1">
      <c r="A11" s="460" t="s">
        <v>72</v>
      </c>
      <c r="B11" s="460" t="s">
        <v>73</v>
      </c>
      <c r="C11" s="460"/>
      <c r="D11" s="460"/>
      <c r="E11" s="460"/>
      <c r="F11" s="497"/>
      <c r="G11" s="389"/>
      <c r="H11" s="499"/>
      <c r="I11" s="494"/>
      <c r="J11" s="500"/>
      <c r="K11" s="392"/>
      <c r="L11" s="501"/>
      <c r="M11" s="395"/>
      <c r="N11" s="395"/>
      <c r="O11" s="395"/>
      <c r="P11" s="395"/>
      <c r="Q11" s="502"/>
      <c r="R11" s="501"/>
      <c r="S11" s="501"/>
      <c r="T11" s="501"/>
      <c r="U11" s="501"/>
    </row>
    <row r="12" spans="1:21" s="407" customFormat="1" ht="12" hidden="1" customHeight="1" outlineLevel="2">
      <c r="A12" s="496"/>
      <c r="B12" s="503"/>
      <c r="C12" s="504"/>
      <c r="D12" s="531" t="s">
        <v>1125</v>
      </c>
      <c r="E12" s="505" t="s">
        <v>1126</v>
      </c>
      <c r="F12" s="503" t="s">
        <v>70</v>
      </c>
      <c r="G12" s="400" t="str">
        <f>CONCATENATE(F12,"-",H12)</f>
        <v>BB02-1</v>
      </c>
      <c r="H12" s="507">
        <v>1</v>
      </c>
      <c r="I12" s="506"/>
      <c r="J12" s="500">
        <v>1</v>
      </c>
      <c r="K12" s="397" t="s">
        <v>193</v>
      </c>
      <c r="L12" s="395" t="str" cm="1">
        <f t="array" ref="L12">IFERROR(_xlfn.IFS(M12=1,1,N12=1,1,O12=1,1,P12=1,1),"")</f>
        <v/>
      </c>
      <c r="M12" s="395"/>
      <c r="N12" s="395"/>
      <c r="O12" s="395"/>
      <c r="P12" s="395"/>
      <c r="Q12" s="395"/>
      <c r="R12" s="395"/>
      <c r="S12" s="395"/>
      <c r="T12" s="395"/>
      <c r="U12" s="395"/>
    </row>
    <row r="13" spans="1:21" s="407" customFormat="1" ht="3" hidden="1" customHeight="1" outlineLevel="1">
      <c r="A13" s="496"/>
      <c r="B13" s="503"/>
      <c r="C13" s="504"/>
      <c r="D13" s="531"/>
      <c r="E13" s="505"/>
      <c r="F13" s="503"/>
      <c r="G13" s="400"/>
      <c r="H13" s="507"/>
      <c r="I13" s="506"/>
      <c r="J13" s="500"/>
      <c r="K13" s="392"/>
      <c r="L13" s="395"/>
      <c r="M13" s="395"/>
      <c r="N13" s="395"/>
      <c r="O13" s="395"/>
      <c r="P13" s="395"/>
      <c r="Q13" s="395"/>
      <c r="R13" s="395"/>
      <c r="S13" s="395"/>
      <c r="T13" s="395"/>
      <c r="U13" s="395"/>
    </row>
    <row r="14" spans="1:21" s="407" customFormat="1" ht="12" hidden="1" customHeight="1" outlineLevel="1">
      <c r="A14" s="460" t="s">
        <v>74</v>
      </c>
      <c r="B14" s="460" t="s">
        <v>75</v>
      </c>
      <c r="C14" s="460"/>
      <c r="D14" s="459"/>
      <c r="E14" s="460"/>
      <c r="F14" s="503"/>
      <c r="G14" s="400"/>
      <c r="H14" s="507"/>
      <c r="I14" s="506"/>
      <c r="J14" s="500"/>
      <c r="K14" s="392"/>
      <c r="L14" s="395"/>
      <c r="M14" s="395"/>
      <c r="N14" s="395"/>
      <c r="O14" s="395"/>
      <c r="P14" s="395"/>
      <c r="Q14" s="395"/>
      <c r="R14" s="395"/>
      <c r="S14" s="395"/>
      <c r="T14" s="395"/>
      <c r="U14" s="395"/>
    </row>
    <row r="15" spans="1:21" s="407" customFormat="1" ht="12" hidden="1" customHeight="1" outlineLevel="2">
      <c r="A15" s="508"/>
      <c r="B15" s="503" t="s">
        <v>13</v>
      </c>
      <c r="C15" s="504" t="s">
        <v>1127</v>
      </c>
      <c r="D15" s="531" t="s">
        <v>1128</v>
      </c>
      <c r="E15" s="505" t="s">
        <v>1129</v>
      </c>
      <c r="F15" s="503" t="s">
        <v>70</v>
      </c>
      <c r="G15" s="400" t="str">
        <f>CONCATENATE(F15,"-",H15)</f>
        <v>BB02-2</v>
      </c>
      <c r="H15" s="507">
        <v>2</v>
      </c>
      <c r="I15" s="506"/>
      <c r="J15" s="500">
        <v>0</v>
      </c>
      <c r="K15" s="397"/>
      <c r="L15" s="395">
        <f>--(COUNTIF(M15:P15,1)&gt;0)</f>
        <v>1</v>
      </c>
      <c r="M15" s="395">
        <v>1</v>
      </c>
      <c r="N15" s="395"/>
      <c r="P15" s="395"/>
      <c r="Q15" s="395">
        <f>--(COUNTIF(R15:U15,1)&gt;0)</f>
        <v>0</v>
      </c>
      <c r="R15" s="395"/>
      <c r="S15" s="395"/>
      <c r="T15" s="395"/>
      <c r="U15" s="395"/>
    </row>
    <row r="16" spans="1:21" s="407" customFormat="1" ht="12" hidden="1" customHeight="1" outlineLevel="2">
      <c r="A16" s="508"/>
      <c r="B16" s="503" t="s">
        <v>13</v>
      </c>
      <c r="C16" s="504" t="s">
        <v>1127</v>
      </c>
      <c r="D16" s="531" t="s">
        <v>1130</v>
      </c>
      <c r="E16" s="505" t="s">
        <v>1131</v>
      </c>
      <c r="F16" s="503" t="s">
        <v>70</v>
      </c>
      <c r="G16" s="400" t="s">
        <v>74</v>
      </c>
      <c r="H16" s="507">
        <v>2</v>
      </c>
      <c r="I16" s="506"/>
      <c r="J16" s="500"/>
      <c r="K16" s="397"/>
      <c r="L16" s="395">
        <v>1</v>
      </c>
      <c r="M16" s="395">
        <v>1</v>
      </c>
      <c r="N16" s="395"/>
      <c r="P16" s="395"/>
      <c r="Q16" s="395">
        <v>1</v>
      </c>
      <c r="R16" s="395">
        <v>1</v>
      </c>
      <c r="S16" s="395"/>
      <c r="T16" s="395"/>
      <c r="U16" s="395"/>
    </row>
    <row r="17" spans="1:21" s="407" customFormat="1" ht="12" hidden="1" customHeight="1" outlineLevel="2">
      <c r="A17" s="508"/>
      <c r="B17" s="503" t="s">
        <v>13</v>
      </c>
      <c r="C17" s="504" t="s">
        <v>1127</v>
      </c>
      <c r="D17" s="531" t="s">
        <v>1132</v>
      </c>
      <c r="E17" s="505" t="s">
        <v>1133</v>
      </c>
      <c r="F17" s="503" t="s">
        <v>70</v>
      </c>
      <c r="G17" s="400" t="s">
        <v>74</v>
      </c>
      <c r="H17" s="507">
        <v>2</v>
      </c>
      <c r="I17" s="506"/>
      <c r="J17" s="500"/>
      <c r="K17" s="397"/>
      <c r="L17" s="395">
        <v>1</v>
      </c>
      <c r="M17" s="395">
        <v>1</v>
      </c>
      <c r="N17" s="395"/>
      <c r="P17" s="395"/>
      <c r="Q17" s="395">
        <v>1</v>
      </c>
      <c r="R17" s="395">
        <v>1</v>
      </c>
      <c r="S17" s="395"/>
      <c r="T17" s="395"/>
      <c r="U17" s="395"/>
    </row>
    <row r="18" spans="1:21" s="407" customFormat="1" ht="12" hidden="1" customHeight="1" outlineLevel="2">
      <c r="A18" s="508"/>
      <c r="B18" s="503" t="s">
        <v>13</v>
      </c>
      <c r="C18" s="504" t="s">
        <v>1127</v>
      </c>
      <c r="D18" s="531" t="s">
        <v>1134</v>
      </c>
      <c r="E18" s="505" t="s">
        <v>1135</v>
      </c>
      <c r="F18" s="503" t="s">
        <v>70</v>
      </c>
      <c r="G18" s="400" t="s">
        <v>74</v>
      </c>
      <c r="H18" s="507">
        <v>2</v>
      </c>
      <c r="I18" s="506"/>
      <c r="J18" s="500"/>
      <c r="K18" s="397"/>
      <c r="L18" s="395">
        <v>1</v>
      </c>
      <c r="M18" s="395">
        <v>1</v>
      </c>
      <c r="N18" s="395"/>
      <c r="P18" s="395"/>
      <c r="Q18" s="395">
        <v>1</v>
      </c>
      <c r="R18" s="395">
        <v>1</v>
      </c>
      <c r="S18" s="395"/>
      <c r="T18" s="395"/>
      <c r="U18" s="395"/>
    </row>
    <row r="19" spans="1:21" s="407" customFormat="1" ht="12" hidden="1" customHeight="1" outlineLevel="2">
      <c r="A19" s="508"/>
      <c r="B19" s="503" t="s">
        <v>13</v>
      </c>
      <c r="C19" s="504" t="s">
        <v>1127</v>
      </c>
      <c r="D19" s="531" t="s">
        <v>1136</v>
      </c>
      <c r="E19" s="505" t="s">
        <v>1131</v>
      </c>
      <c r="F19" s="503" t="s">
        <v>70</v>
      </c>
      <c r="G19" s="400" t="s">
        <v>74</v>
      </c>
      <c r="H19" s="507">
        <v>2</v>
      </c>
      <c r="I19" s="506"/>
      <c r="J19" s="500"/>
      <c r="K19" s="397"/>
      <c r="L19" s="395">
        <v>1</v>
      </c>
      <c r="M19" s="395">
        <v>1</v>
      </c>
      <c r="N19" s="395"/>
      <c r="P19" s="395"/>
      <c r="Q19" s="395">
        <v>1</v>
      </c>
      <c r="R19" s="395">
        <v>1</v>
      </c>
      <c r="S19" s="395"/>
      <c r="T19" s="395"/>
      <c r="U19" s="395"/>
    </row>
    <row r="20" spans="1:21" s="407" customFormat="1" ht="12" hidden="1" customHeight="1" outlineLevel="2">
      <c r="A20" s="508"/>
      <c r="B20" s="503" t="s">
        <v>13</v>
      </c>
      <c r="C20" s="504" t="s">
        <v>1127</v>
      </c>
      <c r="D20" s="531" t="s">
        <v>1137</v>
      </c>
      <c r="E20" s="505" t="s">
        <v>1138</v>
      </c>
      <c r="F20" s="503" t="s">
        <v>70</v>
      </c>
      <c r="G20" s="400" t="s">
        <v>74</v>
      </c>
      <c r="H20" s="507">
        <v>2</v>
      </c>
      <c r="I20" s="506"/>
      <c r="J20" s="500"/>
      <c r="K20" s="397"/>
      <c r="L20" s="395">
        <v>1</v>
      </c>
      <c r="M20" s="395">
        <v>1</v>
      </c>
      <c r="N20" s="395"/>
      <c r="P20" s="395"/>
      <c r="Q20" s="395">
        <v>1</v>
      </c>
      <c r="R20" s="395">
        <v>1</v>
      </c>
      <c r="S20" s="395"/>
      <c r="T20" s="395"/>
      <c r="U20" s="395"/>
    </row>
    <row r="21" spans="1:21" s="407" customFormat="1" ht="12" hidden="1" customHeight="1" outlineLevel="2">
      <c r="A21" s="508"/>
      <c r="B21" s="503" t="s">
        <v>13</v>
      </c>
      <c r="C21" s="504" t="s">
        <v>1127</v>
      </c>
      <c r="D21" s="531" t="s">
        <v>1139</v>
      </c>
      <c r="E21" s="505" t="s">
        <v>1140</v>
      </c>
      <c r="F21" s="503" t="s">
        <v>70</v>
      </c>
      <c r="G21" s="400" t="s">
        <v>74</v>
      </c>
      <c r="H21" s="507">
        <v>2</v>
      </c>
      <c r="I21" s="506"/>
      <c r="J21" s="500"/>
      <c r="K21" s="397"/>
      <c r="L21" s="395">
        <v>1</v>
      </c>
      <c r="M21" s="395">
        <v>1</v>
      </c>
      <c r="N21" s="395"/>
      <c r="P21" s="395"/>
      <c r="Q21" s="395">
        <v>1</v>
      </c>
      <c r="R21" s="395">
        <v>1</v>
      </c>
      <c r="S21" s="395"/>
      <c r="T21" s="395"/>
      <c r="U21" s="395"/>
    </row>
    <row r="22" spans="1:21" s="407" customFormat="1" ht="12" hidden="1" customHeight="1" outlineLevel="2">
      <c r="A22" s="508"/>
      <c r="B22" s="503" t="s">
        <v>13</v>
      </c>
      <c r="C22" s="504" t="s">
        <v>1127</v>
      </c>
      <c r="D22" s="531" t="s">
        <v>1141</v>
      </c>
      <c r="E22" s="505" t="s">
        <v>1142</v>
      </c>
      <c r="F22" s="503" t="s">
        <v>70</v>
      </c>
      <c r="G22" s="400" t="s">
        <v>74</v>
      </c>
      <c r="H22" s="507">
        <v>2</v>
      </c>
      <c r="I22" s="506"/>
      <c r="J22" s="500"/>
      <c r="K22" s="397"/>
      <c r="L22" s="395">
        <v>1</v>
      </c>
      <c r="M22" s="395">
        <v>1</v>
      </c>
      <c r="N22" s="395"/>
      <c r="P22" s="395"/>
      <c r="Q22" s="395">
        <v>1</v>
      </c>
      <c r="R22" s="395">
        <v>1</v>
      </c>
      <c r="S22" s="395"/>
      <c r="T22" s="395"/>
      <c r="U22" s="395"/>
    </row>
    <row r="23" spans="1:21" s="407" customFormat="1" ht="12" hidden="1" customHeight="1" outlineLevel="2">
      <c r="A23" s="508"/>
      <c r="B23" s="503" t="s">
        <v>13</v>
      </c>
      <c r="C23" s="504" t="s">
        <v>1127</v>
      </c>
      <c r="D23" s="531" t="s">
        <v>1143</v>
      </c>
      <c r="E23" s="505" t="s">
        <v>1144</v>
      </c>
      <c r="F23" s="503" t="s">
        <v>70</v>
      </c>
      <c r="G23" s="400" t="s">
        <v>74</v>
      </c>
      <c r="H23" s="507">
        <v>2</v>
      </c>
      <c r="I23" s="506"/>
      <c r="J23" s="500"/>
      <c r="K23" s="397"/>
      <c r="L23" s="395">
        <v>1</v>
      </c>
      <c r="M23" s="395">
        <v>1</v>
      </c>
      <c r="N23" s="395"/>
      <c r="P23" s="395"/>
      <c r="Q23" s="395">
        <v>1</v>
      </c>
      <c r="R23" s="395">
        <v>1</v>
      </c>
      <c r="S23" s="395"/>
      <c r="T23" s="395"/>
      <c r="U23" s="395"/>
    </row>
    <row r="24" spans="1:21" s="407" customFormat="1" ht="12" hidden="1" customHeight="1" outlineLevel="2">
      <c r="A24" s="508"/>
      <c r="B24" s="503" t="s">
        <v>13</v>
      </c>
      <c r="C24" s="504" t="s">
        <v>1127</v>
      </c>
      <c r="D24" s="531" t="s">
        <v>1145</v>
      </c>
      <c r="E24" s="505" t="s">
        <v>1146</v>
      </c>
      <c r="F24" s="503" t="s">
        <v>70</v>
      </c>
      <c r="G24" s="400" t="s">
        <v>74</v>
      </c>
      <c r="H24" s="507">
        <v>2</v>
      </c>
      <c r="I24" s="506"/>
      <c r="J24" s="500"/>
      <c r="K24" s="397"/>
      <c r="L24" s="395">
        <v>1</v>
      </c>
      <c r="M24" s="395">
        <v>1</v>
      </c>
      <c r="N24" s="395"/>
      <c r="P24" s="395"/>
      <c r="Q24" s="395">
        <v>1</v>
      </c>
      <c r="R24" s="395">
        <v>1</v>
      </c>
      <c r="S24" s="395"/>
      <c r="T24" s="395"/>
      <c r="U24" s="395"/>
    </row>
    <row r="25" spans="1:21" s="407" customFormat="1" ht="12" hidden="1" customHeight="1" outlineLevel="2">
      <c r="A25" s="508"/>
      <c r="B25" s="503" t="s">
        <v>13</v>
      </c>
      <c r="C25" s="504" t="s">
        <v>1127</v>
      </c>
      <c r="D25" s="531" t="s">
        <v>1147</v>
      </c>
      <c r="E25" s="505" t="s">
        <v>1148</v>
      </c>
      <c r="F25" s="503" t="s">
        <v>70</v>
      </c>
      <c r="G25" s="400" t="s">
        <v>74</v>
      </c>
      <c r="H25" s="507">
        <v>2</v>
      </c>
      <c r="I25" s="506"/>
      <c r="J25" s="500"/>
      <c r="K25" s="397"/>
      <c r="L25" s="395">
        <v>1</v>
      </c>
      <c r="M25" s="395">
        <v>1</v>
      </c>
      <c r="N25" s="395"/>
      <c r="P25" s="395"/>
      <c r="Q25" s="395">
        <v>1</v>
      </c>
      <c r="R25" s="395">
        <v>1</v>
      </c>
      <c r="S25" s="395"/>
      <c r="T25" s="395"/>
      <c r="U25" s="395"/>
    </row>
    <row r="26" spans="1:21" s="407" customFormat="1" ht="12" hidden="1" customHeight="1" outlineLevel="2">
      <c r="A26" s="508"/>
      <c r="B26" s="503" t="s">
        <v>13</v>
      </c>
      <c r="C26" s="504" t="s">
        <v>1127</v>
      </c>
      <c r="D26" s="531" t="s">
        <v>1149</v>
      </c>
      <c r="E26" s="505" t="s">
        <v>1150</v>
      </c>
      <c r="F26" s="503" t="s">
        <v>70</v>
      </c>
      <c r="G26" s="400" t="s">
        <v>74</v>
      </c>
      <c r="H26" s="507">
        <v>2</v>
      </c>
      <c r="I26" s="506"/>
      <c r="J26" s="500"/>
      <c r="K26" s="397"/>
      <c r="L26" s="395">
        <v>1</v>
      </c>
      <c r="M26" s="395">
        <v>1</v>
      </c>
      <c r="N26" s="395"/>
      <c r="P26" s="395"/>
      <c r="Q26" s="395">
        <v>1</v>
      </c>
      <c r="R26" s="395">
        <v>1</v>
      </c>
      <c r="S26" s="395"/>
      <c r="T26" s="395"/>
      <c r="U26" s="395"/>
    </row>
    <row r="27" spans="1:21" s="407" customFormat="1" ht="12" hidden="1" customHeight="1" outlineLevel="2">
      <c r="A27" s="508"/>
      <c r="B27" s="503" t="s">
        <v>13</v>
      </c>
      <c r="C27" s="504" t="s">
        <v>1127</v>
      </c>
      <c r="D27" s="531" t="s">
        <v>1151</v>
      </c>
      <c r="E27" s="505" t="s">
        <v>1152</v>
      </c>
      <c r="F27" s="503" t="s">
        <v>70</v>
      </c>
      <c r="G27" s="400" t="s">
        <v>74</v>
      </c>
      <c r="H27" s="507">
        <v>2</v>
      </c>
      <c r="I27" s="506"/>
      <c r="J27" s="500"/>
      <c r="K27" s="397"/>
      <c r="L27" s="395">
        <v>1</v>
      </c>
      <c r="M27" s="395">
        <v>1</v>
      </c>
      <c r="N27" s="395"/>
      <c r="P27" s="395"/>
      <c r="Q27" s="395">
        <v>1</v>
      </c>
      <c r="R27" s="395">
        <v>1</v>
      </c>
      <c r="S27" s="395"/>
      <c r="T27" s="395"/>
      <c r="U27" s="395"/>
    </row>
    <row r="28" spans="1:21" s="407" customFormat="1" ht="12" hidden="1" customHeight="1" outlineLevel="2">
      <c r="A28" s="508"/>
      <c r="B28" s="503" t="s">
        <v>13</v>
      </c>
      <c r="C28" s="504" t="s">
        <v>1127</v>
      </c>
      <c r="D28" s="531" t="s">
        <v>1130</v>
      </c>
      <c r="E28" s="505" t="s">
        <v>1131</v>
      </c>
      <c r="F28" s="503" t="s">
        <v>70</v>
      </c>
      <c r="G28" s="400" t="s">
        <v>74</v>
      </c>
      <c r="H28" s="507">
        <v>2</v>
      </c>
      <c r="I28" s="506"/>
      <c r="J28" s="500"/>
      <c r="K28" s="397"/>
      <c r="L28" s="395">
        <v>1</v>
      </c>
      <c r="M28" s="395">
        <v>1</v>
      </c>
      <c r="N28" s="395"/>
      <c r="P28" s="395"/>
      <c r="Q28" s="395">
        <v>1</v>
      </c>
      <c r="R28" s="395">
        <v>1</v>
      </c>
      <c r="S28" s="395"/>
      <c r="T28" s="395"/>
      <c r="U28" s="395"/>
    </row>
    <row r="29" spans="1:21" s="407" customFormat="1" ht="12" hidden="1" customHeight="1" outlineLevel="2">
      <c r="A29" s="508"/>
      <c r="B29" s="503" t="s">
        <v>13</v>
      </c>
      <c r="C29" s="504" t="s">
        <v>1127</v>
      </c>
      <c r="D29" s="531" t="s">
        <v>1132</v>
      </c>
      <c r="E29" s="505" t="s">
        <v>1133</v>
      </c>
      <c r="F29" s="503" t="s">
        <v>70</v>
      </c>
      <c r="G29" s="400" t="s">
        <v>74</v>
      </c>
      <c r="H29" s="507">
        <v>2</v>
      </c>
      <c r="I29" s="506"/>
      <c r="J29" s="500"/>
      <c r="K29" s="397"/>
      <c r="L29" s="395">
        <v>1</v>
      </c>
      <c r="M29" s="395">
        <v>1</v>
      </c>
      <c r="N29" s="395"/>
      <c r="P29" s="395"/>
      <c r="Q29" s="395">
        <v>1</v>
      </c>
      <c r="R29" s="395">
        <v>1</v>
      </c>
      <c r="S29" s="395"/>
      <c r="T29" s="395"/>
      <c r="U29" s="395"/>
    </row>
    <row r="30" spans="1:21" s="407" customFormat="1" ht="12" hidden="1" customHeight="1" outlineLevel="2">
      <c r="A30" s="508"/>
      <c r="B30" s="503" t="s">
        <v>13</v>
      </c>
      <c r="C30" s="504" t="s">
        <v>1127</v>
      </c>
      <c r="D30" s="531" t="s">
        <v>1134</v>
      </c>
      <c r="E30" s="505" t="s">
        <v>1135</v>
      </c>
      <c r="F30" s="503" t="s">
        <v>70</v>
      </c>
      <c r="G30" s="400" t="s">
        <v>74</v>
      </c>
      <c r="H30" s="507">
        <v>2</v>
      </c>
      <c r="I30" s="506"/>
      <c r="J30" s="500"/>
      <c r="K30" s="397"/>
      <c r="L30" s="395">
        <v>1</v>
      </c>
      <c r="M30" s="395">
        <v>1</v>
      </c>
      <c r="N30" s="395"/>
      <c r="P30" s="395"/>
      <c r="Q30" s="395">
        <v>1</v>
      </c>
      <c r="R30" s="395">
        <v>1</v>
      </c>
      <c r="S30" s="395"/>
      <c r="T30" s="395"/>
      <c r="U30" s="395"/>
    </row>
    <row r="31" spans="1:21" s="407" customFormat="1" ht="12" hidden="1" customHeight="1" outlineLevel="2">
      <c r="A31" s="508"/>
      <c r="B31" s="503" t="s">
        <v>13</v>
      </c>
      <c r="C31" s="504" t="s">
        <v>1127</v>
      </c>
      <c r="D31" s="531" t="s">
        <v>1136</v>
      </c>
      <c r="E31" s="505" t="s">
        <v>1131</v>
      </c>
      <c r="F31" s="503" t="s">
        <v>70</v>
      </c>
      <c r="G31" s="400" t="s">
        <v>74</v>
      </c>
      <c r="H31" s="507">
        <v>2</v>
      </c>
      <c r="I31" s="506"/>
      <c r="J31" s="500"/>
      <c r="K31" s="397"/>
      <c r="L31" s="395">
        <v>1</v>
      </c>
      <c r="M31" s="395">
        <v>1</v>
      </c>
      <c r="N31" s="395"/>
      <c r="P31" s="395"/>
      <c r="Q31" s="395">
        <v>1</v>
      </c>
      <c r="R31" s="395">
        <v>1</v>
      </c>
      <c r="S31" s="395"/>
      <c r="T31" s="395"/>
      <c r="U31" s="395"/>
    </row>
    <row r="32" spans="1:21" s="407" customFormat="1" ht="12" hidden="1" customHeight="1" outlineLevel="2">
      <c r="A32" s="508"/>
      <c r="B32" s="503" t="s">
        <v>13</v>
      </c>
      <c r="C32" s="504" t="s">
        <v>1127</v>
      </c>
      <c r="D32" s="531" t="s">
        <v>1137</v>
      </c>
      <c r="E32" s="505" t="s">
        <v>1138</v>
      </c>
      <c r="F32" s="503" t="s">
        <v>70</v>
      </c>
      <c r="G32" s="400" t="s">
        <v>74</v>
      </c>
      <c r="H32" s="507">
        <v>2</v>
      </c>
      <c r="I32" s="506"/>
      <c r="J32" s="500"/>
      <c r="K32" s="397"/>
      <c r="L32" s="395">
        <v>1</v>
      </c>
      <c r="M32" s="395">
        <v>1</v>
      </c>
      <c r="N32" s="395"/>
      <c r="P32" s="395"/>
      <c r="Q32" s="395">
        <v>1</v>
      </c>
      <c r="R32" s="395">
        <v>1</v>
      </c>
      <c r="S32" s="395"/>
      <c r="T32" s="395"/>
      <c r="U32" s="395"/>
    </row>
    <row r="33" spans="1:21" s="407" customFormat="1" ht="12" hidden="1" customHeight="1" outlineLevel="2">
      <c r="A33" s="508"/>
      <c r="B33" s="503" t="s">
        <v>13</v>
      </c>
      <c r="C33" s="504" t="s">
        <v>1127</v>
      </c>
      <c r="D33" s="531" t="s">
        <v>1139</v>
      </c>
      <c r="E33" s="505" t="s">
        <v>1140</v>
      </c>
      <c r="F33" s="503" t="s">
        <v>70</v>
      </c>
      <c r="G33" s="400" t="s">
        <v>74</v>
      </c>
      <c r="H33" s="507">
        <v>2</v>
      </c>
      <c r="I33" s="506"/>
      <c r="J33" s="500"/>
      <c r="K33" s="397"/>
      <c r="L33" s="395">
        <v>1</v>
      </c>
      <c r="M33" s="395">
        <v>1</v>
      </c>
      <c r="N33" s="395"/>
      <c r="P33" s="395"/>
      <c r="Q33" s="395">
        <v>1</v>
      </c>
      <c r="R33" s="395">
        <v>1</v>
      </c>
      <c r="S33" s="395"/>
      <c r="T33" s="395"/>
      <c r="U33" s="395"/>
    </row>
    <row r="34" spans="1:21" s="407" customFormat="1" ht="12" hidden="1" customHeight="1" outlineLevel="2">
      <c r="A34" s="508"/>
      <c r="B34" s="503" t="s">
        <v>13</v>
      </c>
      <c r="C34" s="504" t="s">
        <v>1127</v>
      </c>
      <c r="D34" s="531" t="s">
        <v>1141</v>
      </c>
      <c r="E34" s="505" t="s">
        <v>1142</v>
      </c>
      <c r="F34" s="503" t="s">
        <v>70</v>
      </c>
      <c r="G34" s="400" t="s">
        <v>74</v>
      </c>
      <c r="H34" s="507">
        <v>2</v>
      </c>
      <c r="I34" s="506"/>
      <c r="J34" s="500"/>
      <c r="K34" s="397"/>
      <c r="L34" s="395">
        <v>1</v>
      </c>
      <c r="M34" s="395">
        <v>1</v>
      </c>
      <c r="N34" s="395"/>
      <c r="P34" s="395"/>
      <c r="Q34" s="395">
        <v>1</v>
      </c>
      <c r="R34" s="395">
        <v>1</v>
      </c>
      <c r="S34" s="395"/>
      <c r="T34" s="395"/>
      <c r="U34" s="395"/>
    </row>
    <row r="35" spans="1:21" s="407" customFormat="1" ht="12" hidden="1" customHeight="1" outlineLevel="2">
      <c r="A35" s="508"/>
      <c r="B35" s="503" t="s">
        <v>13</v>
      </c>
      <c r="C35" s="504" t="s">
        <v>1127</v>
      </c>
      <c r="D35" s="531" t="s">
        <v>1143</v>
      </c>
      <c r="E35" s="505" t="s">
        <v>1144</v>
      </c>
      <c r="F35" s="503" t="s">
        <v>70</v>
      </c>
      <c r="G35" s="400" t="s">
        <v>74</v>
      </c>
      <c r="H35" s="507">
        <v>2</v>
      </c>
      <c r="I35" s="506"/>
      <c r="J35" s="500"/>
      <c r="K35" s="397"/>
      <c r="L35" s="395">
        <v>1</v>
      </c>
      <c r="M35" s="395">
        <v>1</v>
      </c>
      <c r="N35" s="395"/>
      <c r="P35" s="395"/>
      <c r="Q35" s="395">
        <v>1</v>
      </c>
      <c r="R35" s="395">
        <v>1</v>
      </c>
      <c r="S35" s="395"/>
      <c r="T35" s="395"/>
      <c r="U35" s="395"/>
    </row>
    <row r="36" spans="1:21" s="407" customFormat="1" ht="12" hidden="1" customHeight="1" outlineLevel="2">
      <c r="A36" s="508"/>
      <c r="B36" s="503" t="s">
        <v>13</v>
      </c>
      <c r="C36" s="504" t="s">
        <v>1127</v>
      </c>
      <c r="D36" s="531" t="s">
        <v>1145</v>
      </c>
      <c r="E36" s="505" t="s">
        <v>1146</v>
      </c>
      <c r="F36" s="503" t="s">
        <v>70</v>
      </c>
      <c r="G36" s="400" t="s">
        <v>74</v>
      </c>
      <c r="H36" s="507">
        <v>2</v>
      </c>
      <c r="I36" s="506"/>
      <c r="J36" s="500"/>
      <c r="K36" s="397"/>
      <c r="L36" s="395">
        <v>1</v>
      </c>
      <c r="M36" s="395">
        <v>1</v>
      </c>
      <c r="N36" s="395"/>
      <c r="P36" s="395"/>
      <c r="Q36" s="395">
        <v>1</v>
      </c>
      <c r="R36" s="395">
        <v>1</v>
      </c>
      <c r="S36" s="395"/>
      <c r="T36" s="395"/>
      <c r="U36" s="395"/>
    </row>
    <row r="37" spans="1:21" s="407" customFormat="1" ht="12" hidden="1" customHeight="1" outlineLevel="2">
      <c r="A37" s="508"/>
      <c r="B37" s="503" t="s">
        <v>13</v>
      </c>
      <c r="C37" s="504" t="s">
        <v>1127</v>
      </c>
      <c r="D37" s="531" t="s">
        <v>1147</v>
      </c>
      <c r="E37" s="505" t="s">
        <v>1148</v>
      </c>
      <c r="F37" s="503" t="s">
        <v>70</v>
      </c>
      <c r="G37" s="400" t="s">
        <v>74</v>
      </c>
      <c r="H37" s="507">
        <v>2</v>
      </c>
      <c r="I37" s="506"/>
      <c r="J37" s="500"/>
      <c r="K37" s="397"/>
      <c r="L37" s="395">
        <v>1</v>
      </c>
      <c r="M37" s="395">
        <v>1</v>
      </c>
      <c r="N37" s="395"/>
      <c r="P37" s="395"/>
      <c r="Q37" s="395">
        <v>1</v>
      </c>
      <c r="R37" s="395">
        <v>1</v>
      </c>
      <c r="S37" s="395"/>
      <c r="T37" s="395"/>
      <c r="U37" s="395"/>
    </row>
    <row r="38" spans="1:21" s="407" customFormat="1" ht="12" hidden="1" customHeight="1" outlineLevel="2">
      <c r="A38" s="508"/>
      <c r="B38" s="503" t="s">
        <v>13</v>
      </c>
      <c r="C38" s="504" t="s">
        <v>1127</v>
      </c>
      <c r="D38" s="531" t="s">
        <v>1149</v>
      </c>
      <c r="E38" s="505" t="s">
        <v>1150</v>
      </c>
      <c r="F38" s="503" t="s">
        <v>70</v>
      </c>
      <c r="G38" s="400" t="s">
        <v>74</v>
      </c>
      <c r="H38" s="507">
        <v>2</v>
      </c>
      <c r="I38" s="506"/>
      <c r="J38" s="500"/>
      <c r="K38" s="397"/>
      <c r="L38" s="395">
        <v>1</v>
      </c>
      <c r="M38" s="395">
        <v>1</v>
      </c>
      <c r="N38" s="395"/>
      <c r="P38" s="395"/>
      <c r="Q38" s="395">
        <v>1</v>
      </c>
      <c r="R38" s="395">
        <v>1</v>
      </c>
      <c r="S38" s="395"/>
      <c r="T38" s="395"/>
      <c r="U38" s="395"/>
    </row>
    <row r="39" spans="1:21" s="407" customFormat="1" ht="12" hidden="1" customHeight="1" outlineLevel="2">
      <c r="A39" s="508"/>
      <c r="B39" s="503" t="s">
        <v>13</v>
      </c>
      <c r="C39" s="504" t="s">
        <v>1127</v>
      </c>
      <c r="D39" s="531" t="s">
        <v>1151</v>
      </c>
      <c r="E39" s="505" t="s">
        <v>1152</v>
      </c>
      <c r="F39" s="503" t="s">
        <v>70</v>
      </c>
      <c r="G39" s="400" t="s">
        <v>74</v>
      </c>
      <c r="H39" s="507">
        <v>2</v>
      </c>
      <c r="I39" s="506"/>
      <c r="J39" s="500"/>
      <c r="K39" s="397"/>
      <c r="L39" s="395">
        <v>1</v>
      </c>
      <c r="M39" s="395">
        <v>1</v>
      </c>
      <c r="N39" s="395"/>
      <c r="P39" s="395"/>
      <c r="Q39" s="395">
        <v>1</v>
      </c>
      <c r="R39" s="395">
        <v>1</v>
      </c>
      <c r="S39" s="395"/>
      <c r="T39" s="395"/>
      <c r="U39" s="395"/>
    </row>
    <row r="40" spans="1:21" s="407" customFormat="1" ht="12" hidden="1" customHeight="1" outlineLevel="2">
      <c r="A40" s="508"/>
      <c r="B40" s="503"/>
      <c r="C40" s="504"/>
      <c r="D40" s="531"/>
      <c r="E40" s="505"/>
      <c r="F40" s="503"/>
      <c r="G40" s="400"/>
      <c r="H40" s="507"/>
      <c r="I40" s="506"/>
      <c r="J40" s="500"/>
      <c r="K40" s="397"/>
      <c r="L40" s="395"/>
      <c r="M40" s="395"/>
      <c r="N40" s="395"/>
      <c r="P40" s="395"/>
      <c r="Q40" s="395"/>
      <c r="R40" s="395"/>
      <c r="S40" s="395"/>
      <c r="T40" s="395"/>
      <c r="U40" s="395"/>
    </row>
    <row r="41" spans="1:21" s="407" customFormat="1" ht="12" hidden="1" customHeight="1" outlineLevel="2">
      <c r="A41" s="508"/>
      <c r="B41" s="503"/>
      <c r="C41" s="504"/>
      <c r="D41" s="531"/>
      <c r="E41" s="505"/>
      <c r="F41" s="503"/>
      <c r="G41" s="400"/>
      <c r="H41" s="507"/>
      <c r="I41" s="506"/>
      <c r="J41" s="500"/>
      <c r="K41" s="397"/>
      <c r="L41" s="395"/>
      <c r="M41" s="395"/>
      <c r="N41" s="395"/>
      <c r="P41" s="395"/>
      <c r="Q41" s="395"/>
      <c r="R41" s="395"/>
      <c r="S41" s="395"/>
      <c r="T41" s="395"/>
      <c r="U41" s="395"/>
    </row>
    <row r="42" spans="1:21" s="407" customFormat="1" ht="12" hidden="1" customHeight="1" outlineLevel="2">
      <c r="A42" s="508"/>
      <c r="B42" s="503"/>
      <c r="C42" s="504"/>
      <c r="D42" s="531"/>
      <c r="E42" s="505"/>
      <c r="F42" s="503"/>
      <c r="G42" s="400"/>
      <c r="H42" s="507"/>
      <c r="I42" s="506"/>
      <c r="J42" s="500"/>
      <c r="K42" s="397"/>
      <c r="L42" s="395"/>
      <c r="M42" s="395"/>
      <c r="N42" s="395"/>
      <c r="P42" s="395"/>
      <c r="Q42" s="395"/>
      <c r="R42" s="395"/>
      <c r="S42" s="395"/>
      <c r="T42" s="395"/>
      <c r="U42" s="395"/>
    </row>
    <row r="43" spans="1:21" s="407" customFormat="1" ht="12" hidden="1" customHeight="1" outlineLevel="2">
      <c r="A43" s="508"/>
      <c r="B43" s="503"/>
      <c r="C43" s="504"/>
      <c r="D43" s="531"/>
      <c r="E43" s="505"/>
      <c r="F43" s="503"/>
      <c r="G43" s="400"/>
      <c r="H43" s="507"/>
      <c r="I43" s="506"/>
      <c r="J43" s="500"/>
      <c r="K43" s="397"/>
      <c r="L43" s="395"/>
      <c r="M43" s="395"/>
      <c r="N43" s="395"/>
      <c r="P43" s="395"/>
      <c r="Q43" s="395"/>
      <c r="R43" s="395"/>
      <c r="S43" s="395"/>
      <c r="T43" s="395"/>
      <c r="U43" s="395"/>
    </row>
    <row r="44" spans="1:21" s="407" customFormat="1" ht="12" hidden="1" customHeight="1" outlineLevel="2">
      <c r="A44" s="508"/>
      <c r="B44" s="503"/>
      <c r="C44" s="504"/>
      <c r="D44" s="531"/>
      <c r="E44" s="505"/>
      <c r="F44" s="503"/>
      <c r="G44" s="400"/>
      <c r="H44" s="507"/>
      <c r="I44" s="506"/>
      <c r="J44" s="500"/>
      <c r="K44" s="397"/>
      <c r="L44" s="395"/>
      <c r="M44" s="395"/>
      <c r="N44" s="395"/>
      <c r="P44" s="395"/>
      <c r="Q44" s="395"/>
      <c r="R44" s="395"/>
      <c r="S44" s="395"/>
      <c r="T44" s="395"/>
      <c r="U44" s="395"/>
    </row>
    <row r="45" spans="1:21" s="407" customFormat="1" ht="12" hidden="1" customHeight="1" outlineLevel="2">
      <c r="A45" s="508"/>
      <c r="B45" s="503"/>
      <c r="C45" s="504"/>
      <c r="D45" s="531"/>
      <c r="E45" s="505"/>
      <c r="F45" s="503"/>
      <c r="G45" s="400"/>
      <c r="H45" s="507"/>
      <c r="I45" s="506"/>
      <c r="J45" s="500"/>
      <c r="K45" s="397"/>
      <c r="L45" s="395"/>
      <c r="M45" s="395"/>
      <c r="N45" s="395"/>
      <c r="P45" s="395"/>
      <c r="Q45" s="395"/>
      <c r="R45" s="395"/>
      <c r="S45" s="395"/>
      <c r="T45" s="395"/>
      <c r="U45" s="395"/>
    </row>
    <row r="46" spans="1:21" s="407" customFormat="1" ht="12" hidden="1" customHeight="1" outlineLevel="2">
      <c r="A46" s="508"/>
      <c r="B46" s="503"/>
      <c r="C46" s="504"/>
      <c r="D46" s="531"/>
      <c r="E46" s="505"/>
      <c r="F46" s="503"/>
      <c r="G46" s="400"/>
      <c r="H46" s="507"/>
      <c r="I46" s="506"/>
      <c r="J46" s="500"/>
      <c r="K46" s="397"/>
      <c r="L46" s="395"/>
      <c r="M46" s="395"/>
      <c r="N46" s="395"/>
      <c r="P46" s="395"/>
      <c r="Q46" s="395"/>
      <c r="R46" s="395"/>
      <c r="S46" s="395"/>
      <c r="T46" s="395"/>
      <c r="U46" s="395"/>
    </row>
    <row r="47" spans="1:21" s="407" customFormat="1" ht="12" hidden="1" customHeight="1" outlineLevel="2">
      <c r="A47" s="508"/>
      <c r="B47" s="503"/>
      <c r="C47" s="504"/>
      <c r="D47" s="531"/>
      <c r="E47" s="505"/>
      <c r="F47" s="503"/>
      <c r="G47" s="400"/>
      <c r="H47" s="507"/>
      <c r="I47" s="506"/>
      <c r="J47" s="500"/>
      <c r="K47" s="397"/>
      <c r="L47" s="395"/>
      <c r="M47" s="395"/>
      <c r="N47" s="395"/>
      <c r="P47" s="395"/>
      <c r="Q47" s="395"/>
      <c r="R47" s="395"/>
      <c r="S47" s="395"/>
      <c r="T47" s="395"/>
      <c r="U47" s="395"/>
    </row>
    <row r="48" spans="1:21" s="407" customFormat="1" ht="12" hidden="1" customHeight="1" outlineLevel="2">
      <c r="A48" s="508"/>
      <c r="B48" s="503"/>
      <c r="C48" s="504"/>
      <c r="D48" s="531"/>
      <c r="E48" s="505"/>
      <c r="F48" s="503"/>
      <c r="G48" s="400"/>
      <c r="H48" s="507"/>
      <c r="I48" s="506"/>
      <c r="J48" s="500"/>
      <c r="K48" s="397"/>
      <c r="L48" s="395"/>
      <c r="M48" s="395"/>
      <c r="N48" s="395"/>
      <c r="P48" s="395"/>
      <c r="Q48" s="395"/>
      <c r="R48" s="395"/>
      <c r="S48" s="395"/>
      <c r="T48" s="395"/>
      <c r="U48" s="395"/>
    </row>
    <row r="49" spans="1:21" s="407" customFormat="1" ht="12" hidden="1" customHeight="1" outlineLevel="2">
      <c r="A49" s="508"/>
      <c r="B49" s="503"/>
      <c r="C49" s="504"/>
      <c r="D49" s="531"/>
      <c r="E49" s="505"/>
      <c r="F49" s="503"/>
      <c r="G49" s="400"/>
      <c r="H49" s="507"/>
      <c r="I49" s="506"/>
      <c r="J49" s="500"/>
      <c r="K49" s="397"/>
      <c r="L49" s="395"/>
      <c r="M49" s="395"/>
      <c r="N49" s="395"/>
      <c r="P49" s="395"/>
      <c r="Q49" s="395"/>
      <c r="R49" s="395"/>
      <c r="S49" s="395"/>
      <c r="T49" s="395"/>
      <c r="U49" s="395"/>
    </row>
    <row r="50" spans="1:21" s="407" customFormat="1" ht="12" hidden="1" customHeight="1" outlineLevel="2">
      <c r="A50" s="508"/>
      <c r="B50" s="503"/>
      <c r="C50" s="504"/>
      <c r="D50" s="531"/>
      <c r="E50" s="505"/>
      <c r="F50" s="503"/>
      <c r="G50" s="400"/>
      <c r="H50" s="507"/>
      <c r="I50" s="506"/>
      <c r="J50" s="500"/>
      <c r="K50" s="397"/>
      <c r="L50" s="395"/>
      <c r="M50" s="395"/>
      <c r="N50" s="395"/>
      <c r="P50" s="395"/>
      <c r="Q50" s="395"/>
      <c r="R50" s="395"/>
      <c r="S50" s="395"/>
      <c r="T50" s="395"/>
      <c r="U50" s="395"/>
    </row>
    <row r="51" spans="1:21" s="407" customFormat="1" ht="12" hidden="1" customHeight="1" outlineLevel="2">
      <c r="A51" s="508"/>
      <c r="B51" s="503"/>
      <c r="C51" s="504"/>
      <c r="D51" s="531"/>
      <c r="E51" s="505"/>
      <c r="F51" s="503"/>
      <c r="G51" s="400"/>
      <c r="H51" s="507"/>
      <c r="I51" s="506"/>
      <c r="J51" s="500"/>
      <c r="K51" s="397"/>
      <c r="L51" s="395"/>
      <c r="M51" s="395"/>
      <c r="N51" s="395"/>
      <c r="P51" s="395"/>
      <c r="Q51" s="395"/>
      <c r="R51" s="395"/>
      <c r="S51" s="395"/>
      <c r="T51" s="395"/>
      <c r="U51" s="395"/>
    </row>
    <row r="52" spans="1:21" s="407" customFormat="1" ht="12" hidden="1" customHeight="1" outlineLevel="2">
      <c r="A52" s="508"/>
      <c r="B52" s="503"/>
      <c r="C52" s="504"/>
      <c r="D52" s="531"/>
      <c r="E52" s="505"/>
      <c r="F52" s="503"/>
      <c r="G52" s="400"/>
      <c r="H52" s="507"/>
      <c r="I52" s="506"/>
      <c r="J52" s="500"/>
      <c r="K52" s="397"/>
      <c r="L52" s="395"/>
      <c r="M52" s="395"/>
      <c r="N52" s="395"/>
      <c r="P52" s="395"/>
      <c r="Q52" s="395"/>
      <c r="R52" s="395"/>
      <c r="S52" s="395"/>
      <c r="T52" s="395"/>
      <c r="U52" s="395"/>
    </row>
    <row r="53" spans="1:21" s="407" customFormat="1" ht="12" hidden="1" customHeight="1" outlineLevel="2">
      <c r="A53" s="508"/>
      <c r="B53" s="503"/>
      <c r="C53" s="504"/>
      <c r="D53" s="531"/>
      <c r="E53" s="505"/>
      <c r="F53" s="503"/>
      <c r="G53" s="400"/>
      <c r="H53" s="507"/>
      <c r="I53" s="506"/>
      <c r="J53" s="500"/>
      <c r="K53" s="397"/>
      <c r="L53" s="395"/>
      <c r="M53" s="395"/>
      <c r="N53" s="395"/>
      <c r="P53" s="395"/>
      <c r="Q53" s="395"/>
      <c r="R53" s="395"/>
      <c r="S53" s="395"/>
      <c r="T53" s="395"/>
      <c r="U53" s="395"/>
    </row>
    <row r="54" spans="1:21" s="407" customFormat="1" ht="12" hidden="1" customHeight="1" outlineLevel="2">
      <c r="A54" s="508"/>
      <c r="B54" s="503"/>
      <c r="C54" s="504"/>
      <c r="D54" s="531"/>
      <c r="E54" s="505"/>
      <c r="F54" s="503"/>
      <c r="G54" s="400"/>
      <c r="H54" s="507"/>
      <c r="I54" s="506"/>
      <c r="J54" s="500"/>
      <c r="K54" s="397"/>
      <c r="L54" s="395"/>
      <c r="M54" s="395"/>
      <c r="N54" s="395"/>
      <c r="P54" s="395"/>
      <c r="Q54" s="395"/>
      <c r="R54" s="395"/>
      <c r="S54" s="395"/>
      <c r="T54" s="395"/>
      <c r="U54" s="395"/>
    </row>
    <row r="55" spans="1:21" s="407" customFormat="1" ht="12" hidden="1" customHeight="1" outlineLevel="2">
      <c r="A55" s="508"/>
      <c r="B55" s="503"/>
      <c r="C55" s="504"/>
      <c r="D55" s="531"/>
      <c r="E55" s="505"/>
      <c r="F55" s="503"/>
      <c r="G55" s="400"/>
      <c r="H55" s="507"/>
      <c r="I55" s="506"/>
      <c r="J55" s="500"/>
      <c r="K55" s="397"/>
      <c r="L55" s="395"/>
      <c r="M55" s="395"/>
      <c r="N55" s="395"/>
      <c r="P55" s="395"/>
      <c r="Q55" s="395"/>
      <c r="R55" s="395"/>
      <c r="S55" s="395"/>
      <c r="T55" s="395"/>
      <c r="U55" s="395"/>
    </row>
    <row r="56" spans="1:21" s="407" customFormat="1" ht="12" hidden="1" customHeight="1" outlineLevel="2">
      <c r="A56" s="508"/>
      <c r="B56" s="503"/>
      <c r="C56" s="504"/>
      <c r="D56" s="531"/>
      <c r="E56" s="505"/>
      <c r="F56" s="503"/>
      <c r="G56" s="400"/>
      <c r="H56" s="507"/>
      <c r="I56" s="506"/>
      <c r="J56" s="500"/>
      <c r="K56" s="397"/>
      <c r="L56" s="395"/>
      <c r="M56" s="395"/>
      <c r="N56" s="395"/>
      <c r="P56" s="395"/>
      <c r="Q56" s="395"/>
      <c r="R56" s="395"/>
      <c r="S56" s="395"/>
      <c r="T56" s="395"/>
      <c r="U56" s="395"/>
    </row>
    <row r="57" spans="1:21" s="407" customFormat="1" ht="12" hidden="1" customHeight="1" outlineLevel="2">
      <c r="A57" s="508"/>
      <c r="B57" s="503"/>
      <c r="C57" s="504"/>
      <c r="D57" s="531"/>
      <c r="E57" s="505"/>
      <c r="F57" s="503"/>
      <c r="G57" s="400"/>
      <c r="H57" s="507"/>
      <c r="I57" s="506"/>
      <c r="J57" s="500"/>
      <c r="K57" s="397"/>
      <c r="L57" s="395"/>
      <c r="M57" s="395"/>
      <c r="N57" s="395"/>
      <c r="P57" s="395"/>
      <c r="Q57" s="395"/>
      <c r="R57" s="395"/>
      <c r="S57" s="395"/>
      <c r="T57" s="395"/>
      <c r="U57" s="395"/>
    </row>
    <row r="58" spans="1:21" s="407" customFormat="1" ht="12" hidden="1" customHeight="1" outlineLevel="2">
      <c r="A58" s="508"/>
      <c r="B58" s="503"/>
      <c r="C58" s="504"/>
      <c r="D58" s="531"/>
      <c r="E58" s="505"/>
      <c r="F58" s="503"/>
      <c r="G58" s="400"/>
      <c r="H58" s="507"/>
      <c r="I58" s="506"/>
      <c r="J58" s="500"/>
      <c r="K58" s="397"/>
      <c r="L58" s="395"/>
      <c r="M58" s="395"/>
      <c r="N58" s="395"/>
      <c r="P58" s="395"/>
      <c r="Q58" s="395"/>
      <c r="R58" s="395"/>
      <c r="S58" s="395"/>
      <c r="T58" s="395"/>
      <c r="U58" s="395"/>
    </row>
    <row r="59" spans="1:21" s="407" customFormat="1" ht="12" hidden="1" customHeight="1" outlineLevel="2">
      <c r="A59" s="508"/>
      <c r="B59" s="503"/>
      <c r="C59" s="504"/>
      <c r="D59" s="531"/>
      <c r="E59" s="505"/>
      <c r="F59" s="503"/>
      <c r="G59" s="400"/>
      <c r="H59" s="507"/>
      <c r="I59" s="506"/>
      <c r="J59" s="500"/>
      <c r="K59" s="397"/>
      <c r="L59" s="395"/>
      <c r="M59" s="395"/>
      <c r="N59" s="395"/>
      <c r="P59" s="395"/>
      <c r="Q59" s="395"/>
      <c r="R59" s="395"/>
      <c r="S59" s="395"/>
      <c r="T59" s="395"/>
      <c r="U59" s="395"/>
    </row>
    <row r="60" spans="1:21" s="407" customFormat="1" ht="12" hidden="1" customHeight="1" outlineLevel="2">
      <c r="A60" s="508"/>
      <c r="B60" s="503" t="s">
        <v>13</v>
      </c>
      <c r="C60" s="504" t="s">
        <v>1127</v>
      </c>
      <c r="D60" s="531" t="s">
        <v>1153</v>
      </c>
      <c r="E60" s="505" t="s">
        <v>1154</v>
      </c>
      <c r="F60" s="503" t="s">
        <v>70</v>
      </c>
      <c r="G60" s="400" t="str">
        <f t="shared" ref="G60:G61" si="0">CONCATENATE(F60,"-",H60)</f>
        <v>BB02-2</v>
      </c>
      <c r="H60" s="507">
        <v>2</v>
      </c>
      <c r="I60" s="506"/>
      <c r="J60" s="500">
        <v>0</v>
      </c>
      <c r="K60" s="397"/>
      <c r="L60" s="395">
        <f t="shared" ref="L60:L61" si="1">--(COUNTIF(M60:P60,1)&gt;0)</f>
        <v>1</v>
      </c>
      <c r="M60" s="395">
        <v>1</v>
      </c>
      <c r="N60" s="395"/>
      <c r="P60" s="395"/>
      <c r="Q60" s="395">
        <f t="shared" ref="Q60:Q61" si="2">--(COUNTIF(R60:U60,1)&gt;0)</f>
        <v>0</v>
      </c>
      <c r="R60" s="395"/>
      <c r="S60" s="395"/>
      <c r="T60" s="395"/>
      <c r="U60" s="395"/>
    </row>
    <row r="61" spans="1:21" s="407" customFormat="1" ht="12" hidden="1" customHeight="1" outlineLevel="2">
      <c r="A61" s="508"/>
      <c r="B61" s="503" t="s">
        <v>13</v>
      </c>
      <c r="C61" s="504" t="s">
        <v>1127</v>
      </c>
      <c r="D61" s="531" t="s">
        <v>1155</v>
      </c>
      <c r="E61" s="505" t="s">
        <v>1156</v>
      </c>
      <c r="F61" s="503" t="s">
        <v>70</v>
      </c>
      <c r="G61" s="400" t="str">
        <f t="shared" si="0"/>
        <v>BB02-2</v>
      </c>
      <c r="H61" s="507">
        <v>2</v>
      </c>
      <c r="I61" s="506"/>
      <c r="J61" s="500">
        <v>0</v>
      </c>
      <c r="K61" s="397"/>
      <c r="L61" s="395">
        <f t="shared" si="1"/>
        <v>1</v>
      </c>
      <c r="M61" s="395">
        <v>1</v>
      </c>
      <c r="N61" s="395"/>
      <c r="P61" s="395"/>
      <c r="Q61" s="395">
        <f t="shared" si="2"/>
        <v>0</v>
      </c>
      <c r="R61" s="395"/>
      <c r="S61" s="395"/>
      <c r="T61" s="395"/>
      <c r="U61" s="395"/>
    </row>
    <row r="62" spans="1:21" s="407" customFormat="1" ht="3" hidden="1" customHeight="1" outlineLevel="1">
      <c r="A62" s="496"/>
      <c r="B62" s="503"/>
      <c r="C62" s="504"/>
      <c r="D62" s="531"/>
      <c r="E62" s="505"/>
      <c r="F62" s="503"/>
      <c r="G62" s="400"/>
      <c r="H62" s="507"/>
      <c r="I62" s="506"/>
      <c r="J62" s="500"/>
      <c r="K62" s="392"/>
      <c r="L62" s="395"/>
      <c r="M62" s="395"/>
      <c r="N62" s="395"/>
      <c r="P62" s="395"/>
      <c r="Q62" s="395"/>
      <c r="R62" s="395"/>
      <c r="S62" s="395"/>
      <c r="T62" s="395"/>
      <c r="U62" s="395"/>
    </row>
    <row r="63" spans="1:21" s="407" customFormat="1" ht="12" hidden="1" customHeight="1" outlineLevel="1" collapsed="1">
      <c r="A63" s="460" t="s">
        <v>76</v>
      </c>
      <c r="B63" s="460" t="s">
        <v>1157</v>
      </c>
      <c r="C63" s="460"/>
      <c r="D63" s="459"/>
      <c r="E63" s="460"/>
      <c r="F63" s="503"/>
      <c r="G63" s="400"/>
      <c r="H63" s="507"/>
      <c r="I63" s="506"/>
      <c r="J63" s="500"/>
      <c r="K63" s="397"/>
      <c r="L63" s="395"/>
      <c r="M63" s="395"/>
      <c r="N63" s="395"/>
      <c r="P63" s="395"/>
      <c r="Q63" s="395"/>
      <c r="R63" s="395"/>
      <c r="S63" s="395"/>
      <c r="T63" s="395"/>
      <c r="U63" s="395"/>
    </row>
    <row r="64" spans="1:21" s="407" customFormat="1" ht="12" hidden="1" customHeight="1" outlineLevel="2">
      <c r="A64" s="508"/>
      <c r="B64" s="503" t="s">
        <v>13</v>
      </c>
      <c r="C64" s="504" t="s">
        <v>1127</v>
      </c>
      <c r="D64" s="531" t="s">
        <v>1158</v>
      </c>
      <c r="E64" s="505" t="s">
        <v>1159</v>
      </c>
      <c r="F64" s="503" t="s">
        <v>70</v>
      </c>
      <c r="G64" s="400" t="str">
        <f>CONCATENATE(F64,"-",H64)</f>
        <v>BB02-3</v>
      </c>
      <c r="H64" s="507">
        <v>3</v>
      </c>
      <c r="I64" s="506"/>
      <c r="J64" s="500">
        <v>0</v>
      </c>
      <c r="K64" s="397"/>
      <c r="L64" s="395">
        <f t="shared" ref="L64:L68" si="3">--(COUNTIF(M64:P64,1)&gt;0)</f>
        <v>1</v>
      </c>
      <c r="M64" s="395">
        <v>1</v>
      </c>
      <c r="N64" s="395"/>
      <c r="P64" s="395"/>
      <c r="Q64" s="395">
        <f>--(COUNTIF(S64:U64,1)&gt;0)</f>
        <v>1</v>
      </c>
      <c r="S64" s="395">
        <v>1</v>
      </c>
      <c r="T64" s="395"/>
      <c r="U64" s="395"/>
    </row>
    <row r="65" spans="1:21" s="407" customFormat="1" ht="12" hidden="1" customHeight="1" outlineLevel="2">
      <c r="A65" s="508"/>
      <c r="B65" s="503" t="s">
        <v>13</v>
      </c>
      <c r="C65" s="504" t="s">
        <v>1127</v>
      </c>
      <c r="D65" s="531" t="s">
        <v>1160</v>
      </c>
      <c r="E65" s="505" t="s">
        <v>1161</v>
      </c>
      <c r="F65" s="503" t="s">
        <v>70</v>
      </c>
      <c r="G65" s="400" t="str">
        <f t="shared" ref="G65:G68" si="4">CONCATENATE(F65,"-",H65)</f>
        <v>BB02-3</v>
      </c>
      <c r="H65" s="507">
        <v>3</v>
      </c>
      <c r="I65" s="506"/>
      <c r="J65" s="500">
        <v>0</v>
      </c>
      <c r="K65" s="397"/>
      <c r="L65" s="395">
        <f t="shared" si="3"/>
        <v>1</v>
      </c>
      <c r="M65" s="395">
        <v>1</v>
      </c>
      <c r="N65" s="395"/>
      <c r="P65" s="395"/>
      <c r="Q65" s="395">
        <f>--(COUNTIF(S65:U65,1)&gt;0)</f>
        <v>1</v>
      </c>
      <c r="S65" s="395">
        <v>1</v>
      </c>
      <c r="T65" s="395"/>
      <c r="U65" s="395"/>
    </row>
    <row r="66" spans="1:21" s="407" customFormat="1" ht="12" hidden="1" customHeight="1" outlineLevel="2">
      <c r="A66" s="508"/>
      <c r="B66" s="503" t="s">
        <v>13</v>
      </c>
      <c r="C66" s="504" t="s">
        <v>1127</v>
      </c>
      <c r="D66" s="531" t="s">
        <v>1162</v>
      </c>
      <c r="E66" s="505" t="s">
        <v>1163</v>
      </c>
      <c r="F66" s="503" t="s">
        <v>70</v>
      </c>
      <c r="G66" s="400" t="str">
        <f t="shared" ref="G66" si="5">CONCATENATE(F66,"-",H66)</f>
        <v>BB02-3</v>
      </c>
      <c r="H66" s="507">
        <v>3</v>
      </c>
      <c r="I66" s="506"/>
      <c r="J66" s="500">
        <v>0</v>
      </c>
      <c r="K66" s="397"/>
      <c r="L66" s="395">
        <f t="shared" ref="L66" si="6">--(COUNTIF(M66:P66,1)&gt;0)</f>
        <v>1</v>
      </c>
      <c r="M66" s="395">
        <v>1</v>
      </c>
      <c r="N66" s="395"/>
      <c r="P66" s="395"/>
      <c r="Q66" s="395">
        <f t="shared" ref="Q66:Q68" si="7">--(COUNTIF(R66:U66,1)&gt;0)</f>
        <v>1</v>
      </c>
      <c r="R66" s="395">
        <v>1</v>
      </c>
      <c r="S66" s="395"/>
      <c r="T66" s="395"/>
      <c r="U66" s="395"/>
    </row>
    <row r="67" spans="1:21" s="407" customFormat="1" ht="12" hidden="1" customHeight="1" outlineLevel="2">
      <c r="A67" s="508"/>
      <c r="B67" s="503" t="s">
        <v>13</v>
      </c>
      <c r="C67" s="504" t="s">
        <v>1127</v>
      </c>
      <c r="D67" s="531" t="s">
        <v>1162</v>
      </c>
      <c r="E67" s="505" t="s">
        <v>1164</v>
      </c>
      <c r="F67" s="503" t="s">
        <v>70</v>
      </c>
      <c r="G67" s="400" t="str">
        <f t="shared" ref="G67" si="8">CONCATENATE(F67,"-",H67)</f>
        <v>BB02-3</v>
      </c>
      <c r="H67" s="507">
        <v>3</v>
      </c>
      <c r="I67" s="506"/>
      <c r="J67" s="500">
        <v>0</v>
      </c>
      <c r="K67" s="397"/>
      <c r="L67" s="395">
        <f t="shared" ref="L67" si="9">--(COUNTIF(M67:P67,1)&gt;0)</f>
        <v>1</v>
      </c>
      <c r="M67" s="395">
        <v>1</v>
      </c>
      <c r="N67" s="395"/>
      <c r="P67" s="395"/>
      <c r="Q67" s="395">
        <f t="shared" ref="Q67" si="10">--(COUNTIF(R67:U67,1)&gt;0)</f>
        <v>1</v>
      </c>
      <c r="R67" s="395">
        <v>1</v>
      </c>
      <c r="S67" s="395"/>
      <c r="T67" s="395"/>
      <c r="U67" s="395"/>
    </row>
    <row r="68" spans="1:21" s="407" customFormat="1" ht="12" hidden="1" customHeight="1" outlineLevel="2">
      <c r="A68" s="508"/>
      <c r="B68" s="503" t="s">
        <v>13</v>
      </c>
      <c r="C68" s="504" t="s">
        <v>1127</v>
      </c>
      <c r="D68" s="531" t="s">
        <v>1165</v>
      </c>
      <c r="E68" s="505" t="s">
        <v>1166</v>
      </c>
      <c r="F68" s="503" t="s">
        <v>70</v>
      </c>
      <c r="G68" s="400" t="str">
        <f t="shared" si="4"/>
        <v>BB02-3</v>
      </c>
      <c r="H68" s="507">
        <v>3</v>
      </c>
      <c r="I68" s="506"/>
      <c r="J68" s="500">
        <v>0</v>
      </c>
      <c r="K68" s="397"/>
      <c r="L68" s="395">
        <f t="shared" si="3"/>
        <v>1</v>
      </c>
      <c r="M68" s="395">
        <v>1</v>
      </c>
      <c r="N68" s="395"/>
      <c r="P68" s="395"/>
      <c r="Q68" s="395">
        <f t="shared" si="7"/>
        <v>1</v>
      </c>
      <c r="R68" s="395"/>
      <c r="S68" s="395">
        <v>1</v>
      </c>
      <c r="T68" s="395"/>
      <c r="U68" s="395"/>
    </row>
    <row r="69" spans="1:21" s="407" customFormat="1" ht="3" hidden="1" customHeight="1" outlineLevel="1">
      <c r="A69" s="508"/>
      <c r="B69" s="503"/>
      <c r="C69" s="504"/>
      <c r="D69" s="531"/>
      <c r="E69" s="505"/>
      <c r="F69" s="503"/>
      <c r="G69" s="400"/>
      <c r="H69" s="507"/>
      <c r="I69" s="506"/>
      <c r="J69" s="500"/>
      <c r="K69" s="397"/>
      <c r="L69" s="395"/>
      <c r="N69" s="395"/>
      <c r="O69" s="395"/>
      <c r="P69" s="395"/>
      <c r="Q69" s="395"/>
      <c r="R69" s="395"/>
      <c r="S69" s="395"/>
      <c r="T69" s="395"/>
      <c r="U69" s="395"/>
    </row>
    <row r="70" spans="1:21" s="407" customFormat="1" ht="12" hidden="1" customHeight="1" outlineLevel="1">
      <c r="A70" s="460" t="s">
        <v>78</v>
      </c>
      <c r="B70" s="460" t="s">
        <v>77</v>
      </c>
      <c r="C70" s="460"/>
      <c r="D70" s="459"/>
      <c r="E70" s="460"/>
      <c r="F70" s="503"/>
      <c r="G70" s="400"/>
      <c r="H70" s="507"/>
      <c r="I70" s="506"/>
      <c r="J70" s="500"/>
      <c r="K70" s="397"/>
      <c r="L70" s="395"/>
      <c r="M70" s="395"/>
      <c r="N70" s="395"/>
      <c r="O70" s="395"/>
      <c r="P70" s="395" t="s">
        <v>1167</v>
      </c>
      <c r="Q70" s="395"/>
      <c r="R70" s="395"/>
      <c r="S70" s="395"/>
      <c r="T70" s="395"/>
      <c r="U70" s="395"/>
    </row>
    <row r="71" spans="1:21" s="407" customFormat="1" ht="12" hidden="1" customHeight="1" outlineLevel="2">
      <c r="A71" s="508"/>
      <c r="B71" s="503" t="s">
        <v>13</v>
      </c>
      <c r="C71" s="504" t="s">
        <v>1127</v>
      </c>
      <c r="D71" s="531" t="s">
        <v>1158</v>
      </c>
      <c r="E71" s="505" t="s">
        <v>1168</v>
      </c>
      <c r="F71" s="503" t="s">
        <v>70</v>
      </c>
      <c r="G71" s="400" t="str">
        <f t="shared" ref="G71:G73" si="11">CONCATENATE(F71,"-",H71)</f>
        <v>BB02-4</v>
      </c>
      <c r="H71" s="507">
        <v>4</v>
      </c>
      <c r="I71" s="506"/>
      <c r="J71" s="500">
        <v>0</v>
      </c>
      <c r="K71" s="397"/>
      <c r="L71" s="395">
        <f t="shared" ref="L71:L73" si="12">--(COUNTIF(M71:P71,1)&gt;0)</f>
        <v>1</v>
      </c>
      <c r="M71" s="395">
        <v>1</v>
      </c>
      <c r="N71" s="395"/>
      <c r="O71" s="395"/>
      <c r="Q71" s="395">
        <f t="shared" ref="Q71:Q73" si="13">--(COUNTIF(R71:U71,1)&gt;0)</f>
        <v>0</v>
      </c>
      <c r="R71" s="395"/>
      <c r="S71" s="395"/>
      <c r="T71" s="395"/>
      <c r="U71" s="395"/>
    </row>
    <row r="72" spans="1:21" s="407" customFormat="1" ht="12" hidden="1" customHeight="1" outlineLevel="2">
      <c r="A72" s="508"/>
      <c r="B72" s="503" t="s">
        <v>13</v>
      </c>
      <c r="C72" s="504" t="s">
        <v>1127</v>
      </c>
      <c r="D72" s="531" t="s">
        <v>1160</v>
      </c>
      <c r="E72" s="505" t="s">
        <v>1169</v>
      </c>
      <c r="F72" s="503" t="s">
        <v>70</v>
      </c>
      <c r="G72" s="400" t="str">
        <f t="shared" si="11"/>
        <v>BB02-4</v>
      </c>
      <c r="H72" s="507">
        <v>4</v>
      </c>
      <c r="I72" s="506"/>
      <c r="J72" s="500">
        <v>0</v>
      </c>
      <c r="K72" s="397"/>
      <c r="L72" s="395">
        <f t="shared" si="12"/>
        <v>1</v>
      </c>
      <c r="M72" s="395">
        <v>1</v>
      </c>
      <c r="N72" s="395"/>
      <c r="O72" s="395"/>
      <c r="Q72" s="395">
        <f t="shared" si="13"/>
        <v>0</v>
      </c>
      <c r="R72" s="395"/>
      <c r="S72" s="395"/>
      <c r="T72" s="395"/>
      <c r="U72" s="395"/>
    </row>
    <row r="73" spans="1:21" s="407" customFormat="1" ht="12" hidden="1" customHeight="1" outlineLevel="2">
      <c r="A73" s="508"/>
      <c r="B73" s="503" t="s">
        <v>13</v>
      </c>
      <c r="C73" s="504" t="s">
        <v>1127</v>
      </c>
      <c r="D73" s="531" t="s">
        <v>1165</v>
      </c>
      <c r="E73" s="505" t="s">
        <v>1170</v>
      </c>
      <c r="F73" s="503" t="s">
        <v>70</v>
      </c>
      <c r="G73" s="400" t="str">
        <f t="shared" si="11"/>
        <v>BB02-4</v>
      </c>
      <c r="H73" s="507">
        <v>4</v>
      </c>
      <c r="I73" s="506"/>
      <c r="J73" s="500">
        <v>0</v>
      </c>
      <c r="K73" s="397"/>
      <c r="L73" s="395">
        <f t="shared" si="12"/>
        <v>1</v>
      </c>
      <c r="M73" s="395">
        <v>1</v>
      </c>
      <c r="N73" s="395"/>
      <c r="O73" s="395"/>
      <c r="Q73" s="395">
        <f t="shared" si="13"/>
        <v>0</v>
      </c>
      <c r="R73" s="395"/>
      <c r="S73" s="395"/>
      <c r="T73" s="395"/>
      <c r="U73" s="395"/>
    </row>
    <row r="74" spans="1:21" s="407" customFormat="1" ht="3" hidden="1" customHeight="1">
      <c r="A74" s="369"/>
      <c r="B74" s="503"/>
      <c r="C74" s="504"/>
      <c r="D74" s="531"/>
      <c r="E74" s="505"/>
      <c r="F74" s="503"/>
      <c r="G74" s="400"/>
      <c r="H74" s="507"/>
      <c r="I74" s="506"/>
      <c r="J74" s="500"/>
      <c r="K74" s="397"/>
      <c r="L74" s="501"/>
      <c r="M74" s="395"/>
      <c r="N74" s="395"/>
      <c r="O74" s="395"/>
      <c r="P74" s="395"/>
      <c r="Q74" s="395"/>
      <c r="R74" s="395"/>
      <c r="S74" s="395"/>
      <c r="T74" s="395"/>
      <c r="U74" s="395"/>
    </row>
    <row r="75" spans="1:21" s="407" customFormat="1" ht="12" hidden="1" customHeight="1">
      <c r="A75" s="466" t="s">
        <v>1171</v>
      </c>
      <c r="B75" s="491"/>
      <c r="C75" s="491"/>
      <c r="D75" s="493"/>
      <c r="E75" s="493"/>
      <c r="F75" s="493"/>
      <c r="G75" s="493"/>
      <c r="H75" s="493"/>
      <c r="I75" s="506"/>
      <c r="J75" s="493"/>
      <c r="K75" s="493"/>
      <c r="L75" s="493"/>
      <c r="M75" s="493"/>
      <c r="N75" s="493"/>
      <c r="O75" s="493"/>
      <c r="P75" s="493"/>
      <c r="Q75" s="493"/>
      <c r="R75" s="493"/>
      <c r="S75" s="493"/>
      <c r="T75" s="493"/>
      <c r="U75" s="493"/>
    </row>
    <row r="76" spans="1:21" s="407" customFormat="1" ht="3" hidden="1" customHeight="1" outlineLevel="1">
      <c r="A76" s="369"/>
      <c r="B76" s="503"/>
      <c r="C76" s="504"/>
      <c r="D76" s="531"/>
      <c r="E76" s="505"/>
      <c r="F76" s="503"/>
      <c r="G76" s="400"/>
      <c r="H76" s="507"/>
      <c r="I76" s="506"/>
      <c r="J76" s="500"/>
      <c r="K76" s="397"/>
      <c r="L76" s="501"/>
      <c r="M76" s="395"/>
      <c r="N76" s="395"/>
      <c r="O76" s="395"/>
      <c r="P76" s="395"/>
      <c r="Q76" s="395"/>
      <c r="R76" s="395"/>
      <c r="S76" s="395"/>
      <c r="T76" s="395"/>
      <c r="U76" s="395"/>
    </row>
    <row r="77" spans="1:21" s="407" customFormat="1" ht="12" hidden="1" customHeight="1" outlineLevel="1" collapsed="1">
      <c r="A77" s="460" t="s">
        <v>150</v>
      </c>
      <c r="B77" s="460" t="s">
        <v>51</v>
      </c>
      <c r="C77" s="460"/>
      <c r="D77" s="459"/>
      <c r="E77" s="460"/>
      <c r="F77" s="503"/>
      <c r="G77" s="400"/>
      <c r="H77" s="507"/>
      <c r="I77" s="506"/>
      <c r="J77" s="500"/>
      <c r="K77" s="397"/>
      <c r="L77" s="501"/>
      <c r="M77" s="395"/>
      <c r="N77" s="395"/>
      <c r="O77" s="395"/>
      <c r="P77" s="395"/>
      <c r="Q77" s="395"/>
      <c r="R77" s="395"/>
      <c r="S77" s="395"/>
      <c r="T77" s="395"/>
      <c r="U77" s="395"/>
    </row>
    <row r="78" spans="1:21" s="407" customFormat="1" ht="12" hidden="1" customHeight="1" outlineLevel="2">
      <c r="A78" s="508"/>
      <c r="B78" s="503"/>
      <c r="C78" s="504"/>
      <c r="D78" s="531" t="s">
        <v>1172</v>
      </c>
      <c r="E78" s="505" t="s">
        <v>1173</v>
      </c>
      <c r="F78" s="503" t="s">
        <v>48</v>
      </c>
      <c r="G78" s="400" t="str">
        <f t="shared" ref="G78:G141" si="14">CONCATENATE(F78,"-",H78)</f>
        <v>BB01-1</v>
      </c>
      <c r="H78" s="507">
        <v>1</v>
      </c>
      <c r="I78" s="506"/>
      <c r="J78" s="500">
        <v>1</v>
      </c>
      <c r="K78" s="397" t="s">
        <v>193</v>
      </c>
      <c r="L78" s="395"/>
      <c r="M78" s="395"/>
      <c r="N78" s="395"/>
      <c r="O78" s="395"/>
      <c r="P78" s="395"/>
      <c r="Q78" s="395"/>
      <c r="R78" s="395"/>
      <c r="S78" s="395"/>
      <c r="T78" s="395"/>
      <c r="U78" s="395"/>
    </row>
    <row r="79" spans="1:21" s="407" customFormat="1" ht="12" hidden="1" customHeight="1" outlineLevel="2">
      <c r="A79" s="508"/>
      <c r="B79" s="503"/>
      <c r="C79" s="504"/>
      <c r="D79" s="531" t="s">
        <v>1174</v>
      </c>
      <c r="E79" s="505" t="s">
        <v>1175</v>
      </c>
      <c r="F79" s="503" t="s">
        <v>48</v>
      </c>
      <c r="G79" s="400" t="str">
        <f t="shared" si="14"/>
        <v>BB01-1</v>
      </c>
      <c r="H79" s="507">
        <v>1</v>
      </c>
      <c r="I79" s="506"/>
      <c r="J79" s="500">
        <v>1</v>
      </c>
      <c r="K79" s="397" t="s">
        <v>290</v>
      </c>
      <c r="L79" s="395"/>
      <c r="M79" s="395"/>
      <c r="N79" s="395"/>
      <c r="O79" s="395"/>
      <c r="P79" s="395"/>
      <c r="Q79" s="395"/>
      <c r="R79" s="395"/>
      <c r="S79" s="395"/>
      <c r="T79" s="395"/>
      <c r="U79" s="395"/>
    </row>
    <row r="80" spans="1:21" s="407" customFormat="1" ht="12" hidden="1" customHeight="1" outlineLevel="2">
      <c r="A80" s="508"/>
      <c r="B80" s="503"/>
      <c r="C80" s="504"/>
      <c r="D80" s="531" t="s">
        <v>1176</v>
      </c>
      <c r="E80" s="505" t="s">
        <v>1177</v>
      </c>
      <c r="F80" s="503" t="s">
        <v>48</v>
      </c>
      <c r="G80" s="400" t="str">
        <f t="shared" si="14"/>
        <v>BB01-1</v>
      </c>
      <c r="H80" s="507">
        <v>1</v>
      </c>
      <c r="I80" s="506"/>
      <c r="J80" s="500">
        <v>1</v>
      </c>
      <c r="K80" s="397" t="s">
        <v>610</v>
      </c>
      <c r="L80" s="395"/>
      <c r="M80" s="395"/>
      <c r="N80" s="395"/>
      <c r="O80" s="395"/>
      <c r="P80" s="395"/>
      <c r="Q80" s="395"/>
      <c r="R80" s="395"/>
      <c r="S80" s="395"/>
      <c r="T80" s="395"/>
      <c r="U80" s="395"/>
    </row>
    <row r="81" spans="1:21" s="407" customFormat="1" ht="12" hidden="1" customHeight="1" outlineLevel="2">
      <c r="A81" s="508"/>
      <c r="B81" s="503"/>
      <c r="C81" s="504"/>
      <c r="D81" s="531" t="s">
        <v>1178</v>
      </c>
      <c r="E81" s="505" t="s">
        <v>1179</v>
      </c>
      <c r="F81" s="503" t="s">
        <v>48</v>
      </c>
      <c r="G81" s="400" t="str">
        <f t="shared" si="14"/>
        <v>BB01-1</v>
      </c>
      <c r="H81" s="507">
        <v>1</v>
      </c>
      <c r="I81" s="506"/>
      <c r="J81" s="500">
        <v>1</v>
      </c>
      <c r="K81" s="397" t="s">
        <v>193</v>
      </c>
      <c r="L81" s="395"/>
      <c r="M81" s="395"/>
      <c r="N81" s="395"/>
      <c r="O81" s="395"/>
      <c r="P81" s="395"/>
      <c r="Q81" s="395"/>
      <c r="R81" s="395"/>
      <c r="S81" s="395"/>
      <c r="T81" s="395"/>
      <c r="U81" s="395"/>
    </row>
    <row r="82" spans="1:21" s="407" customFormat="1" ht="12" hidden="1" customHeight="1" outlineLevel="2">
      <c r="A82" s="508"/>
      <c r="B82" s="503"/>
      <c r="C82" s="504"/>
      <c r="D82" s="531" t="s">
        <v>1180</v>
      </c>
      <c r="E82" s="505" t="s">
        <v>1181</v>
      </c>
      <c r="F82" s="503" t="s">
        <v>48</v>
      </c>
      <c r="G82" s="400" t="str">
        <f t="shared" si="14"/>
        <v>BB01-1</v>
      </c>
      <c r="H82" s="507">
        <v>1</v>
      </c>
      <c r="I82" s="506"/>
      <c r="J82" s="500">
        <v>1</v>
      </c>
      <c r="K82" s="397" t="s">
        <v>193</v>
      </c>
      <c r="L82" s="395"/>
      <c r="M82" s="395"/>
      <c r="N82" s="395"/>
      <c r="O82" s="395"/>
      <c r="P82" s="395"/>
      <c r="Q82" s="395"/>
      <c r="R82" s="395"/>
      <c r="S82" s="395"/>
      <c r="T82" s="395"/>
      <c r="U82" s="395"/>
    </row>
    <row r="83" spans="1:21" s="407" customFormat="1" ht="12" hidden="1" customHeight="1" outlineLevel="2">
      <c r="A83" s="508"/>
      <c r="B83" s="503"/>
      <c r="C83" s="504"/>
      <c r="D83" s="531" t="s">
        <v>1182</v>
      </c>
      <c r="E83" s="505" t="s">
        <v>1183</v>
      </c>
      <c r="F83" s="503" t="s">
        <v>48</v>
      </c>
      <c r="G83" s="400" t="str">
        <f t="shared" si="14"/>
        <v>BB01-1</v>
      </c>
      <c r="H83" s="507">
        <v>1</v>
      </c>
      <c r="I83" s="506"/>
      <c r="J83" s="500">
        <v>1</v>
      </c>
      <c r="K83" s="397" t="s">
        <v>193</v>
      </c>
      <c r="L83" s="395"/>
      <c r="M83" s="395"/>
      <c r="N83" s="395"/>
      <c r="O83" s="395"/>
      <c r="P83" s="395"/>
      <c r="Q83" s="395"/>
      <c r="R83" s="395"/>
      <c r="S83" s="395"/>
      <c r="T83" s="395"/>
      <c r="U83" s="395"/>
    </row>
    <row r="84" spans="1:21" s="407" customFormat="1" ht="12" hidden="1" customHeight="1" outlineLevel="2">
      <c r="A84" s="508"/>
      <c r="B84" s="503"/>
      <c r="C84" s="504"/>
      <c r="D84" s="531" t="s">
        <v>1184</v>
      </c>
      <c r="E84" s="505" t="s">
        <v>1185</v>
      </c>
      <c r="F84" s="503" t="s">
        <v>48</v>
      </c>
      <c r="G84" s="400" t="str">
        <f t="shared" si="14"/>
        <v>BB01-1</v>
      </c>
      <c r="H84" s="507">
        <v>1</v>
      </c>
      <c r="I84" s="506"/>
      <c r="J84" s="500">
        <v>1</v>
      </c>
      <c r="K84" s="397" t="s">
        <v>610</v>
      </c>
      <c r="L84" s="395"/>
      <c r="M84" s="395"/>
      <c r="N84" s="395"/>
      <c r="O84" s="395"/>
      <c r="P84" s="395"/>
      <c r="Q84" s="395"/>
      <c r="R84" s="395"/>
      <c r="S84" s="395"/>
      <c r="T84" s="395"/>
      <c r="U84" s="395"/>
    </row>
    <row r="85" spans="1:21" s="407" customFormat="1" ht="12" hidden="1" customHeight="1" outlineLevel="2">
      <c r="A85" s="508"/>
      <c r="B85" s="503"/>
      <c r="C85" s="504"/>
      <c r="D85" s="531" t="s">
        <v>1186</v>
      </c>
      <c r="E85" s="505" t="s">
        <v>1187</v>
      </c>
      <c r="F85" s="503" t="s">
        <v>48</v>
      </c>
      <c r="G85" s="400" t="str">
        <f t="shared" si="14"/>
        <v>BB01-1</v>
      </c>
      <c r="H85" s="507">
        <v>1</v>
      </c>
      <c r="I85" s="506"/>
      <c r="J85" s="500">
        <v>1</v>
      </c>
      <c r="K85" s="397" t="s">
        <v>610</v>
      </c>
      <c r="L85" s="395"/>
      <c r="M85" s="395"/>
      <c r="N85" s="395"/>
      <c r="O85" s="395"/>
      <c r="P85" s="395"/>
      <c r="Q85" s="395"/>
      <c r="R85" s="395"/>
      <c r="S85" s="395"/>
      <c r="T85" s="395"/>
      <c r="U85" s="395"/>
    </row>
    <row r="86" spans="1:21" s="407" customFormat="1" ht="12" hidden="1" customHeight="1" outlineLevel="2">
      <c r="A86" s="508"/>
      <c r="B86" s="503"/>
      <c r="C86" s="504"/>
      <c r="D86" s="531" t="s">
        <v>1188</v>
      </c>
      <c r="E86" s="505" t="s">
        <v>1189</v>
      </c>
      <c r="F86" s="503" t="s">
        <v>48</v>
      </c>
      <c r="G86" s="400" t="str">
        <f t="shared" si="14"/>
        <v>BB01-1</v>
      </c>
      <c r="H86" s="507">
        <v>1</v>
      </c>
      <c r="I86" s="506"/>
      <c r="J86" s="500">
        <v>1</v>
      </c>
      <c r="K86" s="397" t="s">
        <v>193</v>
      </c>
      <c r="L86" s="395"/>
      <c r="M86" s="395"/>
      <c r="N86" s="395"/>
      <c r="O86" s="395"/>
      <c r="P86" s="395"/>
      <c r="Q86" s="395"/>
      <c r="R86" s="395"/>
      <c r="S86" s="395"/>
      <c r="T86" s="395"/>
      <c r="U86" s="395"/>
    </row>
    <row r="87" spans="1:21" s="407" customFormat="1" ht="12" hidden="1" customHeight="1" outlineLevel="2">
      <c r="A87" s="508"/>
      <c r="B87" s="503"/>
      <c r="C87" s="504"/>
      <c r="D87" s="531" t="s">
        <v>1190</v>
      </c>
      <c r="E87" s="505" t="s">
        <v>1191</v>
      </c>
      <c r="F87" s="503" t="s">
        <v>48</v>
      </c>
      <c r="G87" s="400" t="str">
        <f t="shared" si="14"/>
        <v>BB01-1</v>
      </c>
      <c r="H87" s="507">
        <v>1</v>
      </c>
      <c r="I87" s="506"/>
      <c r="J87" s="500">
        <v>1</v>
      </c>
      <c r="K87" s="397" t="s">
        <v>193</v>
      </c>
      <c r="L87" s="395"/>
      <c r="M87" s="395"/>
      <c r="N87" s="395"/>
      <c r="O87" s="395"/>
      <c r="P87" s="395"/>
      <c r="Q87" s="395"/>
      <c r="R87" s="395"/>
      <c r="S87" s="395"/>
      <c r="T87" s="395"/>
      <c r="U87" s="395"/>
    </row>
    <row r="88" spans="1:21" s="407" customFormat="1" ht="12" hidden="1" customHeight="1" outlineLevel="2">
      <c r="A88" s="508"/>
      <c r="B88" s="503"/>
      <c r="C88" s="504"/>
      <c r="D88" s="531" t="s">
        <v>1192</v>
      </c>
      <c r="E88" s="505" t="s">
        <v>1193</v>
      </c>
      <c r="F88" s="503" t="s">
        <v>48</v>
      </c>
      <c r="G88" s="400" t="str">
        <f t="shared" si="14"/>
        <v>BB01-1</v>
      </c>
      <c r="H88" s="507">
        <v>1</v>
      </c>
      <c r="I88" s="506"/>
      <c r="J88" s="500">
        <v>1</v>
      </c>
      <c r="K88" s="397" t="s">
        <v>193</v>
      </c>
      <c r="L88" s="395"/>
      <c r="M88" s="395"/>
      <c r="N88" s="395"/>
      <c r="O88" s="395"/>
      <c r="P88" s="395"/>
      <c r="Q88" s="395"/>
      <c r="R88" s="395"/>
      <c r="S88" s="395"/>
      <c r="T88" s="395"/>
      <c r="U88" s="395"/>
    </row>
    <row r="89" spans="1:21" s="407" customFormat="1" ht="12" hidden="1" customHeight="1" outlineLevel="2">
      <c r="A89" s="508"/>
      <c r="B89" s="503"/>
      <c r="C89" s="504"/>
      <c r="D89" s="531" t="s">
        <v>1194</v>
      </c>
      <c r="E89" s="505" t="s">
        <v>1195</v>
      </c>
      <c r="F89" s="503" t="s">
        <v>48</v>
      </c>
      <c r="G89" s="400" t="str">
        <f t="shared" si="14"/>
        <v>BB01-1</v>
      </c>
      <c r="H89" s="507">
        <v>1</v>
      </c>
      <c r="I89" s="506"/>
      <c r="J89" s="500">
        <v>1</v>
      </c>
      <c r="K89" s="397" t="s">
        <v>193</v>
      </c>
      <c r="L89" s="395"/>
      <c r="M89" s="395"/>
      <c r="N89" s="395"/>
      <c r="O89" s="395"/>
      <c r="P89" s="395"/>
      <c r="Q89" s="395"/>
      <c r="R89" s="395"/>
      <c r="S89" s="395"/>
      <c r="T89" s="395"/>
      <c r="U89" s="395"/>
    </row>
    <row r="90" spans="1:21" s="407" customFormat="1" ht="12" hidden="1" customHeight="1" outlineLevel="2">
      <c r="A90" s="508"/>
      <c r="B90" s="503"/>
      <c r="C90" s="504"/>
      <c r="D90" s="531" t="s">
        <v>1196</v>
      </c>
      <c r="E90" s="505" t="s">
        <v>1197</v>
      </c>
      <c r="F90" s="503" t="s">
        <v>48</v>
      </c>
      <c r="G90" s="400" t="str">
        <f t="shared" si="14"/>
        <v>BB01-1</v>
      </c>
      <c r="H90" s="507">
        <v>1</v>
      </c>
      <c r="I90" s="506"/>
      <c r="J90" s="500">
        <v>1</v>
      </c>
      <c r="K90" s="397" t="s">
        <v>193</v>
      </c>
      <c r="L90" s="395"/>
      <c r="M90" s="395"/>
      <c r="N90" s="395"/>
      <c r="O90" s="395"/>
      <c r="P90" s="395"/>
      <c r="Q90" s="395"/>
      <c r="R90" s="395"/>
      <c r="S90" s="395"/>
      <c r="T90" s="395"/>
      <c r="U90" s="395"/>
    </row>
    <row r="91" spans="1:21" s="407" customFormat="1" ht="12" hidden="1" customHeight="1" outlineLevel="2">
      <c r="A91" s="508"/>
      <c r="B91" s="503"/>
      <c r="C91" s="504"/>
      <c r="D91" s="531" t="s">
        <v>1198</v>
      </c>
      <c r="E91" s="505" t="s">
        <v>1199</v>
      </c>
      <c r="F91" s="503" t="s">
        <v>48</v>
      </c>
      <c r="G91" s="400" t="str">
        <f t="shared" si="14"/>
        <v>BB01-1</v>
      </c>
      <c r="H91" s="507">
        <v>1</v>
      </c>
      <c r="I91" s="506"/>
      <c r="J91" s="500">
        <v>1</v>
      </c>
      <c r="K91" s="397" t="s">
        <v>193</v>
      </c>
      <c r="L91" s="395"/>
      <c r="M91" s="395"/>
      <c r="N91" s="395"/>
      <c r="O91" s="395"/>
      <c r="P91" s="395"/>
      <c r="Q91" s="395"/>
      <c r="R91" s="395"/>
      <c r="S91" s="395"/>
      <c r="T91" s="395"/>
      <c r="U91" s="395"/>
    </row>
    <row r="92" spans="1:21" s="407" customFormat="1" ht="12" hidden="1" customHeight="1" outlineLevel="2">
      <c r="A92" s="508"/>
      <c r="B92" s="503"/>
      <c r="C92" s="504"/>
      <c r="D92" s="531" t="s">
        <v>1200</v>
      </c>
      <c r="E92" s="505" t="s">
        <v>1201</v>
      </c>
      <c r="F92" s="503" t="s">
        <v>48</v>
      </c>
      <c r="G92" s="400" t="str">
        <f t="shared" si="14"/>
        <v>BB01-1</v>
      </c>
      <c r="H92" s="507">
        <v>1</v>
      </c>
      <c r="I92" s="506"/>
      <c r="J92" s="500">
        <v>1</v>
      </c>
      <c r="K92" s="397" t="s">
        <v>193</v>
      </c>
      <c r="L92" s="395"/>
      <c r="M92" s="395"/>
      <c r="N92" s="395"/>
      <c r="O92" s="395"/>
      <c r="P92" s="395"/>
      <c r="Q92" s="395"/>
      <c r="R92" s="395"/>
      <c r="S92" s="395"/>
      <c r="T92" s="395"/>
      <c r="U92" s="395"/>
    </row>
    <row r="93" spans="1:21" s="407" customFormat="1" ht="12" hidden="1" customHeight="1" outlineLevel="2">
      <c r="A93" s="508"/>
      <c r="B93" s="503"/>
      <c r="C93" s="504"/>
      <c r="D93" s="531" t="s">
        <v>1202</v>
      </c>
      <c r="E93" s="505" t="s">
        <v>1203</v>
      </c>
      <c r="F93" s="503" t="s">
        <v>48</v>
      </c>
      <c r="G93" s="400" t="str">
        <f t="shared" si="14"/>
        <v>BB01-1</v>
      </c>
      <c r="H93" s="507">
        <v>1</v>
      </c>
      <c r="I93" s="506"/>
      <c r="J93" s="500">
        <v>1</v>
      </c>
      <c r="K93" s="397" t="s">
        <v>193</v>
      </c>
      <c r="L93" s="395"/>
      <c r="M93" s="395"/>
      <c r="N93" s="395"/>
      <c r="O93" s="395"/>
      <c r="P93" s="395"/>
      <c r="Q93" s="395"/>
      <c r="R93" s="395"/>
      <c r="S93" s="395"/>
      <c r="T93" s="395"/>
      <c r="U93" s="395"/>
    </row>
    <row r="94" spans="1:21" s="407" customFormat="1" ht="12" hidden="1" customHeight="1" outlineLevel="2">
      <c r="A94" s="508"/>
      <c r="B94" s="503"/>
      <c r="C94" s="504"/>
      <c r="D94" s="531" t="s">
        <v>1204</v>
      </c>
      <c r="E94" s="505" t="s">
        <v>1205</v>
      </c>
      <c r="F94" s="503" t="s">
        <v>48</v>
      </c>
      <c r="G94" s="400" t="str">
        <f t="shared" si="14"/>
        <v>BB01-1</v>
      </c>
      <c r="H94" s="507">
        <v>1</v>
      </c>
      <c r="I94" s="506"/>
      <c r="J94" s="500">
        <v>1</v>
      </c>
      <c r="K94" s="397" t="s">
        <v>193</v>
      </c>
      <c r="L94" s="395"/>
      <c r="M94" s="395"/>
      <c r="N94" s="395"/>
      <c r="O94" s="395"/>
      <c r="P94" s="395"/>
      <c r="Q94" s="395"/>
      <c r="R94" s="395"/>
      <c r="S94" s="395"/>
      <c r="T94" s="395"/>
      <c r="U94" s="395"/>
    </row>
    <row r="95" spans="1:21" s="407" customFormat="1" ht="12" hidden="1" customHeight="1" outlineLevel="2">
      <c r="A95" s="508"/>
      <c r="B95" s="503"/>
      <c r="C95" s="504"/>
      <c r="D95" s="531" t="s">
        <v>1206</v>
      </c>
      <c r="E95" s="505" t="s">
        <v>1207</v>
      </c>
      <c r="F95" s="503" t="s">
        <v>48</v>
      </c>
      <c r="G95" s="400" t="str">
        <f t="shared" si="14"/>
        <v>BB01-1</v>
      </c>
      <c r="H95" s="507">
        <v>1</v>
      </c>
      <c r="I95" s="506"/>
      <c r="J95" s="500">
        <v>1</v>
      </c>
      <c r="K95" s="397" t="s">
        <v>193</v>
      </c>
      <c r="L95" s="395"/>
      <c r="M95" s="395"/>
      <c r="N95" s="395"/>
      <c r="O95" s="395"/>
      <c r="P95" s="395"/>
      <c r="Q95" s="395"/>
      <c r="R95" s="395"/>
      <c r="S95" s="395"/>
      <c r="T95" s="395"/>
      <c r="U95" s="395"/>
    </row>
    <row r="96" spans="1:21" s="407" customFormat="1" ht="12" hidden="1" customHeight="1" outlineLevel="2">
      <c r="A96" s="508"/>
      <c r="B96" s="503"/>
      <c r="C96" s="504"/>
      <c r="D96" s="531" t="s">
        <v>1208</v>
      </c>
      <c r="E96" s="505" t="s">
        <v>1209</v>
      </c>
      <c r="F96" s="503" t="s">
        <v>48</v>
      </c>
      <c r="G96" s="400" t="str">
        <f t="shared" si="14"/>
        <v>BB01-1</v>
      </c>
      <c r="H96" s="507">
        <v>1</v>
      </c>
      <c r="I96" s="506"/>
      <c r="J96" s="500">
        <v>1</v>
      </c>
      <c r="K96" s="397" t="s">
        <v>193</v>
      </c>
      <c r="L96" s="395"/>
      <c r="M96" s="395"/>
      <c r="N96" s="395"/>
      <c r="O96" s="395"/>
      <c r="P96" s="395"/>
      <c r="Q96" s="395"/>
      <c r="R96" s="395"/>
      <c r="S96" s="395"/>
      <c r="T96" s="395"/>
      <c r="U96" s="395"/>
    </row>
    <row r="97" spans="1:21" s="407" customFormat="1" ht="12" hidden="1" customHeight="1" outlineLevel="2">
      <c r="A97" s="508"/>
      <c r="B97" s="503"/>
      <c r="C97" s="504"/>
      <c r="D97" s="531" t="s">
        <v>1210</v>
      </c>
      <c r="E97" s="505" t="s">
        <v>1211</v>
      </c>
      <c r="F97" s="503" t="s">
        <v>48</v>
      </c>
      <c r="G97" s="400" t="str">
        <f t="shared" si="14"/>
        <v>BB01-1</v>
      </c>
      <c r="H97" s="507">
        <v>1</v>
      </c>
      <c r="I97" s="506"/>
      <c r="J97" s="500">
        <v>1</v>
      </c>
      <c r="K97" s="397" t="s">
        <v>193</v>
      </c>
      <c r="L97" s="395"/>
      <c r="M97" s="395"/>
      <c r="N97" s="395"/>
      <c r="O97" s="395"/>
      <c r="P97" s="395"/>
      <c r="Q97" s="395"/>
      <c r="R97" s="395"/>
      <c r="S97" s="395"/>
      <c r="T97" s="395"/>
      <c r="U97" s="395"/>
    </row>
    <row r="98" spans="1:21" s="407" customFormat="1" ht="12" hidden="1" customHeight="1" outlineLevel="2">
      <c r="A98" s="508"/>
      <c r="B98" s="503"/>
      <c r="C98" s="504"/>
      <c r="D98" s="531" t="s">
        <v>1212</v>
      </c>
      <c r="E98" s="505" t="s">
        <v>1213</v>
      </c>
      <c r="F98" s="503" t="s">
        <v>48</v>
      </c>
      <c r="G98" s="400" t="str">
        <f t="shared" si="14"/>
        <v>BB01-1</v>
      </c>
      <c r="H98" s="507">
        <v>1</v>
      </c>
      <c r="I98" s="506"/>
      <c r="J98" s="500">
        <v>1</v>
      </c>
      <c r="K98" s="397" t="s">
        <v>193</v>
      </c>
      <c r="L98" s="395"/>
      <c r="M98" s="395"/>
      <c r="N98" s="395"/>
      <c r="O98" s="395"/>
      <c r="P98" s="395"/>
      <c r="Q98" s="395"/>
      <c r="R98" s="395"/>
      <c r="S98" s="395"/>
      <c r="T98" s="395"/>
      <c r="U98" s="395"/>
    </row>
    <row r="99" spans="1:21" s="407" customFormat="1" ht="12" hidden="1" customHeight="1" outlineLevel="2">
      <c r="A99" s="508"/>
      <c r="B99" s="503"/>
      <c r="C99" s="504"/>
      <c r="D99" s="531" t="s">
        <v>1214</v>
      </c>
      <c r="E99" s="505" t="s">
        <v>1215</v>
      </c>
      <c r="F99" s="503" t="s">
        <v>48</v>
      </c>
      <c r="G99" s="400" t="str">
        <f t="shared" si="14"/>
        <v>BB01-1</v>
      </c>
      <c r="H99" s="507">
        <v>1</v>
      </c>
      <c r="I99" s="506"/>
      <c r="J99" s="500">
        <v>1</v>
      </c>
      <c r="K99" s="397" t="s">
        <v>193</v>
      </c>
      <c r="L99" s="395"/>
      <c r="M99" s="395"/>
      <c r="N99" s="395"/>
      <c r="O99" s="395"/>
      <c r="P99" s="395"/>
      <c r="Q99" s="395"/>
      <c r="R99" s="395"/>
      <c r="S99" s="395"/>
      <c r="T99" s="395"/>
      <c r="U99" s="395"/>
    </row>
    <row r="100" spans="1:21" s="407" customFormat="1" ht="12" hidden="1" customHeight="1" outlineLevel="2">
      <c r="A100" s="508"/>
      <c r="B100" s="503"/>
      <c r="C100" s="504"/>
      <c r="D100" s="531" t="s">
        <v>1216</v>
      </c>
      <c r="E100" s="505" t="s">
        <v>1217</v>
      </c>
      <c r="F100" s="503" t="s">
        <v>48</v>
      </c>
      <c r="G100" s="400" t="str">
        <f t="shared" si="14"/>
        <v>BB01-1</v>
      </c>
      <c r="H100" s="507">
        <v>1</v>
      </c>
      <c r="I100" s="506"/>
      <c r="J100" s="500">
        <v>1</v>
      </c>
      <c r="K100" s="397" t="s">
        <v>193</v>
      </c>
      <c r="L100" s="395"/>
      <c r="M100" s="395"/>
      <c r="N100" s="395"/>
      <c r="O100" s="395"/>
      <c r="P100" s="395"/>
      <c r="Q100" s="395"/>
      <c r="R100" s="395"/>
      <c r="S100" s="395"/>
      <c r="T100" s="395"/>
      <c r="U100" s="395"/>
    </row>
    <row r="101" spans="1:21" s="407" customFormat="1" ht="12" hidden="1" customHeight="1" outlineLevel="2">
      <c r="A101" s="508"/>
      <c r="B101" s="503"/>
      <c r="C101" s="504"/>
      <c r="D101" s="531" t="s">
        <v>1218</v>
      </c>
      <c r="E101" s="505" t="s">
        <v>1219</v>
      </c>
      <c r="F101" s="503" t="s">
        <v>48</v>
      </c>
      <c r="G101" s="400" t="str">
        <f t="shared" si="14"/>
        <v>BB01-1</v>
      </c>
      <c r="H101" s="507">
        <v>1</v>
      </c>
      <c r="I101" s="506"/>
      <c r="J101" s="500">
        <v>1</v>
      </c>
      <c r="K101" s="397" t="s">
        <v>193</v>
      </c>
      <c r="L101" s="395"/>
      <c r="M101" s="395"/>
      <c r="N101" s="395"/>
      <c r="O101" s="395"/>
      <c r="P101" s="395"/>
      <c r="Q101" s="395"/>
      <c r="R101" s="395"/>
      <c r="S101" s="395"/>
      <c r="T101" s="395"/>
      <c r="U101" s="395"/>
    </row>
    <row r="102" spans="1:21" s="407" customFormat="1" ht="12" hidden="1" customHeight="1" outlineLevel="2">
      <c r="A102" s="508"/>
      <c r="B102" s="503"/>
      <c r="C102" s="504"/>
      <c r="D102" s="531" t="s">
        <v>1220</v>
      </c>
      <c r="E102" s="505" t="s">
        <v>1221</v>
      </c>
      <c r="F102" s="503" t="s">
        <v>48</v>
      </c>
      <c r="G102" s="400" t="str">
        <f t="shared" si="14"/>
        <v>BB01-1</v>
      </c>
      <c r="H102" s="507">
        <v>1</v>
      </c>
      <c r="I102" s="506"/>
      <c r="J102" s="500">
        <v>1</v>
      </c>
      <c r="K102" s="397" t="s">
        <v>1222</v>
      </c>
      <c r="L102" s="395"/>
      <c r="M102" s="395"/>
      <c r="N102" s="395"/>
      <c r="O102" s="395"/>
      <c r="P102" s="395"/>
      <c r="Q102" s="395"/>
      <c r="R102" s="395"/>
      <c r="S102" s="395"/>
      <c r="T102" s="395"/>
      <c r="U102" s="395"/>
    </row>
    <row r="103" spans="1:21" s="407" customFormat="1" ht="12" hidden="1" customHeight="1" outlineLevel="2">
      <c r="A103" s="508"/>
      <c r="B103" s="503"/>
      <c r="C103" s="504"/>
      <c r="D103" s="531" t="s">
        <v>1223</v>
      </c>
      <c r="E103" s="505" t="s">
        <v>1224</v>
      </c>
      <c r="F103" s="503" t="s">
        <v>48</v>
      </c>
      <c r="G103" s="400" t="str">
        <f t="shared" si="14"/>
        <v>BB01-1</v>
      </c>
      <c r="H103" s="507">
        <v>1</v>
      </c>
      <c r="I103" s="506"/>
      <c r="J103" s="500">
        <v>1</v>
      </c>
      <c r="K103" s="397" t="s">
        <v>610</v>
      </c>
      <c r="L103" s="395"/>
      <c r="M103" s="395"/>
      <c r="N103" s="395"/>
      <c r="O103" s="395"/>
      <c r="P103" s="395"/>
      <c r="Q103" s="395"/>
      <c r="R103" s="395"/>
      <c r="S103" s="395"/>
      <c r="T103" s="395"/>
      <c r="U103" s="395"/>
    </row>
    <row r="104" spans="1:21" s="407" customFormat="1" ht="12" hidden="1" customHeight="1" outlineLevel="2">
      <c r="A104" s="508"/>
      <c r="B104" s="503"/>
      <c r="C104" s="504"/>
      <c r="D104" s="531" t="s">
        <v>1225</v>
      </c>
      <c r="E104" s="505" t="s">
        <v>1226</v>
      </c>
      <c r="F104" s="503" t="s">
        <v>48</v>
      </c>
      <c r="G104" s="400" t="str">
        <f t="shared" si="14"/>
        <v>BB01-1</v>
      </c>
      <c r="H104" s="507">
        <v>1</v>
      </c>
      <c r="I104" s="506"/>
      <c r="J104" s="500">
        <v>1</v>
      </c>
      <c r="K104" s="397" t="s">
        <v>610</v>
      </c>
      <c r="L104" s="395"/>
      <c r="M104" s="395"/>
      <c r="N104" s="395"/>
      <c r="O104" s="395"/>
      <c r="P104" s="395"/>
      <c r="Q104" s="395"/>
      <c r="R104" s="395"/>
      <c r="S104" s="395"/>
      <c r="T104" s="395"/>
      <c r="U104" s="395"/>
    </row>
    <row r="105" spans="1:21" s="407" customFormat="1" ht="12" hidden="1" customHeight="1" outlineLevel="2">
      <c r="A105" s="508"/>
      <c r="B105" s="503"/>
      <c r="C105" s="504"/>
      <c r="D105" s="531" t="s">
        <v>1227</v>
      </c>
      <c r="E105" s="505" t="s">
        <v>1228</v>
      </c>
      <c r="F105" s="503" t="s">
        <v>48</v>
      </c>
      <c r="G105" s="400" t="str">
        <f t="shared" si="14"/>
        <v>BB01-1</v>
      </c>
      <c r="H105" s="507">
        <v>1</v>
      </c>
      <c r="I105" s="506"/>
      <c r="J105" s="500">
        <v>1</v>
      </c>
      <c r="K105" s="397" t="s">
        <v>610</v>
      </c>
      <c r="L105" s="395"/>
      <c r="M105" s="395"/>
      <c r="N105" s="395"/>
      <c r="O105" s="395"/>
      <c r="P105" s="395"/>
      <c r="Q105" s="395"/>
      <c r="R105" s="395"/>
      <c r="S105" s="395"/>
      <c r="T105" s="395"/>
      <c r="U105" s="395"/>
    </row>
    <row r="106" spans="1:21" s="407" customFormat="1" ht="12" hidden="1" customHeight="1" outlineLevel="2">
      <c r="A106" s="508"/>
      <c r="B106" s="503"/>
      <c r="C106" s="504"/>
      <c r="D106" s="531" t="s">
        <v>1229</v>
      </c>
      <c r="E106" s="505" t="s">
        <v>1230</v>
      </c>
      <c r="F106" s="503" t="s">
        <v>48</v>
      </c>
      <c r="G106" s="400" t="str">
        <f t="shared" si="14"/>
        <v>BB01-1</v>
      </c>
      <c r="H106" s="507">
        <v>1</v>
      </c>
      <c r="I106" s="506"/>
      <c r="J106" s="500">
        <v>1</v>
      </c>
      <c r="K106" s="397" t="s">
        <v>610</v>
      </c>
      <c r="L106" s="395"/>
      <c r="M106" s="395"/>
      <c r="N106" s="395"/>
      <c r="O106" s="395"/>
      <c r="P106" s="395"/>
      <c r="Q106" s="395"/>
      <c r="R106" s="395"/>
      <c r="S106" s="395"/>
      <c r="T106" s="395"/>
      <c r="U106" s="395"/>
    </row>
    <row r="107" spans="1:21" s="407" customFormat="1" ht="12" hidden="1" customHeight="1" outlineLevel="2">
      <c r="A107" s="508"/>
      <c r="B107" s="503"/>
      <c r="C107" s="504"/>
      <c r="D107" s="531" t="s">
        <v>1231</v>
      </c>
      <c r="E107" s="505" t="s">
        <v>1232</v>
      </c>
      <c r="F107" s="503" t="s">
        <v>48</v>
      </c>
      <c r="G107" s="400" t="str">
        <f t="shared" si="14"/>
        <v>BB01-1</v>
      </c>
      <c r="H107" s="507">
        <v>1</v>
      </c>
      <c r="I107" s="506"/>
      <c r="J107" s="500">
        <v>1</v>
      </c>
      <c r="K107" s="397" t="s">
        <v>610</v>
      </c>
      <c r="L107" s="395"/>
      <c r="M107" s="395"/>
      <c r="N107" s="395"/>
      <c r="O107" s="395"/>
      <c r="P107" s="395"/>
      <c r="Q107" s="395"/>
      <c r="R107" s="395"/>
      <c r="S107" s="395"/>
      <c r="T107" s="395"/>
      <c r="U107" s="395"/>
    </row>
    <row r="108" spans="1:21" s="407" customFormat="1" ht="12" hidden="1" customHeight="1" outlineLevel="2">
      <c r="A108" s="508"/>
      <c r="B108" s="503"/>
      <c r="C108" s="504"/>
      <c r="D108" s="531" t="s">
        <v>1233</v>
      </c>
      <c r="E108" s="505" t="s">
        <v>1234</v>
      </c>
      <c r="F108" s="503" t="s">
        <v>48</v>
      </c>
      <c r="G108" s="400" t="str">
        <f t="shared" si="14"/>
        <v>BB01-1</v>
      </c>
      <c r="H108" s="507">
        <v>1</v>
      </c>
      <c r="I108" s="506"/>
      <c r="J108" s="500">
        <v>1</v>
      </c>
      <c r="K108" s="397" t="s">
        <v>610</v>
      </c>
      <c r="L108" s="395"/>
      <c r="M108" s="395"/>
      <c r="N108" s="395"/>
      <c r="O108" s="395"/>
      <c r="P108" s="395"/>
      <c r="Q108" s="395"/>
      <c r="R108" s="395"/>
      <c r="S108" s="395"/>
      <c r="T108" s="395"/>
      <c r="U108" s="395"/>
    </row>
    <row r="109" spans="1:21" s="407" customFormat="1" ht="12" hidden="1" customHeight="1" outlineLevel="2">
      <c r="A109" s="508"/>
      <c r="B109" s="503"/>
      <c r="C109" s="504"/>
      <c r="D109" s="531" t="s">
        <v>1235</v>
      </c>
      <c r="E109" s="505" t="s">
        <v>1236</v>
      </c>
      <c r="F109" s="503" t="s">
        <v>48</v>
      </c>
      <c r="G109" s="400" t="str">
        <f t="shared" si="14"/>
        <v>BB01-1</v>
      </c>
      <c r="H109" s="507">
        <v>1</v>
      </c>
      <c r="I109" s="506"/>
      <c r="J109" s="500">
        <v>1</v>
      </c>
      <c r="K109" s="397" t="s">
        <v>610</v>
      </c>
      <c r="L109" s="395"/>
      <c r="M109" s="395"/>
      <c r="N109" s="395"/>
      <c r="O109" s="395"/>
      <c r="P109" s="395"/>
      <c r="Q109" s="395"/>
      <c r="R109" s="395"/>
      <c r="S109" s="395"/>
      <c r="T109" s="395"/>
      <c r="U109" s="395"/>
    </row>
    <row r="110" spans="1:21" s="407" customFormat="1" ht="12" hidden="1" customHeight="1" outlineLevel="2">
      <c r="A110" s="508"/>
      <c r="B110" s="503"/>
      <c r="C110" s="504"/>
      <c r="D110" s="531" t="s">
        <v>1237</v>
      </c>
      <c r="E110" s="505" t="s">
        <v>1238</v>
      </c>
      <c r="F110" s="503" t="s">
        <v>48</v>
      </c>
      <c r="G110" s="400" t="str">
        <f t="shared" si="14"/>
        <v>BB01-1</v>
      </c>
      <c r="H110" s="507">
        <v>1</v>
      </c>
      <c r="I110" s="506"/>
      <c r="J110" s="500">
        <v>1</v>
      </c>
      <c r="K110" s="397" t="s">
        <v>1222</v>
      </c>
      <c r="L110" s="395"/>
      <c r="M110" s="395"/>
      <c r="N110" s="395"/>
      <c r="O110" s="395"/>
      <c r="P110" s="395"/>
      <c r="Q110" s="395"/>
      <c r="R110" s="395"/>
      <c r="S110" s="395"/>
      <c r="T110" s="395"/>
      <c r="U110" s="395"/>
    </row>
    <row r="111" spans="1:21" s="407" customFormat="1" ht="12" hidden="1" customHeight="1" outlineLevel="2">
      <c r="A111" s="508"/>
      <c r="B111" s="503"/>
      <c r="C111" s="504"/>
      <c r="D111" s="531" t="s">
        <v>1239</v>
      </c>
      <c r="E111" s="505" t="s">
        <v>1240</v>
      </c>
      <c r="F111" s="503" t="s">
        <v>48</v>
      </c>
      <c r="G111" s="400" t="str">
        <f t="shared" si="14"/>
        <v>BB01-1</v>
      </c>
      <c r="H111" s="507">
        <v>1</v>
      </c>
      <c r="I111" s="506"/>
      <c r="J111" s="500">
        <v>1</v>
      </c>
      <c r="K111" s="397" t="s">
        <v>610</v>
      </c>
      <c r="L111" s="395"/>
      <c r="M111" s="395"/>
      <c r="N111" s="395"/>
      <c r="O111" s="395"/>
      <c r="P111" s="395"/>
      <c r="Q111" s="395"/>
      <c r="R111" s="395"/>
      <c r="S111" s="395"/>
      <c r="T111" s="395"/>
      <c r="U111" s="395"/>
    </row>
    <row r="112" spans="1:21" s="407" customFormat="1" ht="12" hidden="1" customHeight="1" outlineLevel="2">
      <c r="A112" s="508"/>
      <c r="B112" s="503"/>
      <c r="C112" s="504"/>
      <c r="D112" s="531" t="s">
        <v>1241</v>
      </c>
      <c r="E112" s="505" t="s">
        <v>1242</v>
      </c>
      <c r="F112" s="503" t="s">
        <v>48</v>
      </c>
      <c r="G112" s="400" t="str">
        <f t="shared" si="14"/>
        <v>BB01-1</v>
      </c>
      <c r="H112" s="507">
        <v>1</v>
      </c>
      <c r="I112" s="506"/>
      <c r="J112" s="500">
        <v>1</v>
      </c>
      <c r="K112" s="397" t="s">
        <v>610</v>
      </c>
      <c r="L112" s="395"/>
      <c r="M112" s="395"/>
      <c r="N112" s="395"/>
      <c r="O112" s="395"/>
      <c r="P112" s="395"/>
      <c r="Q112" s="395"/>
      <c r="R112" s="395"/>
      <c r="S112" s="395"/>
      <c r="T112" s="395"/>
      <c r="U112" s="395"/>
    </row>
    <row r="113" spans="1:21" s="407" customFormat="1" ht="12" hidden="1" customHeight="1" outlineLevel="2">
      <c r="A113" s="508"/>
      <c r="B113" s="503"/>
      <c r="C113" s="504"/>
      <c r="D113" s="531" t="s">
        <v>1243</v>
      </c>
      <c r="E113" s="505" t="s">
        <v>1244</v>
      </c>
      <c r="F113" s="503" t="s">
        <v>48</v>
      </c>
      <c r="G113" s="400" t="str">
        <f t="shared" si="14"/>
        <v>BB01-1</v>
      </c>
      <c r="H113" s="507">
        <v>1</v>
      </c>
      <c r="I113" s="506"/>
      <c r="J113" s="500">
        <v>1</v>
      </c>
      <c r="K113" s="397" t="s">
        <v>193</v>
      </c>
      <c r="L113" s="395"/>
      <c r="M113" s="395"/>
      <c r="N113" s="395"/>
      <c r="O113" s="395"/>
      <c r="P113" s="395"/>
      <c r="Q113" s="395"/>
      <c r="R113" s="395"/>
      <c r="S113" s="395"/>
      <c r="T113" s="395"/>
      <c r="U113" s="395"/>
    </row>
    <row r="114" spans="1:21" s="407" customFormat="1" ht="12" hidden="1" customHeight="1" outlineLevel="2">
      <c r="A114" s="508"/>
      <c r="B114" s="503"/>
      <c r="C114" s="504"/>
      <c r="D114" s="531" t="s">
        <v>1245</v>
      </c>
      <c r="E114" s="505" t="s">
        <v>1246</v>
      </c>
      <c r="F114" s="503" t="s">
        <v>48</v>
      </c>
      <c r="G114" s="400" t="str">
        <f t="shared" si="14"/>
        <v>BB01-1</v>
      </c>
      <c r="H114" s="507">
        <v>1</v>
      </c>
      <c r="I114" s="506"/>
      <c r="J114" s="500">
        <v>1</v>
      </c>
      <c r="K114" s="397" t="s">
        <v>610</v>
      </c>
      <c r="L114" s="395"/>
      <c r="M114" s="395"/>
      <c r="N114" s="395"/>
      <c r="O114" s="395"/>
      <c r="P114" s="395"/>
      <c r="Q114" s="395"/>
      <c r="R114" s="395"/>
      <c r="S114" s="395"/>
      <c r="T114" s="395"/>
      <c r="U114" s="395"/>
    </row>
    <row r="115" spans="1:21" s="407" customFormat="1" ht="12" hidden="1" customHeight="1" outlineLevel="2">
      <c r="A115" s="508"/>
      <c r="B115" s="503"/>
      <c r="C115" s="504"/>
      <c r="D115" s="531" t="s">
        <v>1247</v>
      </c>
      <c r="E115" s="505" t="s">
        <v>1248</v>
      </c>
      <c r="F115" s="503" t="s">
        <v>48</v>
      </c>
      <c r="G115" s="400" t="str">
        <f t="shared" si="14"/>
        <v>BB01-1</v>
      </c>
      <c r="H115" s="507">
        <v>1</v>
      </c>
      <c r="I115" s="506"/>
      <c r="J115" s="500">
        <v>1</v>
      </c>
      <c r="K115" s="397" t="s">
        <v>610</v>
      </c>
      <c r="L115" s="395"/>
      <c r="M115" s="395"/>
      <c r="N115" s="395"/>
      <c r="O115" s="395"/>
      <c r="P115" s="395"/>
      <c r="Q115" s="395"/>
      <c r="R115" s="395"/>
      <c r="S115" s="395"/>
      <c r="T115" s="395"/>
      <c r="U115" s="395"/>
    </row>
    <row r="116" spans="1:21" s="407" customFormat="1" ht="12" hidden="1" customHeight="1" outlineLevel="2">
      <c r="A116" s="508"/>
      <c r="B116" s="503"/>
      <c r="C116" s="504"/>
      <c r="D116" s="531" t="s">
        <v>1249</v>
      </c>
      <c r="E116" s="505" t="s">
        <v>1250</v>
      </c>
      <c r="F116" s="503" t="s">
        <v>48</v>
      </c>
      <c r="G116" s="400" t="str">
        <f t="shared" si="14"/>
        <v>BB01-1</v>
      </c>
      <c r="H116" s="507">
        <v>1</v>
      </c>
      <c r="I116" s="506"/>
      <c r="J116" s="500">
        <v>1</v>
      </c>
      <c r="K116" s="397" t="s">
        <v>193</v>
      </c>
      <c r="L116" s="395"/>
      <c r="M116" s="395"/>
      <c r="N116" s="395"/>
      <c r="O116" s="395"/>
      <c r="P116" s="395"/>
      <c r="Q116" s="395"/>
      <c r="R116" s="395"/>
      <c r="S116" s="395"/>
      <c r="T116" s="395"/>
      <c r="U116" s="395"/>
    </row>
    <row r="117" spans="1:21" s="407" customFormat="1" ht="12" hidden="1" customHeight="1" outlineLevel="2">
      <c r="A117" s="508"/>
      <c r="B117" s="503"/>
      <c r="C117" s="504"/>
      <c r="D117" s="531" t="s">
        <v>1251</v>
      </c>
      <c r="E117" s="505" t="s">
        <v>1252</v>
      </c>
      <c r="F117" s="503" t="s">
        <v>48</v>
      </c>
      <c r="G117" s="400" t="str">
        <f t="shared" si="14"/>
        <v>BB01-1</v>
      </c>
      <c r="H117" s="507">
        <v>1</v>
      </c>
      <c r="I117" s="506"/>
      <c r="J117" s="500">
        <v>1</v>
      </c>
      <c r="K117" s="397" t="s">
        <v>193</v>
      </c>
      <c r="L117" s="395"/>
      <c r="M117" s="395"/>
      <c r="N117" s="395"/>
      <c r="O117" s="395"/>
      <c r="P117" s="395"/>
      <c r="Q117" s="395"/>
      <c r="R117" s="395"/>
      <c r="S117" s="395"/>
      <c r="T117" s="395"/>
      <c r="U117" s="395"/>
    </row>
    <row r="118" spans="1:21" s="407" customFormat="1" ht="12" hidden="1" customHeight="1" outlineLevel="2">
      <c r="A118" s="508"/>
      <c r="B118" s="503"/>
      <c r="C118" s="504"/>
      <c r="D118" s="531" t="s">
        <v>1253</v>
      </c>
      <c r="E118" s="505" t="s">
        <v>1254</v>
      </c>
      <c r="F118" s="503" t="s">
        <v>48</v>
      </c>
      <c r="G118" s="400" t="str">
        <f t="shared" si="14"/>
        <v>BB01-1</v>
      </c>
      <c r="H118" s="507">
        <v>1</v>
      </c>
      <c r="I118" s="506"/>
      <c r="J118" s="500">
        <v>1</v>
      </c>
      <c r="K118" s="397" t="s">
        <v>610</v>
      </c>
      <c r="L118" s="395"/>
      <c r="M118" s="395"/>
      <c r="N118" s="395"/>
      <c r="O118" s="395"/>
      <c r="P118" s="395"/>
      <c r="Q118" s="395"/>
      <c r="R118" s="395"/>
      <c r="S118" s="395"/>
      <c r="T118" s="395"/>
      <c r="U118" s="395"/>
    </row>
    <row r="119" spans="1:21" s="407" customFormat="1" ht="12" hidden="1" customHeight="1" outlineLevel="2">
      <c r="A119" s="508"/>
      <c r="B119" s="503"/>
      <c r="C119" s="504"/>
      <c r="D119" s="531" t="s">
        <v>1255</v>
      </c>
      <c r="E119" s="505" t="s">
        <v>1256</v>
      </c>
      <c r="F119" s="503" t="s">
        <v>48</v>
      </c>
      <c r="G119" s="400" t="str">
        <f t="shared" si="14"/>
        <v>BB01-1</v>
      </c>
      <c r="H119" s="507">
        <v>1</v>
      </c>
      <c r="I119" s="506"/>
      <c r="J119" s="500">
        <v>1</v>
      </c>
      <c r="K119" s="397" t="s">
        <v>610</v>
      </c>
      <c r="L119" s="395"/>
      <c r="M119" s="395"/>
      <c r="N119" s="395"/>
      <c r="O119" s="395"/>
      <c r="P119" s="395"/>
      <c r="Q119" s="395"/>
      <c r="R119" s="395"/>
      <c r="S119" s="395"/>
      <c r="T119" s="395"/>
      <c r="U119" s="395"/>
    </row>
    <row r="120" spans="1:21" s="407" customFormat="1" ht="12" hidden="1" customHeight="1" outlineLevel="2">
      <c r="A120" s="508"/>
      <c r="B120" s="503"/>
      <c r="C120" s="504"/>
      <c r="D120" s="531" t="s">
        <v>1257</v>
      </c>
      <c r="E120" s="505" t="s">
        <v>1258</v>
      </c>
      <c r="F120" s="503" t="s">
        <v>48</v>
      </c>
      <c r="G120" s="400" t="str">
        <f t="shared" si="14"/>
        <v>BB01-1</v>
      </c>
      <c r="H120" s="507">
        <v>1</v>
      </c>
      <c r="I120" s="506"/>
      <c r="J120" s="500">
        <v>1</v>
      </c>
      <c r="K120" s="397" t="s">
        <v>193</v>
      </c>
      <c r="L120" s="395"/>
      <c r="M120" s="395"/>
      <c r="N120" s="395"/>
      <c r="O120" s="395"/>
      <c r="P120" s="395"/>
      <c r="Q120" s="395"/>
      <c r="R120" s="395"/>
      <c r="S120" s="395"/>
      <c r="T120" s="395"/>
      <c r="U120" s="395"/>
    </row>
    <row r="121" spans="1:21" s="407" customFormat="1" ht="12" hidden="1" customHeight="1" outlineLevel="2">
      <c r="A121" s="508"/>
      <c r="B121" s="503"/>
      <c r="C121" s="504"/>
      <c r="D121" s="531" t="s">
        <v>1259</v>
      </c>
      <c r="E121" s="505" t="s">
        <v>1260</v>
      </c>
      <c r="F121" s="503" t="s">
        <v>48</v>
      </c>
      <c r="G121" s="400" t="str">
        <f t="shared" si="14"/>
        <v>BB01-1</v>
      </c>
      <c r="H121" s="507">
        <v>1</v>
      </c>
      <c r="I121" s="506"/>
      <c r="J121" s="500">
        <v>1</v>
      </c>
      <c r="K121" s="397" t="s">
        <v>193</v>
      </c>
      <c r="L121" s="395"/>
      <c r="M121" s="395"/>
      <c r="N121" s="395"/>
      <c r="O121" s="395"/>
      <c r="P121" s="395"/>
      <c r="Q121" s="395"/>
      <c r="R121" s="395"/>
      <c r="S121" s="395"/>
      <c r="T121" s="395"/>
      <c r="U121" s="395"/>
    </row>
    <row r="122" spans="1:21" s="407" customFormat="1" ht="12" hidden="1" customHeight="1" outlineLevel="2">
      <c r="A122" s="508"/>
      <c r="B122" s="503"/>
      <c r="C122" s="504"/>
      <c r="D122" s="531" t="s">
        <v>1261</v>
      </c>
      <c r="E122" s="505" t="s">
        <v>1262</v>
      </c>
      <c r="F122" s="503" t="s">
        <v>48</v>
      </c>
      <c r="G122" s="400" t="str">
        <f t="shared" si="14"/>
        <v>BB01-1</v>
      </c>
      <c r="H122" s="507">
        <v>1</v>
      </c>
      <c r="I122" s="506"/>
      <c r="J122" s="500">
        <v>1</v>
      </c>
      <c r="K122" s="397" t="s">
        <v>610</v>
      </c>
      <c r="L122" s="395"/>
      <c r="M122" s="395"/>
      <c r="N122" s="395"/>
      <c r="O122" s="395"/>
      <c r="P122" s="395"/>
      <c r="Q122" s="395"/>
      <c r="R122" s="395"/>
      <c r="S122" s="395"/>
      <c r="T122" s="395"/>
      <c r="U122" s="395"/>
    </row>
    <row r="123" spans="1:21" s="407" customFormat="1" ht="12" hidden="1" customHeight="1" outlineLevel="2">
      <c r="A123" s="508"/>
      <c r="B123" s="503"/>
      <c r="C123" s="504"/>
      <c r="D123" s="531" t="s">
        <v>1263</v>
      </c>
      <c r="E123" s="505" t="s">
        <v>1264</v>
      </c>
      <c r="F123" s="503" t="s">
        <v>48</v>
      </c>
      <c r="G123" s="400" t="str">
        <f t="shared" si="14"/>
        <v>BB01-1</v>
      </c>
      <c r="H123" s="507">
        <v>1</v>
      </c>
      <c r="I123" s="506"/>
      <c r="J123" s="500">
        <v>1</v>
      </c>
      <c r="K123" s="397" t="s">
        <v>610</v>
      </c>
      <c r="L123" s="395"/>
      <c r="M123" s="395"/>
      <c r="N123" s="395"/>
      <c r="O123" s="395"/>
      <c r="P123" s="395"/>
      <c r="Q123" s="395"/>
      <c r="R123" s="395"/>
      <c r="S123" s="395"/>
      <c r="T123" s="395"/>
      <c r="U123" s="395"/>
    </row>
    <row r="124" spans="1:21" s="407" customFormat="1" ht="12" hidden="1" customHeight="1" outlineLevel="2">
      <c r="A124" s="508"/>
      <c r="B124" s="503"/>
      <c r="C124" s="504"/>
      <c r="D124" s="531" t="s">
        <v>1265</v>
      </c>
      <c r="E124" s="505" t="s">
        <v>1266</v>
      </c>
      <c r="F124" s="503" t="s">
        <v>48</v>
      </c>
      <c r="G124" s="400" t="str">
        <f t="shared" si="14"/>
        <v>BB01-1</v>
      </c>
      <c r="H124" s="507">
        <v>1</v>
      </c>
      <c r="I124" s="506"/>
      <c r="J124" s="500">
        <v>1</v>
      </c>
      <c r="K124" s="397" t="s">
        <v>610</v>
      </c>
      <c r="L124" s="395"/>
      <c r="M124" s="395"/>
      <c r="N124" s="395"/>
      <c r="O124" s="395"/>
      <c r="P124" s="395"/>
      <c r="Q124" s="395"/>
      <c r="R124" s="395"/>
      <c r="S124" s="395"/>
      <c r="T124" s="395"/>
      <c r="U124" s="395"/>
    </row>
    <row r="125" spans="1:21" s="407" customFormat="1" ht="12" hidden="1" customHeight="1" outlineLevel="2">
      <c r="A125" s="508"/>
      <c r="B125" s="503"/>
      <c r="C125" s="504"/>
      <c r="D125" s="531" t="s">
        <v>1267</v>
      </c>
      <c r="E125" s="505" t="s">
        <v>1268</v>
      </c>
      <c r="F125" s="503" t="s">
        <v>48</v>
      </c>
      <c r="G125" s="400" t="str">
        <f t="shared" si="14"/>
        <v>BB01-1</v>
      </c>
      <c r="H125" s="507">
        <v>1</v>
      </c>
      <c r="I125" s="506"/>
      <c r="J125" s="500">
        <v>1</v>
      </c>
      <c r="K125" s="397" t="s">
        <v>610</v>
      </c>
      <c r="L125" s="395"/>
      <c r="M125" s="395"/>
      <c r="N125" s="395"/>
      <c r="O125" s="395"/>
      <c r="P125" s="395"/>
      <c r="Q125" s="395"/>
      <c r="R125" s="395"/>
      <c r="S125" s="395"/>
      <c r="T125" s="395"/>
      <c r="U125" s="395"/>
    </row>
    <row r="126" spans="1:21" s="407" customFormat="1" ht="12" hidden="1" customHeight="1" outlineLevel="2">
      <c r="A126" s="508"/>
      <c r="B126" s="503"/>
      <c r="C126" s="504"/>
      <c r="D126" s="531" t="s">
        <v>1269</v>
      </c>
      <c r="E126" s="505" t="s">
        <v>1270</v>
      </c>
      <c r="F126" s="503" t="s">
        <v>48</v>
      </c>
      <c r="G126" s="400" t="str">
        <f t="shared" si="14"/>
        <v>BB01-1</v>
      </c>
      <c r="H126" s="507">
        <v>1</v>
      </c>
      <c r="I126" s="506"/>
      <c r="J126" s="500">
        <v>1</v>
      </c>
      <c r="K126" s="397" t="s">
        <v>193</v>
      </c>
      <c r="L126" s="395"/>
      <c r="M126" s="395"/>
      <c r="N126" s="395"/>
      <c r="O126" s="395"/>
      <c r="P126" s="395"/>
      <c r="Q126" s="395"/>
      <c r="R126" s="395"/>
      <c r="S126" s="395"/>
      <c r="T126" s="395"/>
      <c r="U126" s="395"/>
    </row>
    <row r="127" spans="1:21" s="407" customFormat="1" ht="12" hidden="1" customHeight="1" outlineLevel="2">
      <c r="A127" s="508"/>
      <c r="B127" s="503"/>
      <c r="C127" s="504"/>
      <c r="D127" s="531" t="s">
        <v>1271</v>
      </c>
      <c r="E127" s="505" t="s">
        <v>1272</v>
      </c>
      <c r="F127" s="503" t="s">
        <v>48</v>
      </c>
      <c r="G127" s="400" t="str">
        <f t="shared" si="14"/>
        <v>BB01-1</v>
      </c>
      <c r="H127" s="507">
        <v>1</v>
      </c>
      <c r="I127" s="506"/>
      <c r="J127" s="500">
        <v>1</v>
      </c>
      <c r="K127" s="397" t="s">
        <v>193</v>
      </c>
      <c r="L127" s="395"/>
      <c r="M127" s="395"/>
      <c r="N127" s="395"/>
      <c r="O127" s="395"/>
      <c r="P127" s="395"/>
      <c r="Q127" s="395"/>
      <c r="R127" s="395"/>
      <c r="S127" s="395"/>
      <c r="T127" s="395"/>
      <c r="U127" s="395"/>
    </row>
    <row r="128" spans="1:21" s="407" customFormat="1" ht="12" hidden="1" customHeight="1" outlineLevel="2">
      <c r="A128" s="508"/>
      <c r="B128" s="503"/>
      <c r="C128" s="504"/>
      <c r="D128" s="531" t="s">
        <v>1273</v>
      </c>
      <c r="E128" s="505" t="s">
        <v>1274</v>
      </c>
      <c r="F128" s="503" t="s">
        <v>48</v>
      </c>
      <c r="G128" s="400" t="str">
        <f t="shared" si="14"/>
        <v>BB01-1</v>
      </c>
      <c r="H128" s="507">
        <v>1</v>
      </c>
      <c r="I128" s="506"/>
      <c r="J128" s="500">
        <v>1</v>
      </c>
      <c r="K128" s="397" t="s">
        <v>610</v>
      </c>
      <c r="L128" s="395"/>
      <c r="M128" s="395"/>
      <c r="N128" s="395"/>
      <c r="O128" s="395"/>
      <c r="P128" s="395"/>
      <c r="Q128" s="395"/>
      <c r="R128" s="395"/>
      <c r="S128" s="395"/>
      <c r="T128" s="395"/>
      <c r="U128" s="395"/>
    </row>
    <row r="129" spans="1:21" s="407" customFormat="1" ht="12" hidden="1" customHeight="1" outlineLevel="2">
      <c r="A129" s="508"/>
      <c r="B129" s="503"/>
      <c r="C129" s="504"/>
      <c r="D129" s="531" t="s">
        <v>1275</v>
      </c>
      <c r="E129" s="505" t="s">
        <v>1276</v>
      </c>
      <c r="F129" s="503" t="s">
        <v>48</v>
      </c>
      <c r="G129" s="400" t="str">
        <f t="shared" si="14"/>
        <v>BB01-1</v>
      </c>
      <c r="H129" s="507">
        <v>1</v>
      </c>
      <c r="I129" s="506"/>
      <c r="J129" s="500">
        <v>1</v>
      </c>
      <c r="K129" s="397" t="s">
        <v>193</v>
      </c>
      <c r="L129" s="395"/>
      <c r="M129" s="395"/>
      <c r="N129" s="395"/>
      <c r="O129" s="395"/>
      <c r="P129" s="395"/>
      <c r="Q129" s="395"/>
      <c r="R129" s="395"/>
      <c r="S129" s="395"/>
      <c r="T129" s="395"/>
      <c r="U129" s="395"/>
    </row>
    <row r="130" spans="1:21" s="407" customFormat="1" ht="12" hidden="1" customHeight="1" outlineLevel="2">
      <c r="A130" s="508"/>
      <c r="B130" s="503"/>
      <c r="C130" s="504"/>
      <c r="D130" s="531" t="s">
        <v>1277</v>
      </c>
      <c r="E130" s="505" t="s">
        <v>1278</v>
      </c>
      <c r="F130" s="503" t="s">
        <v>48</v>
      </c>
      <c r="G130" s="400" t="str">
        <f t="shared" si="14"/>
        <v>BB01-1</v>
      </c>
      <c r="H130" s="507">
        <v>1</v>
      </c>
      <c r="I130" s="506"/>
      <c r="J130" s="500">
        <v>1</v>
      </c>
      <c r="K130" s="397" t="s">
        <v>193</v>
      </c>
      <c r="L130" s="395"/>
      <c r="M130" s="395"/>
      <c r="N130" s="395"/>
      <c r="O130" s="395"/>
      <c r="P130" s="395"/>
      <c r="Q130" s="395"/>
      <c r="R130" s="395"/>
      <c r="S130" s="395"/>
      <c r="T130" s="395"/>
      <c r="U130" s="395"/>
    </row>
    <row r="131" spans="1:21" s="407" customFormat="1" ht="12" hidden="1" customHeight="1" outlineLevel="2">
      <c r="A131" s="508"/>
      <c r="B131" s="503"/>
      <c r="C131" s="504"/>
      <c r="D131" s="531" t="s">
        <v>1279</v>
      </c>
      <c r="E131" s="505" t="s">
        <v>1280</v>
      </c>
      <c r="F131" s="503" t="s">
        <v>48</v>
      </c>
      <c r="G131" s="400" t="str">
        <f t="shared" si="14"/>
        <v>BB01-1</v>
      </c>
      <c r="H131" s="507">
        <v>1</v>
      </c>
      <c r="I131" s="506"/>
      <c r="J131" s="500">
        <v>1</v>
      </c>
      <c r="K131" s="397" t="s">
        <v>193</v>
      </c>
      <c r="L131" s="395"/>
      <c r="M131" s="395"/>
      <c r="N131" s="395"/>
      <c r="O131" s="395"/>
      <c r="P131" s="395"/>
      <c r="Q131" s="395"/>
      <c r="R131" s="395"/>
      <c r="S131" s="395"/>
      <c r="T131" s="395"/>
      <c r="U131" s="395"/>
    </row>
    <row r="132" spans="1:21" s="407" customFormat="1" ht="12" hidden="1" customHeight="1" outlineLevel="2">
      <c r="A132" s="508"/>
      <c r="B132" s="503"/>
      <c r="C132" s="504"/>
      <c r="D132" s="531" t="s">
        <v>1281</v>
      </c>
      <c r="E132" s="505" t="s">
        <v>1282</v>
      </c>
      <c r="F132" s="503" t="s">
        <v>48</v>
      </c>
      <c r="G132" s="400" t="str">
        <f t="shared" si="14"/>
        <v>BB01-1</v>
      </c>
      <c r="H132" s="507">
        <v>1</v>
      </c>
      <c r="I132" s="506"/>
      <c r="J132" s="500">
        <v>1</v>
      </c>
      <c r="K132" s="397" t="s">
        <v>193</v>
      </c>
      <c r="L132" s="395"/>
      <c r="M132" s="395"/>
      <c r="N132" s="395"/>
      <c r="O132" s="395"/>
      <c r="P132" s="395"/>
      <c r="Q132" s="395"/>
      <c r="R132" s="395"/>
      <c r="S132" s="395"/>
      <c r="T132" s="395"/>
      <c r="U132" s="395"/>
    </row>
    <row r="133" spans="1:21" s="407" customFormat="1" ht="12" hidden="1" customHeight="1" outlineLevel="2">
      <c r="A133" s="508"/>
      <c r="B133" s="503"/>
      <c r="C133" s="504"/>
      <c r="D133" s="531" t="s">
        <v>1283</v>
      </c>
      <c r="E133" s="505" t="s">
        <v>1284</v>
      </c>
      <c r="F133" s="503" t="s">
        <v>48</v>
      </c>
      <c r="G133" s="400" t="str">
        <f t="shared" si="14"/>
        <v>BB01-1</v>
      </c>
      <c r="H133" s="507">
        <v>1</v>
      </c>
      <c r="I133" s="506"/>
      <c r="J133" s="500">
        <v>1</v>
      </c>
      <c r="K133" s="397" t="s">
        <v>193</v>
      </c>
      <c r="L133" s="395"/>
      <c r="M133" s="395"/>
      <c r="N133" s="395"/>
      <c r="O133" s="395"/>
      <c r="P133" s="395"/>
      <c r="Q133" s="395"/>
      <c r="R133" s="395"/>
      <c r="S133" s="395"/>
      <c r="T133" s="395"/>
      <c r="U133" s="395"/>
    </row>
    <row r="134" spans="1:21" s="407" customFormat="1" ht="12" hidden="1" customHeight="1" outlineLevel="2">
      <c r="A134" s="508"/>
      <c r="B134" s="503"/>
      <c r="C134" s="504"/>
      <c r="D134" s="531" t="s">
        <v>1285</v>
      </c>
      <c r="E134" s="505" t="s">
        <v>1286</v>
      </c>
      <c r="F134" s="503" t="s">
        <v>48</v>
      </c>
      <c r="G134" s="400" t="str">
        <f t="shared" si="14"/>
        <v>BB01-1</v>
      </c>
      <c r="H134" s="507">
        <v>1</v>
      </c>
      <c r="I134" s="506"/>
      <c r="J134" s="500">
        <v>1</v>
      </c>
      <c r="K134" s="397" t="s">
        <v>610</v>
      </c>
      <c r="L134" s="395"/>
      <c r="M134" s="395"/>
      <c r="N134" s="395"/>
      <c r="O134" s="395"/>
      <c r="P134" s="395"/>
      <c r="Q134" s="395"/>
      <c r="R134" s="395"/>
      <c r="S134" s="395"/>
      <c r="T134" s="395"/>
      <c r="U134" s="395"/>
    </row>
    <row r="135" spans="1:21" s="407" customFormat="1" ht="12" hidden="1" customHeight="1" outlineLevel="2">
      <c r="A135" s="508"/>
      <c r="B135" s="503"/>
      <c r="C135" s="504"/>
      <c r="D135" s="531" t="s">
        <v>1287</v>
      </c>
      <c r="E135" s="505" t="s">
        <v>1288</v>
      </c>
      <c r="F135" s="503" t="s">
        <v>48</v>
      </c>
      <c r="G135" s="400" t="str">
        <f t="shared" si="14"/>
        <v>BB01-1</v>
      </c>
      <c r="H135" s="507">
        <v>1</v>
      </c>
      <c r="I135" s="506"/>
      <c r="J135" s="500">
        <v>1</v>
      </c>
      <c r="K135" s="397" t="s">
        <v>193</v>
      </c>
      <c r="L135" s="395"/>
      <c r="M135" s="395"/>
      <c r="N135" s="395"/>
      <c r="O135" s="395"/>
      <c r="P135" s="395"/>
      <c r="Q135" s="395"/>
      <c r="R135" s="395"/>
      <c r="S135" s="395"/>
      <c r="T135" s="395"/>
      <c r="U135" s="395"/>
    </row>
    <row r="136" spans="1:21" s="407" customFormat="1" ht="12" hidden="1" customHeight="1" outlineLevel="2">
      <c r="A136" s="508"/>
      <c r="B136" s="503"/>
      <c r="C136" s="504"/>
      <c r="D136" s="531" t="s">
        <v>1289</v>
      </c>
      <c r="E136" s="505" t="s">
        <v>1290</v>
      </c>
      <c r="F136" s="503" t="s">
        <v>48</v>
      </c>
      <c r="G136" s="400" t="str">
        <f t="shared" si="14"/>
        <v>BB01-1</v>
      </c>
      <c r="H136" s="507">
        <v>1</v>
      </c>
      <c r="I136" s="506"/>
      <c r="J136" s="500">
        <v>1</v>
      </c>
      <c r="K136" s="397" t="s">
        <v>610</v>
      </c>
      <c r="L136" s="395"/>
      <c r="M136" s="395"/>
      <c r="N136" s="395"/>
      <c r="O136" s="395"/>
      <c r="P136" s="395"/>
      <c r="Q136" s="395"/>
      <c r="R136" s="395"/>
      <c r="S136" s="395"/>
      <c r="T136" s="395"/>
      <c r="U136" s="395"/>
    </row>
    <row r="137" spans="1:21" s="407" customFormat="1" ht="12" hidden="1" customHeight="1" outlineLevel="2">
      <c r="A137" s="508"/>
      <c r="B137" s="503"/>
      <c r="C137" s="504"/>
      <c r="D137" s="531" t="s">
        <v>1291</v>
      </c>
      <c r="E137" s="505" t="s">
        <v>1292</v>
      </c>
      <c r="F137" s="503" t="s">
        <v>48</v>
      </c>
      <c r="G137" s="400" t="str">
        <f t="shared" si="14"/>
        <v>BB01-1</v>
      </c>
      <c r="H137" s="507">
        <v>1</v>
      </c>
      <c r="I137" s="506"/>
      <c r="J137" s="500">
        <v>1</v>
      </c>
      <c r="K137" s="397" t="s">
        <v>610</v>
      </c>
      <c r="L137" s="395"/>
      <c r="M137" s="395"/>
      <c r="N137" s="395"/>
      <c r="O137" s="395"/>
      <c r="P137" s="395"/>
      <c r="Q137" s="395"/>
      <c r="R137" s="395"/>
      <c r="S137" s="395"/>
      <c r="T137" s="395"/>
      <c r="U137" s="395"/>
    </row>
    <row r="138" spans="1:21" s="407" customFormat="1" ht="12" hidden="1" customHeight="1" outlineLevel="2">
      <c r="A138" s="508"/>
      <c r="B138" s="503"/>
      <c r="C138" s="504"/>
      <c r="D138" s="531" t="s">
        <v>1293</v>
      </c>
      <c r="E138" s="505" t="s">
        <v>1294</v>
      </c>
      <c r="F138" s="503" t="s">
        <v>48</v>
      </c>
      <c r="G138" s="400" t="str">
        <f t="shared" si="14"/>
        <v>BB01-1</v>
      </c>
      <c r="H138" s="507">
        <v>1</v>
      </c>
      <c r="I138" s="506"/>
      <c r="J138" s="500">
        <v>1</v>
      </c>
      <c r="K138" s="397" t="s">
        <v>610</v>
      </c>
      <c r="L138" s="395"/>
      <c r="M138" s="395"/>
      <c r="N138" s="395"/>
      <c r="O138" s="395"/>
      <c r="P138" s="395"/>
      <c r="Q138" s="395"/>
      <c r="R138" s="395"/>
      <c r="S138" s="395"/>
      <c r="T138" s="395"/>
      <c r="U138" s="395"/>
    </row>
    <row r="139" spans="1:21" s="407" customFormat="1" ht="12" hidden="1" customHeight="1" outlineLevel="2">
      <c r="A139" s="508"/>
      <c r="B139" s="503"/>
      <c r="C139" s="504"/>
      <c r="D139" s="531" t="s">
        <v>1295</v>
      </c>
      <c r="E139" s="505" t="s">
        <v>1296</v>
      </c>
      <c r="F139" s="503" t="s">
        <v>48</v>
      </c>
      <c r="G139" s="400" t="str">
        <f t="shared" si="14"/>
        <v>BB01-1</v>
      </c>
      <c r="H139" s="507">
        <v>1</v>
      </c>
      <c r="I139" s="506"/>
      <c r="J139" s="500">
        <v>1</v>
      </c>
      <c r="K139" s="397" t="s">
        <v>610</v>
      </c>
      <c r="L139" s="395"/>
      <c r="M139" s="395"/>
      <c r="N139" s="395"/>
      <c r="O139" s="395"/>
      <c r="P139" s="395"/>
      <c r="Q139" s="395"/>
      <c r="R139" s="395"/>
      <c r="S139" s="395"/>
      <c r="T139" s="395"/>
      <c r="U139" s="395"/>
    </row>
    <row r="140" spans="1:21" s="407" customFormat="1" ht="12" hidden="1" customHeight="1" outlineLevel="2">
      <c r="A140" s="508"/>
      <c r="B140" s="503"/>
      <c r="C140" s="504"/>
      <c r="D140" s="531" t="s">
        <v>1297</v>
      </c>
      <c r="E140" s="505" t="s">
        <v>1298</v>
      </c>
      <c r="F140" s="503" t="s">
        <v>48</v>
      </c>
      <c r="G140" s="400" t="str">
        <f t="shared" si="14"/>
        <v>BB01-1</v>
      </c>
      <c r="H140" s="507">
        <v>1</v>
      </c>
      <c r="I140" s="506"/>
      <c r="J140" s="500">
        <v>1</v>
      </c>
      <c r="K140" s="397" t="s">
        <v>610</v>
      </c>
      <c r="L140" s="395"/>
      <c r="M140" s="395"/>
      <c r="N140" s="395"/>
      <c r="O140" s="395"/>
      <c r="P140" s="395"/>
      <c r="Q140" s="395"/>
      <c r="R140" s="395"/>
      <c r="S140" s="395"/>
      <c r="T140" s="395"/>
      <c r="U140" s="395"/>
    </row>
    <row r="141" spans="1:21" s="407" customFormat="1" ht="12" hidden="1" customHeight="1" outlineLevel="2">
      <c r="A141" s="508"/>
      <c r="B141" s="503"/>
      <c r="C141" s="504"/>
      <c r="D141" s="531" t="s">
        <v>1299</v>
      </c>
      <c r="E141" s="505" t="s">
        <v>1300</v>
      </c>
      <c r="F141" s="503" t="s">
        <v>48</v>
      </c>
      <c r="G141" s="400" t="str">
        <f t="shared" si="14"/>
        <v>BB01-1</v>
      </c>
      <c r="H141" s="507">
        <v>1</v>
      </c>
      <c r="I141" s="506"/>
      <c r="J141" s="500">
        <v>1</v>
      </c>
      <c r="K141" s="397" t="s">
        <v>610</v>
      </c>
      <c r="L141" s="395"/>
      <c r="M141" s="395"/>
      <c r="N141" s="395"/>
      <c r="O141" s="395"/>
      <c r="P141" s="395"/>
      <c r="Q141" s="395"/>
      <c r="R141" s="395"/>
      <c r="S141" s="395"/>
      <c r="T141" s="395"/>
      <c r="U141" s="395"/>
    </row>
    <row r="142" spans="1:21" s="407" customFormat="1" ht="12" hidden="1" customHeight="1" outlineLevel="2">
      <c r="A142" s="508"/>
      <c r="B142" s="503"/>
      <c r="C142" s="504"/>
      <c r="D142" s="531" t="s">
        <v>1301</v>
      </c>
      <c r="E142" s="505" t="s">
        <v>1302</v>
      </c>
      <c r="F142" s="503" t="s">
        <v>48</v>
      </c>
      <c r="G142" s="400" t="str">
        <f t="shared" ref="G142:G205" si="15">CONCATENATE(F142,"-",H142)</f>
        <v>BB01-1</v>
      </c>
      <c r="H142" s="507">
        <v>1</v>
      </c>
      <c r="I142" s="506"/>
      <c r="J142" s="500">
        <v>1</v>
      </c>
      <c r="K142" s="397" t="s">
        <v>1222</v>
      </c>
      <c r="L142" s="395"/>
      <c r="M142" s="395"/>
      <c r="N142" s="395"/>
      <c r="O142" s="395"/>
      <c r="P142" s="395"/>
      <c r="Q142" s="395"/>
      <c r="R142" s="395"/>
      <c r="S142" s="395"/>
      <c r="T142" s="395"/>
      <c r="U142" s="395"/>
    </row>
    <row r="143" spans="1:21" s="407" customFormat="1" ht="12" hidden="1" customHeight="1" outlineLevel="2">
      <c r="A143" s="508"/>
      <c r="B143" s="503"/>
      <c r="C143" s="504"/>
      <c r="D143" s="531" t="s">
        <v>1303</v>
      </c>
      <c r="E143" s="505" t="s">
        <v>1304</v>
      </c>
      <c r="F143" s="503" t="s">
        <v>48</v>
      </c>
      <c r="G143" s="400" t="str">
        <f t="shared" si="15"/>
        <v>BB01-1</v>
      </c>
      <c r="H143" s="507">
        <v>1</v>
      </c>
      <c r="I143" s="506"/>
      <c r="J143" s="500">
        <v>1</v>
      </c>
      <c r="K143" s="397" t="s">
        <v>290</v>
      </c>
      <c r="L143" s="395"/>
      <c r="M143" s="395"/>
      <c r="N143" s="395"/>
      <c r="O143" s="395"/>
      <c r="P143" s="395"/>
      <c r="Q143" s="395"/>
      <c r="R143" s="395"/>
      <c r="S143" s="395"/>
      <c r="T143" s="395"/>
      <c r="U143" s="395"/>
    </row>
    <row r="144" spans="1:21" s="407" customFormat="1" ht="12" hidden="1" customHeight="1" outlineLevel="2">
      <c r="A144" s="508"/>
      <c r="B144" s="503"/>
      <c r="C144" s="504"/>
      <c r="D144" s="531" t="s">
        <v>1305</v>
      </c>
      <c r="E144" s="505" t="s">
        <v>1306</v>
      </c>
      <c r="F144" s="503" t="s">
        <v>48</v>
      </c>
      <c r="G144" s="400" t="str">
        <f t="shared" si="15"/>
        <v>BB01-1</v>
      </c>
      <c r="H144" s="507">
        <v>1</v>
      </c>
      <c r="I144" s="506"/>
      <c r="J144" s="500">
        <v>1</v>
      </c>
      <c r="K144" s="397" t="s">
        <v>610</v>
      </c>
      <c r="L144" s="395"/>
      <c r="M144" s="395"/>
      <c r="N144" s="395"/>
      <c r="O144" s="395"/>
      <c r="P144" s="395"/>
      <c r="Q144" s="395"/>
      <c r="R144" s="395"/>
      <c r="S144" s="395"/>
      <c r="T144" s="395"/>
      <c r="U144" s="395"/>
    </row>
    <row r="145" spans="1:21" s="407" customFormat="1" ht="12" hidden="1" customHeight="1" outlineLevel="2">
      <c r="A145" s="508"/>
      <c r="B145" s="503"/>
      <c r="C145" s="504"/>
      <c r="D145" s="531" t="s">
        <v>1307</v>
      </c>
      <c r="E145" s="505" t="s">
        <v>1308</v>
      </c>
      <c r="F145" s="503" t="s">
        <v>48</v>
      </c>
      <c r="G145" s="400" t="str">
        <f t="shared" si="15"/>
        <v>BB01-1</v>
      </c>
      <c r="H145" s="507">
        <v>1</v>
      </c>
      <c r="I145" s="506"/>
      <c r="J145" s="500">
        <v>1</v>
      </c>
      <c r="K145" s="397" t="s">
        <v>610</v>
      </c>
      <c r="L145" s="395"/>
      <c r="M145" s="395"/>
      <c r="N145" s="395"/>
      <c r="O145" s="395"/>
      <c r="P145" s="395"/>
      <c r="Q145" s="395"/>
      <c r="R145" s="395"/>
      <c r="S145" s="395"/>
      <c r="T145" s="395"/>
      <c r="U145" s="395"/>
    </row>
    <row r="146" spans="1:21" s="407" customFormat="1" ht="12" hidden="1" customHeight="1" outlineLevel="2">
      <c r="A146" s="508"/>
      <c r="B146" s="503"/>
      <c r="C146" s="504"/>
      <c r="D146" s="531" t="s">
        <v>1309</v>
      </c>
      <c r="E146" s="505" t="s">
        <v>1310</v>
      </c>
      <c r="F146" s="503" t="s">
        <v>48</v>
      </c>
      <c r="G146" s="400" t="str">
        <f t="shared" si="15"/>
        <v>BB01-1</v>
      </c>
      <c r="H146" s="507">
        <v>1</v>
      </c>
      <c r="I146" s="506"/>
      <c r="J146" s="500">
        <v>1</v>
      </c>
      <c r="K146" s="397" t="s">
        <v>610</v>
      </c>
      <c r="L146" s="395"/>
      <c r="M146" s="395"/>
      <c r="N146" s="395"/>
      <c r="O146" s="395"/>
      <c r="P146" s="395"/>
      <c r="Q146" s="395"/>
      <c r="R146" s="395"/>
      <c r="S146" s="395"/>
      <c r="T146" s="395"/>
      <c r="U146" s="395"/>
    </row>
    <row r="147" spans="1:21" s="407" customFormat="1" ht="12" hidden="1" customHeight="1" outlineLevel="2">
      <c r="A147" s="508"/>
      <c r="B147" s="503"/>
      <c r="C147" s="504"/>
      <c r="D147" s="531" t="s">
        <v>1311</v>
      </c>
      <c r="E147" s="505" t="s">
        <v>1312</v>
      </c>
      <c r="F147" s="503" t="s">
        <v>48</v>
      </c>
      <c r="G147" s="400" t="str">
        <f t="shared" si="15"/>
        <v>BB01-1</v>
      </c>
      <c r="H147" s="507">
        <v>1</v>
      </c>
      <c r="I147" s="506"/>
      <c r="J147" s="500">
        <v>1</v>
      </c>
      <c r="K147" s="397" t="s">
        <v>610</v>
      </c>
      <c r="L147" s="395"/>
      <c r="M147" s="395"/>
      <c r="N147" s="395"/>
      <c r="O147" s="395"/>
      <c r="P147" s="395"/>
      <c r="Q147" s="395"/>
      <c r="R147" s="395"/>
      <c r="S147" s="395"/>
      <c r="T147" s="395"/>
      <c r="U147" s="395"/>
    </row>
    <row r="148" spans="1:21" s="407" customFormat="1" ht="12" hidden="1" customHeight="1" outlineLevel="2">
      <c r="A148" s="508"/>
      <c r="B148" s="503"/>
      <c r="C148" s="504"/>
      <c r="D148" s="531" t="s">
        <v>1313</v>
      </c>
      <c r="E148" s="505" t="s">
        <v>1314</v>
      </c>
      <c r="F148" s="503" t="s">
        <v>48</v>
      </c>
      <c r="G148" s="400" t="str">
        <f t="shared" si="15"/>
        <v>BB01-1</v>
      </c>
      <c r="H148" s="507">
        <v>1</v>
      </c>
      <c r="I148" s="506"/>
      <c r="J148" s="500">
        <v>1</v>
      </c>
      <c r="K148" s="397" t="s">
        <v>610</v>
      </c>
      <c r="L148" s="395"/>
      <c r="M148" s="395"/>
      <c r="N148" s="395"/>
      <c r="O148" s="395"/>
      <c r="P148" s="395"/>
      <c r="Q148" s="395"/>
      <c r="R148" s="395"/>
      <c r="S148" s="395"/>
      <c r="T148" s="395"/>
      <c r="U148" s="395"/>
    </row>
    <row r="149" spans="1:21" s="407" customFormat="1" ht="12" hidden="1" customHeight="1" outlineLevel="2">
      <c r="A149" s="508"/>
      <c r="B149" s="503"/>
      <c r="C149" s="504"/>
      <c r="D149" s="531" t="s">
        <v>1315</v>
      </c>
      <c r="E149" s="505" t="s">
        <v>1316</v>
      </c>
      <c r="F149" s="503" t="s">
        <v>48</v>
      </c>
      <c r="G149" s="400" t="str">
        <f t="shared" si="15"/>
        <v>BB01-1</v>
      </c>
      <c r="H149" s="507">
        <v>1</v>
      </c>
      <c r="I149" s="506"/>
      <c r="J149" s="500">
        <v>1</v>
      </c>
      <c r="K149" s="397" t="s">
        <v>1222</v>
      </c>
      <c r="L149" s="395"/>
      <c r="M149" s="395"/>
      <c r="N149" s="395"/>
      <c r="O149" s="395"/>
      <c r="P149" s="395"/>
      <c r="Q149" s="395"/>
      <c r="R149" s="395"/>
      <c r="S149" s="395"/>
      <c r="T149" s="395"/>
      <c r="U149" s="395"/>
    </row>
    <row r="150" spans="1:21" s="407" customFormat="1" ht="12" hidden="1" customHeight="1" outlineLevel="2">
      <c r="A150" s="508"/>
      <c r="B150" s="503"/>
      <c r="C150" s="504"/>
      <c r="D150" s="531" t="s">
        <v>1317</v>
      </c>
      <c r="E150" s="505" t="s">
        <v>1318</v>
      </c>
      <c r="F150" s="503" t="s">
        <v>48</v>
      </c>
      <c r="G150" s="400" t="str">
        <f t="shared" si="15"/>
        <v>BB01-1</v>
      </c>
      <c r="H150" s="507">
        <v>1</v>
      </c>
      <c r="I150" s="506"/>
      <c r="J150" s="500">
        <v>1</v>
      </c>
      <c r="K150" s="397" t="s">
        <v>610</v>
      </c>
      <c r="L150" s="395"/>
      <c r="M150" s="395"/>
      <c r="N150" s="395"/>
      <c r="O150" s="395"/>
      <c r="P150" s="395"/>
      <c r="Q150" s="395"/>
      <c r="R150" s="395"/>
      <c r="S150" s="395"/>
      <c r="T150" s="395"/>
      <c r="U150" s="395"/>
    </row>
    <row r="151" spans="1:21" s="407" customFormat="1" ht="12" hidden="1" customHeight="1" outlineLevel="2">
      <c r="A151" s="508"/>
      <c r="B151" s="503"/>
      <c r="C151" s="504"/>
      <c r="D151" s="531" t="s">
        <v>1319</v>
      </c>
      <c r="E151" s="505" t="s">
        <v>1320</v>
      </c>
      <c r="F151" s="503" t="s">
        <v>48</v>
      </c>
      <c r="G151" s="400" t="str">
        <f t="shared" si="15"/>
        <v>BB01-1</v>
      </c>
      <c r="H151" s="507">
        <v>1</v>
      </c>
      <c r="I151" s="506"/>
      <c r="J151" s="500">
        <v>1</v>
      </c>
      <c r="K151" s="397" t="s">
        <v>1321</v>
      </c>
      <c r="L151" s="395"/>
      <c r="M151" s="395"/>
      <c r="N151" s="395"/>
      <c r="O151" s="395"/>
      <c r="P151" s="395"/>
      <c r="Q151" s="395"/>
      <c r="R151" s="395"/>
      <c r="S151" s="395"/>
      <c r="T151" s="395"/>
      <c r="U151" s="395"/>
    </row>
    <row r="152" spans="1:21" s="407" customFormat="1" ht="12" hidden="1" customHeight="1" outlineLevel="2">
      <c r="A152" s="508"/>
      <c r="B152" s="503"/>
      <c r="C152" s="504"/>
      <c r="D152" s="531" t="s">
        <v>1322</v>
      </c>
      <c r="E152" s="505" t="s">
        <v>1323</v>
      </c>
      <c r="F152" s="503" t="s">
        <v>48</v>
      </c>
      <c r="G152" s="400" t="str">
        <f t="shared" si="15"/>
        <v>BB01-1</v>
      </c>
      <c r="H152" s="507">
        <v>1</v>
      </c>
      <c r="I152" s="506"/>
      <c r="J152" s="500">
        <v>1</v>
      </c>
      <c r="K152" s="397" t="s">
        <v>1321</v>
      </c>
      <c r="L152" s="395"/>
      <c r="M152" s="395"/>
      <c r="N152" s="395"/>
      <c r="O152" s="395"/>
      <c r="P152" s="395"/>
      <c r="Q152" s="395"/>
      <c r="R152" s="395"/>
      <c r="S152" s="395"/>
      <c r="T152" s="395"/>
      <c r="U152" s="395"/>
    </row>
    <row r="153" spans="1:21" s="407" customFormat="1" ht="12" hidden="1" customHeight="1" outlineLevel="2">
      <c r="A153" s="508"/>
      <c r="B153" s="503"/>
      <c r="C153" s="504"/>
      <c r="D153" s="531" t="s">
        <v>1324</v>
      </c>
      <c r="E153" s="505" t="s">
        <v>1325</v>
      </c>
      <c r="F153" s="503" t="s">
        <v>48</v>
      </c>
      <c r="G153" s="400" t="str">
        <f t="shared" si="15"/>
        <v>BB01-1</v>
      </c>
      <c r="H153" s="507">
        <v>1</v>
      </c>
      <c r="I153" s="506"/>
      <c r="J153" s="500">
        <v>1</v>
      </c>
      <c r="K153" s="397" t="s">
        <v>610</v>
      </c>
      <c r="L153" s="395"/>
      <c r="M153" s="395"/>
      <c r="N153" s="395"/>
      <c r="O153" s="395"/>
      <c r="P153" s="395"/>
      <c r="Q153" s="395"/>
      <c r="R153" s="395"/>
      <c r="S153" s="395"/>
      <c r="T153" s="395"/>
      <c r="U153" s="395"/>
    </row>
    <row r="154" spans="1:21" s="407" customFormat="1" ht="12" hidden="1" customHeight="1" outlineLevel="2">
      <c r="A154" s="508"/>
      <c r="B154" s="503"/>
      <c r="C154" s="504"/>
      <c r="D154" s="531" t="s">
        <v>1326</v>
      </c>
      <c r="E154" s="505" t="s">
        <v>1327</v>
      </c>
      <c r="F154" s="503" t="s">
        <v>48</v>
      </c>
      <c r="G154" s="400" t="str">
        <f t="shared" si="15"/>
        <v>BB01-1</v>
      </c>
      <c r="H154" s="507">
        <v>1</v>
      </c>
      <c r="I154" s="506"/>
      <c r="J154" s="500">
        <v>1</v>
      </c>
      <c r="K154" s="397" t="s">
        <v>290</v>
      </c>
      <c r="L154" s="395"/>
      <c r="M154" s="395"/>
      <c r="N154" s="395"/>
      <c r="O154" s="395"/>
      <c r="P154" s="395"/>
      <c r="Q154" s="395"/>
      <c r="R154" s="395"/>
      <c r="S154" s="395"/>
      <c r="T154" s="395"/>
      <c r="U154" s="395"/>
    </row>
    <row r="155" spans="1:21" s="407" customFormat="1" ht="12" hidden="1" customHeight="1" outlineLevel="2">
      <c r="A155" s="508"/>
      <c r="B155" s="503"/>
      <c r="C155" s="504"/>
      <c r="D155" s="531" t="s">
        <v>1328</v>
      </c>
      <c r="E155" s="505" t="s">
        <v>1329</v>
      </c>
      <c r="F155" s="503" t="s">
        <v>48</v>
      </c>
      <c r="G155" s="400" t="str">
        <f t="shared" si="15"/>
        <v>BB01-1</v>
      </c>
      <c r="H155" s="507">
        <v>1</v>
      </c>
      <c r="I155" s="506"/>
      <c r="J155" s="500">
        <v>1</v>
      </c>
      <c r="K155" s="397" t="s">
        <v>1321</v>
      </c>
      <c r="L155" s="395"/>
      <c r="M155" s="395"/>
      <c r="N155" s="395"/>
      <c r="O155" s="395"/>
      <c r="P155" s="395"/>
      <c r="Q155" s="395"/>
      <c r="R155" s="395"/>
      <c r="S155" s="395"/>
      <c r="T155" s="395"/>
      <c r="U155" s="395"/>
    </row>
    <row r="156" spans="1:21" s="407" customFormat="1" ht="12" hidden="1" customHeight="1" outlineLevel="2">
      <c r="A156" s="508"/>
      <c r="B156" s="503"/>
      <c r="C156" s="504"/>
      <c r="D156" s="531" t="s">
        <v>1330</v>
      </c>
      <c r="E156" s="505" t="s">
        <v>1331</v>
      </c>
      <c r="F156" s="503" t="s">
        <v>48</v>
      </c>
      <c r="G156" s="400" t="str">
        <f t="shared" si="15"/>
        <v>BB01-1</v>
      </c>
      <c r="H156" s="507">
        <v>1</v>
      </c>
      <c r="I156" s="506"/>
      <c r="J156" s="500">
        <v>1</v>
      </c>
      <c r="K156" s="397" t="s">
        <v>610</v>
      </c>
      <c r="L156" s="395"/>
      <c r="M156" s="395"/>
      <c r="N156" s="395"/>
      <c r="O156" s="395"/>
      <c r="P156" s="395"/>
      <c r="Q156" s="395"/>
      <c r="R156" s="395"/>
      <c r="S156" s="395"/>
      <c r="T156" s="395"/>
      <c r="U156" s="395"/>
    </row>
    <row r="157" spans="1:21" s="407" customFormat="1" ht="12" hidden="1" customHeight="1" outlineLevel="2">
      <c r="A157" s="508"/>
      <c r="B157" s="503"/>
      <c r="C157" s="504"/>
      <c r="D157" s="531" t="s">
        <v>1332</v>
      </c>
      <c r="E157" s="505" t="s">
        <v>1333</v>
      </c>
      <c r="F157" s="503" t="s">
        <v>48</v>
      </c>
      <c r="G157" s="400" t="str">
        <f t="shared" si="15"/>
        <v>BB01-1</v>
      </c>
      <c r="H157" s="507">
        <v>1</v>
      </c>
      <c r="I157" s="506"/>
      <c r="J157" s="500">
        <v>1</v>
      </c>
      <c r="K157" s="397" t="s">
        <v>290</v>
      </c>
      <c r="L157" s="395"/>
      <c r="M157" s="395"/>
      <c r="N157" s="395"/>
      <c r="O157" s="395"/>
      <c r="P157" s="395"/>
      <c r="Q157" s="395"/>
      <c r="R157" s="395"/>
      <c r="S157" s="395"/>
      <c r="T157" s="395"/>
      <c r="U157" s="395"/>
    </row>
    <row r="158" spans="1:21" s="407" customFormat="1" ht="12" hidden="1" customHeight="1" outlineLevel="2">
      <c r="A158" s="508"/>
      <c r="B158" s="503"/>
      <c r="C158" s="504"/>
      <c r="D158" s="531" t="s">
        <v>1334</v>
      </c>
      <c r="E158" s="505" t="s">
        <v>1335</v>
      </c>
      <c r="F158" s="503" t="s">
        <v>48</v>
      </c>
      <c r="G158" s="400" t="str">
        <f t="shared" si="15"/>
        <v>BB01-1</v>
      </c>
      <c r="H158" s="507">
        <v>1</v>
      </c>
      <c r="I158" s="506"/>
      <c r="J158" s="500">
        <v>1</v>
      </c>
      <c r="K158" s="397" t="s">
        <v>610</v>
      </c>
      <c r="L158" s="395"/>
      <c r="M158" s="395"/>
      <c r="N158" s="395"/>
      <c r="O158" s="395"/>
      <c r="P158" s="395"/>
      <c r="Q158" s="395"/>
      <c r="R158" s="395"/>
      <c r="S158" s="395"/>
      <c r="T158" s="395"/>
      <c r="U158" s="395"/>
    </row>
    <row r="159" spans="1:21" s="407" customFormat="1" ht="12" hidden="1" customHeight="1" outlineLevel="2">
      <c r="A159" s="508"/>
      <c r="B159" s="503"/>
      <c r="C159" s="504"/>
      <c r="D159" s="531" t="s">
        <v>1336</v>
      </c>
      <c r="E159" s="505" t="s">
        <v>1337</v>
      </c>
      <c r="F159" s="503" t="s">
        <v>48</v>
      </c>
      <c r="G159" s="400" t="str">
        <f t="shared" si="15"/>
        <v>BB01-1</v>
      </c>
      <c r="H159" s="507">
        <v>1</v>
      </c>
      <c r="I159" s="506"/>
      <c r="J159" s="500">
        <v>1</v>
      </c>
      <c r="K159" s="397" t="s">
        <v>290</v>
      </c>
      <c r="L159" s="395"/>
      <c r="M159" s="395"/>
      <c r="N159" s="395"/>
      <c r="O159" s="395"/>
      <c r="P159" s="395"/>
      <c r="Q159" s="395"/>
      <c r="R159" s="395"/>
      <c r="S159" s="395"/>
      <c r="T159" s="395"/>
      <c r="U159" s="395"/>
    </row>
    <row r="160" spans="1:21" s="407" customFormat="1" ht="12" hidden="1" customHeight="1" outlineLevel="2">
      <c r="A160" s="508"/>
      <c r="B160" s="503"/>
      <c r="C160" s="504"/>
      <c r="D160" s="531" t="s">
        <v>1338</v>
      </c>
      <c r="E160" s="505" t="s">
        <v>1339</v>
      </c>
      <c r="F160" s="503" t="s">
        <v>48</v>
      </c>
      <c r="G160" s="400" t="str">
        <f t="shared" si="15"/>
        <v>BB01-1</v>
      </c>
      <c r="H160" s="507">
        <v>1</v>
      </c>
      <c r="I160" s="506"/>
      <c r="J160" s="500">
        <v>1</v>
      </c>
      <c r="K160" s="397" t="s">
        <v>290</v>
      </c>
      <c r="L160" s="395"/>
      <c r="M160" s="395"/>
      <c r="N160" s="395"/>
      <c r="O160" s="395"/>
      <c r="P160" s="395"/>
      <c r="Q160" s="395"/>
      <c r="R160" s="395"/>
      <c r="S160" s="395"/>
      <c r="T160" s="395"/>
      <c r="U160" s="395"/>
    </row>
    <row r="161" spans="1:21" s="407" customFormat="1" ht="12" hidden="1" customHeight="1" outlineLevel="2">
      <c r="A161" s="508"/>
      <c r="B161" s="503"/>
      <c r="C161" s="504"/>
      <c r="D161" s="531" t="s">
        <v>1340</v>
      </c>
      <c r="E161" s="505" t="s">
        <v>1341</v>
      </c>
      <c r="F161" s="503" t="s">
        <v>48</v>
      </c>
      <c r="G161" s="400" t="str">
        <f t="shared" si="15"/>
        <v>BB01-1</v>
      </c>
      <c r="H161" s="507">
        <v>1</v>
      </c>
      <c r="I161" s="506"/>
      <c r="J161" s="500">
        <v>1</v>
      </c>
      <c r="K161" s="397" t="s">
        <v>610</v>
      </c>
      <c r="L161" s="395"/>
      <c r="M161" s="395"/>
      <c r="N161" s="395"/>
      <c r="O161" s="395"/>
      <c r="P161" s="395"/>
      <c r="Q161" s="395"/>
      <c r="R161" s="395"/>
      <c r="S161" s="395"/>
      <c r="T161" s="395"/>
      <c r="U161" s="395"/>
    </row>
    <row r="162" spans="1:21" s="407" customFormat="1" ht="12" hidden="1" customHeight="1" outlineLevel="2">
      <c r="A162" s="508"/>
      <c r="B162" s="503"/>
      <c r="C162" s="504"/>
      <c r="D162" s="531" t="s">
        <v>1342</v>
      </c>
      <c r="E162" s="505" t="s">
        <v>1343</v>
      </c>
      <c r="F162" s="503" t="s">
        <v>48</v>
      </c>
      <c r="G162" s="400" t="str">
        <f t="shared" si="15"/>
        <v>BB01-1</v>
      </c>
      <c r="H162" s="507">
        <v>1</v>
      </c>
      <c r="I162" s="506"/>
      <c r="J162" s="500">
        <v>1</v>
      </c>
      <c r="K162" s="397" t="s">
        <v>1222</v>
      </c>
      <c r="L162" s="395"/>
      <c r="M162" s="395"/>
      <c r="N162" s="395"/>
      <c r="O162" s="395"/>
      <c r="P162" s="395"/>
      <c r="Q162" s="395"/>
      <c r="R162" s="395"/>
      <c r="S162" s="395"/>
      <c r="T162" s="395"/>
      <c r="U162" s="395"/>
    </row>
    <row r="163" spans="1:21" s="407" customFormat="1" ht="12" hidden="1" customHeight="1" outlineLevel="2">
      <c r="A163" s="508"/>
      <c r="B163" s="503"/>
      <c r="C163" s="504"/>
      <c r="D163" s="531" t="s">
        <v>1344</v>
      </c>
      <c r="E163" s="505" t="s">
        <v>1345</v>
      </c>
      <c r="F163" s="503" t="s">
        <v>48</v>
      </c>
      <c r="G163" s="400" t="str">
        <f t="shared" si="15"/>
        <v>BB01-1</v>
      </c>
      <c r="H163" s="507">
        <v>1</v>
      </c>
      <c r="I163" s="506"/>
      <c r="J163" s="500">
        <v>1</v>
      </c>
      <c r="K163" s="397" t="s">
        <v>1222</v>
      </c>
      <c r="L163" s="395"/>
      <c r="M163" s="395"/>
      <c r="N163" s="395"/>
      <c r="O163" s="395"/>
      <c r="P163" s="395"/>
      <c r="Q163" s="395"/>
      <c r="R163" s="395"/>
      <c r="S163" s="395"/>
      <c r="T163" s="395"/>
      <c r="U163" s="395"/>
    </row>
    <row r="164" spans="1:21" s="407" customFormat="1" ht="12" hidden="1" customHeight="1" outlineLevel="2">
      <c r="A164" s="508"/>
      <c r="B164" s="503"/>
      <c r="C164" s="504"/>
      <c r="D164" s="531" t="s">
        <v>1346</v>
      </c>
      <c r="E164" s="505" t="s">
        <v>1347</v>
      </c>
      <c r="F164" s="503" t="s">
        <v>48</v>
      </c>
      <c r="G164" s="400" t="str">
        <f t="shared" si="15"/>
        <v>BB01-1</v>
      </c>
      <c r="H164" s="507">
        <v>1</v>
      </c>
      <c r="I164" s="506"/>
      <c r="J164" s="500">
        <v>1</v>
      </c>
      <c r="K164" s="397" t="s">
        <v>610</v>
      </c>
      <c r="L164" s="395"/>
      <c r="M164" s="395"/>
      <c r="N164" s="395"/>
      <c r="O164" s="395"/>
      <c r="P164" s="395"/>
      <c r="Q164" s="395"/>
      <c r="R164" s="395"/>
      <c r="S164" s="395"/>
      <c r="T164" s="395"/>
      <c r="U164" s="395"/>
    </row>
    <row r="165" spans="1:21" s="407" customFormat="1" ht="12" hidden="1" customHeight="1" outlineLevel="2">
      <c r="A165" s="508"/>
      <c r="B165" s="503"/>
      <c r="C165" s="504"/>
      <c r="D165" s="531" t="s">
        <v>1348</v>
      </c>
      <c r="E165" s="505" t="s">
        <v>1349</v>
      </c>
      <c r="F165" s="503" t="s">
        <v>48</v>
      </c>
      <c r="G165" s="400" t="str">
        <f t="shared" si="15"/>
        <v>BB01-1</v>
      </c>
      <c r="H165" s="507">
        <v>1</v>
      </c>
      <c r="I165" s="506"/>
      <c r="J165" s="500">
        <v>1</v>
      </c>
      <c r="K165" s="397" t="s">
        <v>610</v>
      </c>
      <c r="L165" s="395"/>
      <c r="M165" s="395"/>
      <c r="N165" s="395"/>
      <c r="O165" s="395"/>
      <c r="P165" s="395"/>
      <c r="Q165" s="395"/>
      <c r="R165" s="395"/>
      <c r="S165" s="395"/>
      <c r="T165" s="395"/>
      <c r="U165" s="395"/>
    </row>
    <row r="166" spans="1:21" s="407" customFormat="1" ht="12" hidden="1" customHeight="1" outlineLevel="2">
      <c r="A166" s="508"/>
      <c r="B166" s="503"/>
      <c r="C166" s="504"/>
      <c r="D166" s="531" t="s">
        <v>1350</v>
      </c>
      <c r="E166" s="505" t="s">
        <v>1351</v>
      </c>
      <c r="F166" s="503" t="s">
        <v>48</v>
      </c>
      <c r="G166" s="400" t="str">
        <f t="shared" si="15"/>
        <v>BB01-1</v>
      </c>
      <c r="H166" s="507">
        <v>1</v>
      </c>
      <c r="I166" s="506"/>
      <c r="J166" s="500">
        <v>1</v>
      </c>
      <c r="K166" s="397" t="s">
        <v>1222</v>
      </c>
      <c r="L166" s="395"/>
      <c r="M166" s="395"/>
      <c r="N166" s="395"/>
      <c r="O166" s="395"/>
      <c r="P166" s="395"/>
      <c r="Q166" s="395"/>
      <c r="R166" s="395"/>
      <c r="S166" s="395"/>
      <c r="T166" s="395"/>
      <c r="U166" s="395"/>
    </row>
    <row r="167" spans="1:21" s="407" customFormat="1" ht="12" hidden="1" customHeight="1" outlineLevel="2">
      <c r="A167" s="508"/>
      <c r="B167" s="503"/>
      <c r="C167" s="504"/>
      <c r="D167" s="531" t="s">
        <v>1352</v>
      </c>
      <c r="E167" s="505" t="s">
        <v>1353</v>
      </c>
      <c r="F167" s="503" t="s">
        <v>48</v>
      </c>
      <c r="G167" s="400" t="str">
        <f t="shared" si="15"/>
        <v>BB01-1</v>
      </c>
      <c r="H167" s="507">
        <v>1</v>
      </c>
      <c r="I167" s="506"/>
      <c r="J167" s="500">
        <v>1</v>
      </c>
      <c r="K167" s="397" t="s">
        <v>1222</v>
      </c>
      <c r="L167" s="395"/>
      <c r="M167" s="395"/>
      <c r="N167" s="395"/>
      <c r="O167" s="395"/>
      <c r="P167" s="395"/>
      <c r="Q167" s="395"/>
      <c r="R167" s="395"/>
      <c r="S167" s="395"/>
      <c r="T167" s="395"/>
      <c r="U167" s="395"/>
    </row>
    <row r="168" spans="1:21" s="407" customFormat="1" ht="12" hidden="1" customHeight="1" outlineLevel="2">
      <c r="A168" s="508"/>
      <c r="B168" s="503"/>
      <c r="C168" s="504"/>
      <c r="D168" s="531" t="s">
        <v>1354</v>
      </c>
      <c r="E168" s="505" t="s">
        <v>1355</v>
      </c>
      <c r="F168" s="503" t="s">
        <v>48</v>
      </c>
      <c r="G168" s="400" t="str">
        <f t="shared" si="15"/>
        <v>BB01-1</v>
      </c>
      <c r="H168" s="507">
        <v>1</v>
      </c>
      <c r="I168" s="506"/>
      <c r="J168" s="500">
        <v>1</v>
      </c>
      <c r="K168" s="397" t="s">
        <v>1222</v>
      </c>
      <c r="L168" s="395"/>
      <c r="M168" s="395"/>
      <c r="N168" s="395"/>
      <c r="O168" s="395"/>
      <c r="P168" s="395"/>
      <c r="Q168" s="395"/>
      <c r="R168" s="395"/>
      <c r="S168" s="395"/>
      <c r="T168" s="395"/>
      <c r="U168" s="395"/>
    </row>
    <row r="169" spans="1:21" s="407" customFormat="1" ht="12" hidden="1" customHeight="1" outlineLevel="2">
      <c r="A169" s="508"/>
      <c r="B169" s="503"/>
      <c r="C169" s="504"/>
      <c r="D169" s="531" t="s">
        <v>1356</v>
      </c>
      <c r="E169" s="505" t="s">
        <v>1357</v>
      </c>
      <c r="F169" s="503" t="s">
        <v>48</v>
      </c>
      <c r="G169" s="400" t="str">
        <f t="shared" si="15"/>
        <v>BB01-1</v>
      </c>
      <c r="H169" s="507">
        <v>1</v>
      </c>
      <c r="I169" s="506"/>
      <c r="J169" s="500">
        <v>1</v>
      </c>
      <c r="K169" s="397" t="s">
        <v>1222</v>
      </c>
      <c r="L169" s="395"/>
      <c r="M169" s="395"/>
      <c r="N169" s="395"/>
      <c r="O169" s="395"/>
      <c r="P169" s="395"/>
      <c r="Q169" s="395"/>
      <c r="R169" s="395"/>
      <c r="S169" s="395"/>
      <c r="T169" s="395"/>
      <c r="U169" s="395"/>
    </row>
    <row r="170" spans="1:21" s="407" customFormat="1" ht="12" hidden="1" customHeight="1" outlineLevel="2">
      <c r="A170" s="508"/>
      <c r="B170" s="503"/>
      <c r="C170" s="504"/>
      <c r="D170" s="531" t="s">
        <v>1358</v>
      </c>
      <c r="E170" s="505" t="s">
        <v>1359</v>
      </c>
      <c r="F170" s="503" t="s">
        <v>48</v>
      </c>
      <c r="G170" s="400" t="str">
        <f t="shared" si="15"/>
        <v>BB01-1</v>
      </c>
      <c r="H170" s="507">
        <v>1</v>
      </c>
      <c r="I170" s="506"/>
      <c r="J170" s="500">
        <v>1</v>
      </c>
      <c r="K170" s="397" t="s">
        <v>610</v>
      </c>
      <c r="L170" s="395"/>
      <c r="M170" s="395"/>
      <c r="N170" s="395"/>
      <c r="O170" s="395"/>
      <c r="P170" s="395"/>
      <c r="Q170" s="395"/>
      <c r="R170" s="395"/>
      <c r="S170" s="395"/>
      <c r="T170" s="395"/>
      <c r="U170" s="395"/>
    </row>
    <row r="171" spans="1:21" s="407" customFormat="1" ht="12" hidden="1" customHeight="1" outlineLevel="2">
      <c r="A171" s="508"/>
      <c r="B171" s="503"/>
      <c r="C171" s="504"/>
      <c r="D171" s="531" t="s">
        <v>1360</v>
      </c>
      <c r="E171" s="505" t="s">
        <v>1361</v>
      </c>
      <c r="F171" s="503" t="s">
        <v>48</v>
      </c>
      <c r="G171" s="400" t="str">
        <f t="shared" si="15"/>
        <v>BB01-1</v>
      </c>
      <c r="H171" s="507">
        <v>1</v>
      </c>
      <c r="I171" s="506"/>
      <c r="J171" s="500">
        <v>1</v>
      </c>
      <c r="K171" s="397" t="s">
        <v>610</v>
      </c>
      <c r="L171" s="395"/>
      <c r="M171" s="395"/>
      <c r="N171" s="395"/>
      <c r="O171" s="395"/>
      <c r="P171" s="395"/>
      <c r="Q171" s="395"/>
      <c r="R171" s="395"/>
      <c r="S171" s="395"/>
      <c r="T171" s="395"/>
      <c r="U171" s="395"/>
    </row>
    <row r="172" spans="1:21" s="407" customFormat="1" ht="12" hidden="1" customHeight="1" outlineLevel="2">
      <c r="A172" s="508"/>
      <c r="B172" s="503"/>
      <c r="C172" s="504"/>
      <c r="D172" s="531" t="s">
        <v>1362</v>
      </c>
      <c r="E172" s="505" t="s">
        <v>1363</v>
      </c>
      <c r="F172" s="503" t="s">
        <v>48</v>
      </c>
      <c r="G172" s="400" t="str">
        <f t="shared" si="15"/>
        <v>BB01-1</v>
      </c>
      <c r="H172" s="507">
        <v>1</v>
      </c>
      <c r="I172" s="506"/>
      <c r="J172" s="500">
        <v>1</v>
      </c>
      <c r="K172" s="397" t="s">
        <v>610</v>
      </c>
      <c r="L172" s="395"/>
      <c r="M172" s="395"/>
      <c r="N172" s="395"/>
      <c r="O172" s="395"/>
      <c r="P172" s="395"/>
      <c r="Q172" s="395"/>
      <c r="R172" s="395"/>
      <c r="S172" s="395"/>
      <c r="T172" s="395"/>
      <c r="U172" s="395"/>
    </row>
    <row r="173" spans="1:21" s="407" customFormat="1" ht="12" hidden="1" customHeight="1" outlineLevel="2">
      <c r="A173" s="508"/>
      <c r="B173" s="503"/>
      <c r="C173" s="504"/>
      <c r="D173" s="531" t="s">
        <v>1364</v>
      </c>
      <c r="E173" s="505" t="s">
        <v>1365</v>
      </c>
      <c r="F173" s="503" t="s">
        <v>48</v>
      </c>
      <c r="G173" s="400" t="str">
        <f t="shared" si="15"/>
        <v>BB01-1</v>
      </c>
      <c r="H173" s="507">
        <v>1</v>
      </c>
      <c r="I173" s="506"/>
      <c r="J173" s="500">
        <v>1</v>
      </c>
      <c r="K173" s="397" t="s">
        <v>610</v>
      </c>
      <c r="L173" s="395"/>
      <c r="M173" s="395"/>
      <c r="N173" s="395"/>
      <c r="O173" s="395"/>
      <c r="P173" s="395"/>
      <c r="Q173" s="395"/>
      <c r="R173" s="395"/>
      <c r="S173" s="395"/>
      <c r="T173" s="395"/>
      <c r="U173" s="395"/>
    </row>
    <row r="174" spans="1:21" s="407" customFormat="1" ht="12" hidden="1" customHeight="1" outlineLevel="2">
      <c r="A174" s="508"/>
      <c r="B174" s="503"/>
      <c r="C174" s="504"/>
      <c r="D174" s="531" t="s">
        <v>1366</v>
      </c>
      <c r="E174" s="505" t="s">
        <v>1367</v>
      </c>
      <c r="F174" s="503" t="s">
        <v>48</v>
      </c>
      <c r="G174" s="400" t="str">
        <f t="shared" si="15"/>
        <v>BB01-1</v>
      </c>
      <c r="H174" s="507">
        <v>1</v>
      </c>
      <c r="I174" s="506"/>
      <c r="J174" s="500">
        <v>1</v>
      </c>
      <c r="K174" s="397" t="s">
        <v>610</v>
      </c>
      <c r="L174" s="395"/>
      <c r="M174" s="395"/>
      <c r="N174" s="395"/>
      <c r="O174" s="395"/>
      <c r="P174" s="395"/>
      <c r="Q174" s="395"/>
      <c r="R174" s="395"/>
      <c r="S174" s="395"/>
      <c r="T174" s="395"/>
      <c r="U174" s="395"/>
    </row>
    <row r="175" spans="1:21" s="407" customFormat="1" ht="12" hidden="1" customHeight="1" outlineLevel="2">
      <c r="A175" s="508"/>
      <c r="B175" s="503"/>
      <c r="C175" s="504"/>
      <c r="D175" s="531" t="s">
        <v>1368</v>
      </c>
      <c r="E175" s="505" t="s">
        <v>1369</v>
      </c>
      <c r="F175" s="503" t="s">
        <v>48</v>
      </c>
      <c r="G175" s="400" t="str">
        <f t="shared" si="15"/>
        <v>BB01-1</v>
      </c>
      <c r="H175" s="507">
        <v>1</v>
      </c>
      <c r="I175" s="506"/>
      <c r="J175" s="500">
        <v>1</v>
      </c>
      <c r="K175" s="397" t="s">
        <v>610</v>
      </c>
      <c r="L175" s="395"/>
      <c r="M175" s="395"/>
      <c r="N175" s="395"/>
      <c r="O175" s="395"/>
      <c r="P175" s="395"/>
      <c r="Q175" s="395"/>
      <c r="R175" s="395"/>
      <c r="S175" s="395"/>
      <c r="T175" s="395"/>
      <c r="U175" s="395"/>
    </row>
    <row r="176" spans="1:21" s="407" customFormat="1" ht="12" hidden="1" customHeight="1" outlineLevel="2">
      <c r="A176" s="508"/>
      <c r="B176" s="503"/>
      <c r="C176" s="504"/>
      <c r="D176" s="531" t="s">
        <v>1370</v>
      </c>
      <c r="E176" s="505" t="s">
        <v>1371</v>
      </c>
      <c r="F176" s="503" t="s">
        <v>48</v>
      </c>
      <c r="G176" s="400" t="str">
        <f t="shared" si="15"/>
        <v>BB01-1</v>
      </c>
      <c r="H176" s="507">
        <v>1</v>
      </c>
      <c r="I176" s="506"/>
      <c r="J176" s="500">
        <v>1</v>
      </c>
      <c r="K176" s="397" t="s">
        <v>610</v>
      </c>
      <c r="L176" s="395"/>
      <c r="M176" s="395"/>
      <c r="N176" s="395"/>
      <c r="O176" s="395"/>
      <c r="P176" s="395"/>
      <c r="Q176" s="395"/>
      <c r="R176" s="395"/>
      <c r="S176" s="395"/>
      <c r="T176" s="395"/>
      <c r="U176" s="395"/>
    </row>
    <row r="177" spans="1:21" s="407" customFormat="1" ht="12" hidden="1" customHeight="1" outlineLevel="2">
      <c r="A177" s="508"/>
      <c r="B177" s="503"/>
      <c r="C177" s="504"/>
      <c r="D177" s="531" t="s">
        <v>1372</v>
      </c>
      <c r="E177" s="505" t="s">
        <v>1373</v>
      </c>
      <c r="F177" s="503" t="s">
        <v>48</v>
      </c>
      <c r="G177" s="400" t="str">
        <f t="shared" si="15"/>
        <v>BB01-1</v>
      </c>
      <c r="H177" s="507">
        <v>1</v>
      </c>
      <c r="I177" s="506"/>
      <c r="J177" s="500">
        <v>1</v>
      </c>
      <c r="K177" s="397" t="s">
        <v>610</v>
      </c>
      <c r="L177" s="395"/>
      <c r="M177" s="395"/>
      <c r="N177" s="395"/>
      <c r="O177" s="395"/>
      <c r="P177" s="395"/>
      <c r="Q177" s="395"/>
      <c r="R177" s="395"/>
      <c r="S177" s="395"/>
      <c r="T177" s="395"/>
      <c r="U177" s="395"/>
    </row>
    <row r="178" spans="1:21" s="407" customFormat="1" ht="12" hidden="1" customHeight="1" outlineLevel="2">
      <c r="A178" s="508"/>
      <c r="B178" s="503"/>
      <c r="C178" s="504"/>
      <c r="D178" s="531" t="s">
        <v>1374</v>
      </c>
      <c r="E178" s="505" t="s">
        <v>1375</v>
      </c>
      <c r="F178" s="503" t="s">
        <v>48</v>
      </c>
      <c r="G178" s="400" t="str">
        <f t="shared" si="15"/>
        <v>BB01-1</v>
      </c>
      <c r="H178" s="507">
        <v>1</v>
      </c>
      <c r="I178" s="506"/>
      <c r="J178" s="500">
        <v>1</v>
      </c>
      <c r="K178" s="397" t="s">
        <v>290</v>
      </c>
      <c r="L178" s="395"/>
      <c r="M178" s="395"/>
      <c r="N178" s="395"/>
      <c r="O178" s="395"/>
      <c r="P178" s="395"/>
      <c r="Q178" s="395"/>
      <c r="R178" s="395"/>
      <c r="S178" s="395"/>
      <c r="T178" s="395"/>
      <c r="U178" s="395"/>
    </row>
    <row r="179" spans="1:21" s="407" customFormat="1" ht="12" hidden="1" customHeight="1" outlineLevel="2">
      <c r="A179" s="508"/>
      <c r="B179" s="503"/>
      <c r="C179" s="504"/>
      <c r="D179" s="531" t="s">
        <v>1376</v>
      </c>
      <c r="E179" s="505" t="s">
        <v>1377</v>
      </c>
      <c r="F179" s="503" t="s">
        <v>48</v>
      </c>
      <c r="G179" s="400" t="str">
        <f t="shared" si="15"/>
        <v>BB01-1</v>
      </c>
      <c r="H179" s="507">
        <v>1</v>
      </c>
      <c r="I179" s="506"/>
      <c r="J179" s="500">
        <v>1</v>
      </c>
      <c r="K179" s="397" t="s">
        <v>290</v>
      </c>
      <c r="L179" s="395"/>
      <c r="M179" s="395"/>
      <c r="N179" s="395"/>
      <c r="O179" s="395"/>
      <c r="P179" s="395"/>
      <c r="Q179" s="395"/>
      <c r="R179" s="395"/>
      <c r="S179" s="395"/>
      <c r="T179" s="395"/>
      <c r="U179" s="395"/>
    </row>
    <row r="180" spans="1:21" s="407" customFormat="1" ht="12" hidden="1" customHeight="1" outlineLevel="2">
      <c r="A180" s="508"/>
      <c r="B180" s="503"/>
      <c r="C180" s="504"/>
      <c r="D180" s="531" t="s">
        <v>1378</v>
      </c>
      <c r="E180" s="505" t="s">
        <v>1379</v>
      </c>
      <c r="F180" s="503" t="s">
        <v>48</v>
      </c>
      <c r="G180" s="400" t="str">
        <f t="shared" si="15"/>
        <v>BB01-1</v>
      </c>
      <c r="H180" s="507">
        <v>1</v>
      </c>
      <c r="I180" s="506"/>
      <c r="J180" s="500">
        <v>1</v>
      </c>
      <c r="K180" s="397" t="s">
        <v>193</v>
      </c>
      <c r="L180" s="395"/>
      <c r="M180" s="395"/>
      <c r="N180" s="395"/>
      <c r="O180" s="395"/>
      <c r="P180" s="395"/>
      <c r="Q180" s="395"/>
      <c r="R180" s="395"/>
      <c r="S180" s="395"/>
      <c r="T180" s="395"/>
      <c r="U180" s="395"/>
    </row>
    <row r="181" spans="1:21" s="407" customFormat="1" ht="12" hidden="1" customHeight="1" outlineLevel="2">
      <c r="A181" s="508"/>
      <c r="B181" s="503"/>
      <c r="C181" s="504"/>
      <c r="D181" s="531" t="s">
        <v>1380</v>
      </c>
      <c r="E181" s="505" t="s">
        <v>1381</v>
      </c>
      <c r="F181" s="503" t="s">
        <v>48</v>
      </c>
      <c r="G181" s="400" t="str">
        <f t="shared" si="15"/>
        <v>BB01-1</v>
      </c>
      <c r="H181" s="507">
        <v>1</v>
      </c>
      <c r="I181" s="506"/>
      <c r="J181" s="500">
        <v>1</v>
      </c>
      <c r="K181" s="397" t="s">
        <v>610</v>
      </c>
      <c r="L181" s="395"/>
      <c r="M181" s="395"/>
      <c r="N181" s="395"/>
      <c r="O181" s="395"/>
      <c r="P181" s="395"/>
      <c r="Q181" s="395"/>
      <c r="R181" s="395"/>
      <c r="S181" s="395"/>
      <c r="T181" s="395"/>
      <c r="U181" s="395"/>
    </row>
    <row r="182" spans="1:21" s="407" customFormat="1" ht="12" hidden="1" customHeight="1" outlineLevel="2">
      <c r="A182" s="508"/>
      <c r="B182" s="503"/>
      <c r="C182" s="504"/>
      <c r="D182" s="531" t="s">
        <v>1382</v>
      </c>
      <c r="E182" s="505" t="s">
        <v>1383</v>
      </c>
      <c r="F182" s="503" t="s">
        <v>48</v>
      </c>
      <c r="G182" s="400" t="str">
        <f t="shared" si="15"/>
        <v>BB01-1</v>
      </c>
      <c r="H182" s="507">
        <v>1</v>
      </c>
      <c r="I182" s="506"/>
      <c r="J182" s="500">
        <v>1</v>
      </c>
      <c r="K182" s="397" t="s">
        <v>1222</v>
      </c>
      <c r="L182" s="395"/>
      <c r="M182" s="395"/>
      <c r="N182" s="395"/>
      <c r="O182" s="395"/>
      <c r="P182" s="395"/>
      <c r="Q182" s="395"/>
      <c r="R182" s="395"/>
      <c r="S182" s="395"/>
      <c r="T182" s="395"/>
      <c r="U182" s="395"/>
    </row>
    <row r="183" spans="1:21" s="407" customFormat="1" ht="12" hidden="1" customHeight="1" outlineLevel="2">
      <c r="A183" s="508"/>
      <c r="B183" s="503"/>
      <c r="C183" s="504"/>
      <c r="D183" s="531" t="s">
        <v>1384</v>
      </c>
      <c r="E183" s="505" t="s">
        <v>1385</v>
      </c>
      <c r="F183" s="503" t="s">
        <v>48</v>
      </c>
      <c r="G183" s="400" t="str">
        <f t="shared" si="15"/>
        <v>BB01-1</v>
      </c>
      <c r="H183" s="507">
        <v>1</v>
      </c>
      <c r="I183" s="506"/>
      <c r="J183" s="500">
        <v>1</v>
      </c>
      <c r="K183" s="397" t="s">
        <v>1222</v>
      </c>
      <c r="L183" s="395"/>
      <c r="M183" s="395"/>
      <c r="N183" s="395"/>
      <c r="O183" s="395"/>
      <c r="P183" s="395"/>
      <c r="Q183" s="395"/>
      <c r="R183" s="395"/>
      <c r="S183" s="395"/>
      <c r="T183" s="395"/>
      <c r="U183" s="395"/>
    </row>
    <row r="184" spans="1:21" s="407" customFormat="1" ht="12" hidden="1" customHeight="1" outlineLevel="2">
      <c r="A184" s="508"/>
      <c r="B184" s="503"/>
      <c r="C184" s="504"/>
      <c r="D184" s="531" t="s">
        <v>1386</v>
      </c>
      <c r="E184" s="505" t="s">
        <v>1387</v>
      </c>
      <c r="F184" s="503" t="s">
        <v>48</v>
      </c>
      <c r="G184" s="400" t="str">
        <f t="shared" si="15"/>
        <v>BB01-1</v>
      </c>
      <c r="H184" s="507">
        <v>1</v>
      </c>
      <c r="I184" s="506"/>
      <c r="J184" s="500">
        <v>1</v>
      </c>
      <c r="K184" s="397" t="s">
        <v>193</v>
      </c>
      <c r="L184" s="395"/>
      <c r="M184" s="395"/>
      <c r="N184" s="395"/>
      <c r="O184" s="395"/>
      <c r="P184" s="395"/>
      <c r="Q184" s="395"/>
      <c r="R184" s="395"/>
      <c r="S184" s="395"/>
      <c r="T184" s="395"/>
      <c r="U184" s="395"/>
    </row>
    <row r="185" spans="1:21" s="407" customFormat="1" ht="12" hidden="1" customHeight="1" outlineLevel="2">
      <c r="A185" s="508"/>
      <c r="B185" s="503"/>
      <c r="C185" s="504"/>
      <c r="D185" s="531" t="s">
        <v>1388</v>
      </c>
      <c r="E185" s="505" t="s">
        <v>1389</v>
      </c>
      <c r="F185" s="503" t="s">
        <v>48</v>
      </c>
      <c r="G185" s="400" t="str">
        <f t="shared" si="15"/>
        <v>BB01-1</v>
      </c>
      <c r="H185" s="507">
        <v>1</v>
      </c>
      <c r="I185" s="506"/>
      <c r="J185" s="500">
        <v>1</v>
      </c>
      <c r="K185" s="397" t="s">
        <v>610</v>
      </c>
      <c r="L185" s="395"/>
      <c r="M185" s="395"/>
      <c r="N185" s="395"/>
      <c r="O185" s="395"/>
      <c r="P185" s="395"/>
      <c r="Q185" s="395"/>
      <c r="R185" s="395"/>
      <c r="S185" s="395"/>
      <c r="T185" s="395"/>
      <c r="U185" s="395"/>
    </row>
    <row r="186" spans="1:21" s="407" customFormat="1" ht="12" hidden="1" customHeight="1" outlineLevel="2">
      <c r="A186" s="508"/>
      <c r="B186" s="503"/>
      <c r="C186" s="504"/>
      <c r="D186" s="531" t="s">
        <v>1390</v>
      </c>
      <c r="E186" s="505" t="s">
        <v>1391</v>
      </c>
      <c r="F186" s="503" t="s">
        <v>48</v>
      </c>
      <c r="G186" s="400" t="str">
        <f t="shared" si="15"/>
        <v>BB01-1</v>
      </c>
      <c r="H186" s="507">
        <v>1</v>
      </c>
      <c r="I186" s="506"/>
      <c r="J186" s="500">
        <v>1</v>
      </c>
      <c r="K186" s="397" t="s">
        <v>610</v>
      </c>
      <c r="L186" s="395"/>
      <c r="M186" s="395"/>
      <c r="N186" s="395"/>
      <c r="O186" s="395"/>
      <c r="P186" s="395"/>
      <c r="Q186" s="395"/>
      <c r="R186" s="395"/>
      <c r="S186" s="395"/>
      <c r="T186" s="395"/>
      <c r="U186" s="395"/>
    </row>
    <row r="187" spans="1:21" s="407" customFormat="1" ht="12" hidden="1" customHeight="1" outlineLevel="2">
      <c r="A187" s="508"/>
      <c r="B187" s="503"/>
      <c r="C187" s="504"/>
      <c r="D187" s="531" t="s">
        <v>1392</v>
      </c>
      <c r="E187" s="505" t="s">
        <v>1393</v>
      </c>
      <c r="F187" s="503" t="s">
        <v>48</v>
      </c>
      <c r="G187" s="400" t="str">
        <f t="shared" si="15"/>
        <v>BB01-1</v>
      </c>
      <c r="H187" s="507">
        <v>1</v>
      </c>
      <c r="I187" s="506"/>
      <c r="J187" s="500">
        <v>1</v>
      </c>
      <c r="K187" s="397" t="s">
        <v>610</v>
      </c>
      <c r="L187" s="395"/>
      <c r="M187" s="395"/>
      <c r="N187" s="395"/>
      <c r="O187" s="395"/>
      <c r="P187" s="395"/>
      <c r="Q187" s="395"/>
      <c r="R187" s="395"/>
      <c r="S187" s="395"/>
      <c r="T187" s="395"/>
      <c r="U187" s="395"/>
    </row>
    <row r="188" spans="1:21" s="407" customFormat="1" ht="12" hidden="1" customHeight="1" outlineLevel="2">
      <c r="A188" s="508"/>
      <c r="B188" s="503"/>
      <c r="C188" s="504"/>
      <c r="D188" s="531" t="s">
        <v>1394</v>
      </c>
      <c r="E188" s="505" t="s">
        <v>1395</v>
      </c>
      <c r="F188" s="503" t="s">
        <v>48</v>
      </c>
      <c r="G188" s="400" t="str">
        <f t="shared" si="15"/>
        <v>BB01-1</v>
      </c>
      <c r="H188" s="507">
        <v>1</v>
      </c>
      <c r="I188" s="506"/>
      <c r="J188" s="500">
        <v>1</v>
      </c>
      <c r="K188" s="397" t="s">
        <v>610</v>
      </c>
      <c r="L188" s="395"/>
      <c r="M188" s="395"/>
      <c r="N188" s="395"/>
      <c r="O188" s="395"/>
      <c r="P188" s="395"/>
      <c r="Q188" s="395"/>
      <c r="R188" s="395"/>
      <c r="S188" s="395"/>
      <c r="T188" s="395"/>
      <c r="U188" s="395"/>
    </row>
    <row r="189" spans="1:21" s="407" customFormat="1" ht="12" hidden="1" customHeight="1" outlineLevel="2">
      <c r="A189" s="508"/>
      <c r="B189" s="503"/>
      <c r="C189" s="504"/>
      <c r="D189" s="531" t="s">
        <v>1396</v>
      </c>
      <c r="E189" s="505" t="s">
        <v>1397</v>
      </c>
      <c r="F189" s="503" t="s">
        <v>48</v>
      </c>
      <c r="G189" s="400" t="str">
        <f t="shared" si="15"/>
        <v>BB01-1</v>
      </c>
      <c r="H189" s="507">
        <v>1</v>
      </c>
      <c r="I189" s="506"/>
      <c r="J189" s="500">
        <v>1</v>
      </c>
      <c r="K189" s="397" t="s">
        <v>610</v>
      </c>
      <c r="L189" s="395"/>
      <c r="M189" s="395"/>
      <c r="N189" s="395"/>
      <c r="O189" s="395"/>
      <c r="P189" s="395"/>
      <c r="Q189" s="395"/>
      <c r="R189" s="395"/>
      <c r="S189" s="395"/>
      <c r="T189" s="395"/>
      <c r="U189" s="395"/>
    </row>
    <row r="190" spans="1:21" s="407" customFormat="1" ht="12" hidden="1" customHeight="1" outlineLevel="2">
      <c r="A190" s="508"/>
      <c r="B190" s="503"/>
      <c r="C190" s="504"/>
      <c r="D190" s="531" t="s">
        <v>1398</v>
      </c>
      <c r="E190" s="505" t="s">
        <v>1399</v>
      </c>
      <c r="F190" s="503" t="s">
        <v>48</v>
      </c>
      <c r="G190" s="400" t="str">
        <f t="shared" si="15"/>
        <v>BB01-1</v>
      </c>
      <c r="H190" s="507">
        <v>1</v>
      </c>
      <c r="I190" s="506"/>
      <c r="J190" s="500">
        <v>1</v>
      </c>
      <c r="K190" s="397" t="s">
        <v>610</v>
      </c>
      <c r="L190" s="395"/>
      <c r="M190" s="395"/>
      <c r="N190" s="395"/>
      <c r="O190" s="395"/>
      <c r="P190" s="395"/>
      <c r="Q190" s="395"/>
      <c r="R190" s="395"/>
      <c r="S190" s="395"/>
      <c r="T190" s="395"/>
      <c r="U190" s="395"/>
    </row>
    <row r="191" spans="1:21" s="407" customFormat="1" ht="12" hidden="1" customHeight="1" outlineLevel="2">
      <c r="A191" s="508"/>
      <c r="B191" s="503"/>
      <c r="C191" s="504"/>
      <c r="D191" s="531" t="s">
        <v>1400</v>
      </c>
      <c r="E191" s="505" t="s">
        <v>1401</v>
      </c>
      <c r="F191" s="503" t="s">
        <v>48</v>
      </c>
      <c r="G191" s="400" t="str">
        <f t="shared" si="15"/>
        <v>BB01-1</v>
      </c>
      <c r="H191" s="507">
        <v>1</v>
      </c>
      <c r="I191" s="506"/>
      <c r="J191" s="500">
        <v>1</v>
      </c>
      <c r="K191" s="397" t="s">
        <v>193</v>
      </c>
      <c r="L191" s="395"/>
      <c r="M191" s="395"/>
      <c r="N191" s="395"/>
      <c r="O191" s="395"/>
      <c r="P191" s="395"/>
      <c r="Q191" s="395"/>
      <c r="R191" s="395"/>
      <c r="S191" s="395"/>
      <c r="T191" s="395"/>
      <c r="U191" s="395"/>
    </row>
    <row r="192" spans="1:21" s="407" customFormat="1" ht="12" hidden="1" customHeight="1" outlineLevel="2">
      <c r="A192" s="508"/>
      <c r="B192" s="503"/>
      <c r="C192" s="504"/>
      <c r="D192" s="531" t="s">
        <v>1402</v>
      </c>
      <c r="E192" s="505" t="s">
        <v>1403</v>
      </c>
      <c r="F192" s="503" t="s">
        <v>48</v>
      </c>
      <c r="G192" s="400" t="str">
        <f t="shared" si="15"/>
        <v>BB01-1</v>
      </c>
      <c r="H192" s="507">
        <v>1</v>
      </c>
      <c r="I192" s="506"/>
      <c r="J192" s="500">
        <v>1</v>
      </c>
      <c r="K192" s="397" t="s">
        <v>610</v>
      </c>
      <c r="L192" s="395"/>
      <c r="M192" s="395"/>
      <c r="N192" s="395"/>
      <c r="O192" s="395"/>
      <c r="P192" s="395"/>
      <c r="Q192" s="395"/>
      <c r="R192" s="395"/>
      <c r="S192" s="395"/>
      <c r="T192" s="395"/>
      <c r="U192" s="395"/>
    </row>
    <row r="193" spans="1:21" s="407" customFormat="1" ht="12" hidden="1" customHeight="1" outlineLevel="2">
      <c r="A193" s="508"/>
      <c r="B193" s="503"/>
      <c r="C193" s="504"/>
      <c r="D193" s="531" t="s">
        <v>1404</v>
      </c>
      <c r="E193" s="505" t="s">
        <v>1405</v>
      </c>
      <c r="F193" s="503" t="s">
        <v>48</v>
      </c>
      <c r="G193" s="400" t="str">
        <f t="shared" si="15"/>
        <v>BB01-1</v>
      </c>
      <c r="H193" s="507">
        <v>1</v>
      </c>
      <c r="I193" s="506"/>
      <c r="J193" s="500">
        <v>1</v>
      </c>
      <c r="K193" s="397" t="s">
        <v>610</v>
      </c>
      <c r="L193" s="395"/>
      <c r="M193" s="395"/>
      <c r="N193" s="395"/>
      <c r="O193" s="395"/>
      <c r="P193" s="395"/>
      <c r="Q193" s="395"/>
      <c r="R193" s="395"/>
      <c r="S193" s="395"/>
      <c r="T193" s="395"/>
      <c r="U193" s="395"/>
    </row>
    <row r="194" spans="1:21" s="407" customFormat="1" ht="12" hidden="1" customHeight="1" outlineLevel="2">
      <c r="A194" s="508"/>
      <c r="B194" s="503"/>
      <c r="C194" s="504"/>
      <c r="D194" s="531" t="s">
        <v>1406</v>
      </c>
      <c r="E194" s="505" t="s">
        <v>1407</v>
      </c>
      <c r="F194" s="503" t="s">
        <v>48</v>
      </c>
      <c r="G194" s="400" t="str">
        <f t="shared" si="15"/>
        <v>BB01-1</v>
      </c>
      <c r="H194" s="507">
        <v>1</v>
      </c>
      <c r="I194" s="506"/>
      <c r="J194" s="500">
        <v>1</v>
      </c>
      <c r="K194" s="397" t="s">
        <v>610</v>
      </c>
      <c r="L194" s="395"/>
      <c r="M194" s="395"/>
      <c r="N194" s="395"/>
      <c r="O194" s="395"/>
      <c r="P194" s="395"/>
      <c r="Q194" s="395"/>
      <c r="R194" s="395"/>
      <c r="S194" s="395"/>
      <c r="T194" s="395"/>
      <c r="U194" s="395"/>
    </row>
    <row r="195" spans="1:21" s="407" customFormat="1" ht="12" hidden="1" customHeight="1" outlineLevel="2">
      <c r="A195" s="508"/>
      <c r="B195" s="503"/>
      <c r="C195" s="504"/>
      <c r="D195" s="531" t="s">
        <v>1408</v>
      </c>
      <c r="E195" s="505" t="s">
        <v>1409</v>
      </c>
      <c r="F195" s="503" t="s">
        <v>48</v>
      </c>
      <c r="G195" s="400" t="str">
        <f t="shared" si="15"/>
        <v>BB01-1</v>
      </c>
      <c r="H195" s="507">
        <v>1</v>
      </c>
      <c r="I195" s="506"/>
      <c r="J195" s="500">
        <v>1</v>
      </c>
      <c r="K195" s="397" t="s">
        <v>610</v>
      </c>
      <c r="L195" s="395"/>
      <c r="M195" s="395"/>
      <c r="N195" s="395"/>
      <c r="O195" s="395"/>
      <c r="P195" s="395"/>
      <c r="Q195" s="395"/>
      <c r="R195" s="395"/>
      <c r="S195" s="395"/>
      <c r="T195" s="395"/>
      <c r="U195" s="395"/>
    </row>
    <row r="196" spans="1:21" s="407" customFormat="1" ht="12" hidden="1" customHeight="1" outlineLevel="2">
      <c r="A196" s="508"/>
      <c r="B196" s="503"/>
      <c r="C196" s="504"/>
      <c r="D196" s="531" t="s">
        <v>1410</v>
      </c>
      <c r="E196" s="505" t="s">
        <v>1411</v>
      </c>
      <c r="F196" s="503" t="s">
        <v>48</v>
      </c>
      <c r="G196" s="400" t="str">
        <f t="shared" si="15"/>
        <v>BB01-1</v>
      </c>
      <c r="H196" s="507">
        <v>1</v>
      </c>
      <c r="I196" s="506"/>
      <c r="J196" s="500">
        <v>1</v>
      </c>
      <c r="K196" s="397" t="s">
        <v>1222</v>
      </c>
      <c r="L196" s="395"/>
      <c r="M196" s="395"/>
      <c r="N196" s="395"/>
      <c r="O196" s="395"/>
      <c r="P196" s="395"/>
      <c r="Q196" s="395"/>
      <c r="R196" s="395"/>
      <c r="S196" s="395"/>
      <c r="T196" s="395"/>
      <c r="U196" s="395"/>
    </row>
    <row r="197" spans="1:21" s="407" customFormat="1" ht="12" hidden="1" customHeight="1" outlineLevel="2">
      <c r="A197" s="508"/>
      <c r="B197" s="503"/>
      <c r="C197" s="504"/>
      <c r="D197" s="531" t="s">
        <v>1412</v>
      </c>
      <c r="E197" s="505" t="s">
        <v>1413</v>
      </c>
      <c r="F197" s="503" t="s">
        <v>48</v>
      </c>
      <c r="G197" s="400" t="str">
        <f t="shared" si="15"/>
        <v>BB01-1</v>
      </c>
      <c r="H197" s="507">
        <v>1</v>
      </c>
      <c r="I197" s="506"/>
      <c r="J197" s="500">
        <v>1</v>
      </c>
      <c r="K197" s="397" t="s">
        <v>1222</v>
      </c>
      <c r="L197" s="395"/>
      <c r="M197" s="395"/>
      <c r="N197" s="395"/>
      <c r="O197" s="395"/>
      <c r="P197" s="395"/>
      <c r="Q197" s="395"/>
      <c r="R197" s="395"/>
      <c r="S197" s="395"/>
      <c r="T197" s="395"/>
      <c r="U197" s="395"/>
    </row>
    <row r="198" spans="1:21" s="407" customFormat="1" ht="12" hidden="1" customHeight="1" outlineLevel="2">
      <c r="A198" s="508"/>
      <c r="B198" s="503"/>
      <c r="C198" s="504"/>
      <c r="D198" s="531" t="s">
        <v>1414</v>
      </c>
      <c r="E198" s="505" t="s">
        <v>1415</v>
      </c>
      <c r="F198" s="503" t="s">
        <v>48</v>
      </c>
      <c r="G198" s="400" t="str">
        <f t="shared" si="15"/>
        <v>BB01-1</v>
      </c>
      <c r="H198" s="507">
        <v>1</v>
      </c>
      <c r="I198" s="506"/>
      <c r="J198" s="500">
        <v>1</v>
      </c>
      <c r="K198" s="397" t="s">
        <v>610</v>
      </c>
      <c r="L198" s="395"/>
      <c r="M198" s="395"/>
      <c r="N198" s="395"/>
      <c r="O198" s="395"/>
      <c r="P198" s="395"/>
      <c r="Q198" s="395"/>
      <c r="R198" s="395"/>
      <c r="S198" s="395"/>
      <c r="T198" s="395"/>
      <c r="U198" s="395"/>
    </row>
    <row r="199" spans="1:21" s="407" customFormat="1" ht="12" hidden="1" customHeight="1" outlineLevel="2">
      <c r="A199" s="508"/>
      <c r="B199" s="503"/>
      <c r="C199" s="504"/>
      <c r="D199" s="531" t="s">
        <v>1416</v>
      </c>
      <c r="E199" s="505" t="s">
        <v>1417</v>
      </c>
      <c r="F199" s="503" t="s">
        <v>48</v>
      </c>
      <c r="G199" s="400" t="str">
        <f t="shared" si="15"/>
        <v>BB01-1</v>
      </c>
      <c r="H199" s="507">
        <v>1</v>
      </c>
      <c r="I199" s="506"/>
      <c r="J199" s="500">
        <v>1</v>
      </c>
      <c r="K199" s="397" t="s">
        <v>610</v>
      </c>
      <c r="L199" s="395"/>
      <c r="M199" s="395"/>
      <c r="N199" s="395"/>
      <c r="O199" s="395"/>
      <c r="P199" s="395"/>
      <c r="Q199" s="395"/>
      <c r="R199" s="395"/>
      <c r="S199" s="395"/>
      <c r="T199" s="395"/>
      <c r="U199" s="395"/>
    </row>
    <row r="200" spans="1:21" s="407" customFormat="1" ht="12" hidden="1" customHeight="1" outlineLevel="2">
      <c r="A200" s="508"/>
      <c r="B200" s="503"/>
      <c r="C200" s="504"/>
      <c r="D200" s="531" t="s">
        <v>1418</v>
      </c>
      <c r="E200" s="505" t="s">
        <v>1419</v>
      </c>
      <c r="F200" s="503" t="s">
        <v>48</v>
      </c>
      <c r="G200" s="400" t="str">
        <f t="shared" si="15"/>
        <v>BB01-1</v>
      </c>
      <c r="H200" s="507">
        <v>1</v>
      </c>
      <c r="I200" s="506"/>
      <c r="J200" s="500">
        <v>1</v>
      </c>
      <c r="K200" s="397" t="s">
        <v>610</v>
      </c>
      <c r="L200" s="395"/>
      <c r="M200" s="395"/>
      <c r="N200" s="395"/>
      <c r="O200" s="395"/>
      <c r="P200" s="395"/>
      <c r="Q200" s="395"/>
      <c r="R200" s="395"/>
      <c r="S200" s="395"/>
      <c r="T200" s="395"/>
      <c r="U200" s="395"/>
    </row>
    <row r="201" spans="1:21" s="407" customFormat="1" ht="12" hidden="1" customHeight="1" outlineLevel="2">
      <c r="A201" s="508"/>
      <c r="B201" s="503"/>
      <c r="C201" s="504"/>
      <c r="D201" s="531" t="s">
        <v>1420</v>
      </c>
      <c r="E201" s="505" t="s">
        <v>1421</v>
      </c>
      <c r="F201" s="503" t="s">
        <v>48</v>
      </c>
      <c r="G201" s="400" t="str">
        <f t="shared" si="15"/>
        <v>BB01-1</v>
      </c>
      <c r="H201" s="507">
        <v>1</v>
      </c>
      <c r="I201" s="506"/>
      <c r="J201" s="500">
        <v>1</v>
      </c>
      <c r="K201" s="397" t="s">
        <v>193</v>
      </c>
      <c r="L201" s="395"/>
      <c r="M201" s="395"/>
      <c r="N201" s="395"/>
      <c r="O201" s="395"/>
      <c r="P201" s="395"/>
      <c r="Q201" s="395"/>
      <c r="R201" s="395"/>
      <c r="S201" s="395"/>
      <c r="T201" s="395"/>
      <c r="U201" s="395"/>
    </row>
    <row r="202" spans="1:21" s="407" customFormat="1" ht="12" hidden="1" customHeight="1" outlineLevel="2">
      <c r="A202" s="508"/>
      <c r="B202" s="503"/>
      <c r="C202" s="504"/>
      <c r="D202" s="531" t="s">
        <v>1422</v>
      </c>
      <c r="E202" s="505" t="s">
        <v>1423</v>
      </c>
      <c r="F202" s="503" t="s">
        <v>48</v>
      </c>
      <c r="G202" s="400" t="str">
        <f t="shared" si="15"/>
        <v>BB01-1</v>
      </c>
      <c r="H202" s="507">
        <v>1</v>
      </c>
      <c r="I202" s="506"/>
      <c r="J202" s="500">
        <v>1</v>
      </c>
      <c r="K202" s="397" t="s">
        <v>1222</v>
      </c>
      <c r="L202" s="395"/>
      <c r="M202" s="395"/>
      <c r="N202" s="395"/>
      <c r="O202" s="395"/>
      <c r="P202" s="395"/>
      <c r="Q202" s="395"/>
      <c r="R202" s="395"/>
      <c r="S202" s="395"/>
      <c r="T202" s="395"/>
      <c r="U202" s="395"/>
    </row>
    <row r="203" spans="1:21" s="407" customFormat="1" ht="12" hidden="1" customHeight="1" outlineLevel="2">
      <c r="A203" s="508"/>
      <c r="B203" s="503"/>
      <c r="C203" s="504"/>
      <c r="D203" s="531" t="s">
        <v>1424</v>
      </c>
      <c r="E203" s="505" t="s">
        <v>1425</v>
      </c>
      <c r="F203" s="503" t="s">
        <v>48</v>
      </c>
      <c r="G203" s="400" t="str">
        <f t="shared" si="15"/>
        <v>BB01-1</v>
      </c>
      <c r="H203" s="507">
        <v>1</v>
      </c>
      <c r="I203" s="506"/>
      <c r="J203" s="500">
        <v>1</v>
      </c>
      <c r="K203" s="397" t="s">
        <v>610</v>
      </c>
      <c r="L203" s="395"/>
      <c r="M203" s="395"/>
      <c r="N203" s="395"/>
      <c r="O203" s="395"/>
      <c r="P203" s="395"/>
      <c r="Q203" s="395"/>
      <c r="R203" s="395"/>
      <c r="S203" s="395"/>
      <c r="T203" s="395"/>
      <c r="U203" s="395"/>
    </row>
    <row r="204" spans="1:21" s="407" customFormat="1" ht="12" hidden="1" customHeight="1" outlineLevel="2">
      <c r="A204" s="508"/>
      <c r="B204" s="503"/>
      <c r="C204" s="504"/>
      <c r="D204" s="531" t="s">
        <v>1426</v>
      </c>
      <c r="E204" s="505" t="s">
        <v>1427</v>
      </c>
      <c r="F204" s="503" t="s">
        <v>48</v>
      </c>
      <c r="G204" s="400" t="str">
        <f t="shared" si="15"/>
        <v>BB01-1</v>
      </c>
      <c r="H204" s="507">
        <v>1</v>
      </c>
      <c r="I204" s="506"/>
      <c r="J204" s="500">
        <v>1</v>
      </c>
      <c r="K204" s="397" t="s">
        <v>1222</v>
      </c>
      <c r="L204" s="395"/>
      <c r="M204" s="395"/>
      <c r="N204" s="395"/>
      <c r="O204" s="395"/>
      <c r="P204" s="395"/>
      <c r="Q204" s="395"/>
      <c r="R204" s="395"/>
      <c r="S204" s="395"/>
      <c r="T204" s="395"/>
      <c r="U204" s="395"/>
    </row>
    <row r="205" spans="1:21" s="407" customFormat="1" ht="12" hidden="1" customHeight="1" outlineLevel="2">
      <c r="A205" s="508"/>
      <c r="B205" s="503"/>
      <c r="C205" s="504"/>
      <c r="D205" s="531" t="s">
        <v>1428</v>
      </c>
      <c r="E205" s="505" t="s">
        <v>1429</v>
      </c>
      <c r="F205" s="503" t="s">
        <v>48</v>
      </c>
      <c r="G205" s="400" t="str">
        <f t="shared" si="15"/>
        <v>BB01-1</v>
      </c>
      <c r="H205" s="507">
        <v>1</v>
      </c>
      <c r="I205" s="506"/>
      <c r="J205" s="500">
        <v>1</v>
      </c>
      <c r="K205" s="397" t="s">
        <v>1222</v>
      </c>
      <c r="L205" s="395"/>
      <c r="M205" s="395"/>
      <c r="N205" s="395"/>
      <c r="O205" s="395"/>
      <c r="P205" s="395"/>
      <c r="Q205" s="395"/>
      <c r="R205" s="395"/>
      <c r="S205" s="395"/>
      <c r="T205" s="395"/>
      <c r="U205" s="395"/>
    </row>
    <row r="206" spans="1:21" s="407" customFormat="1" ht="12" hidden="1" customHeight="1" outlineLevel="2">
      <c r="A206" s="508"/>
      <c r="B206" s="503"/>
      <c r="C206" s="504"/>
      <c r="D206" s="531" t="s">
        <v>1430</v>
      </c>
      <c r="E206" s="505" t="s">
        <v>1431</v>
      </c>
      <c r="F206" s="503" t="s">
        <v>48</v>
      </c>
      <c r="G206" s="400" t="str">
        <f t="shared" ref="G206:G264" si="16">CONCATENATE(F206,"-",H206)</f>
        <v>BB01-1</v>
      </c>
      <c r="H206" s="507">
        <v>1</v>
      </c>
      <c r="I206" s="506"/>
      <c r="J206" s="500">
        <v>1</v>
      </c>
      <c r="K206" s="397" t="s">
        <v>610</v>
      </c>
      <c r="L206" s="395"/>
      <c r="M206" s="395"/>
      <c r="N206" s="395"/>
      <c r="O206" s="395"/>
      <c r="P206" s="395"/>
      <c r="Q206" s="395"/>
      <c r="R206" s="395"/>
      <c r="S206" s="395"/>
      <c r="T206" s="395"/>
      <c r="U206" s="395"/>
    </row>
    <row r="207" spans="1:21" s="407" customFormat="1" ht="12" hidden="1" customHeight="1" outlineLevel="2">
      <c r="A207" s="508"/>
      <c r="B207" s="503"/>
      <c r="C207" s="504"/>
      <c r="D207" s="531" t="s">
        <v>1432</v>
      </c>
      <c r="E207" s="505" t="s">
        <v>1433</v>
      </c>
      <c r="F207" s="503" t="s">
        <v>48</v>
      </c>
      <c r="G207" s="400" t="str">
        <f t="shared" si="16"/>
        <v>BB01-1</v>
      </c>
      <c r="H207" s="507">
        <v>1</v>
      </c>
      <c r="I207" s="506"/>
      <c r="J207" s="500">
        <v>1</v>
      </c>
      <c r="K207" s="397" t="s">
        <v>610</v>
      </c>
      <c r="L207" s="395"/>
      <c r="M207" s="395"/>
      <c r="N207" s="395"/>
      <c r="O207" s="395"/>
      <c r="P207" s="395"/>
      <c r="Q207" s="395"/>
      <c r="R207" s="395"/>
      <c r="S207" s="395"/>
      <c r="T207" s="395"/>
      <c r="U207" s="395"/>
    </row>
    <row r="208" spans="1:21" s="407" customFormat="1" ht="12" hidden="1" customHeight="1" outlineLevel="2">
      <c r="A208" s="508"/>
      <c r="B208" s="503"/>
      <c r="C208" s="504"/>
      <c r="D208" s="531" t="s">
        <v>1434</v>
      </c>
      <c r="E208" s="505" t="s">
        <v>1435</v>
      </c>
      <c r="F208" s="503" t="s">
        <v>48</v>
      </c>
      <c r="G208" s="400" t="str">
        <f t="shared" si="16"/>
        <v>BB01-1</v>
      </c>
      <c r="H208" s="507">
        <v>1</v>
      </c>
      <c r="I208" s="506"/>
      <c r="J208" s="500">
        <v>1</v>
      </c>
      <c r="K208" s="397" t="s">
        <v>610</v>
      </c>
      <c r="L208" s="395"/>
      <c r="M208" s="395"/>
      <c r="N208" s="395"/>
      <c r="O208" s="395"/>
      <c r="P208" s="395"/>
      <c r="Q208" s="395"/>
      <c r="R208" s="395"/>
      <c r="S208" s="395"/>
      <c r="T208" s="395"/>
      <c r="U208" s="395"/>
    </row>
    <row r="209" spans="1:21" s="407" customFormat="1" ht="12" hidden="1" customHeight="1" outlineLevel="2">
      <c r="A209" s="508"/>
      <c r="B209" s="503"/>
      <c r="C209" s="504"/>
      <c r="D209" s="531" t="s">
        <v>1436</v>
      </c>
      <c r="E209" s="505" t="s">
        <v>1437</v>
      </c>
      <c r="F209" s="503" t="s">
        <v>48</v>
      </c>
      <c r="G209" s="400" t="str">
        <f t="shared" si="16"/>
        <v>BB01-1</v>
      </c>
      <c r="H209" s="507">
        <v>1</v>
      </c>
      <c r="I209" s="506"/>
      <c r="J209" s="500">
        <v>1</v>
      </c>
      <c r="K209" s="397" t="s">
        <v>193</v>
      </c>
      <c r="L209" s="395"/>
      <c r="M209" s="395"/>
      <c r="N209" s="395"/>
      <c r="O209" s="395"/>
      <c r="P209" s="395"/>
      <c r="Q209" s="395"/>
      <c r="R209" s="395"/>
      <c r="S209" s="395"/>
      <c r="T209" s="395"/>
      <c r="U209" s="395"/>
    </row>
    <row r="210" spans="1:21" s="407" customFormat="1" ht="12" hidden="1" customHeight="1" outlineLevel="2">
      <c r="A210" s="508"/>
      <c r="B210" s="503"/>
      <c r="C210" s="504"/>
      <c r="D210" s="531" t="s">
        <v>1438</v>
      </c>
      <c r="E210" s="505" t="s">
        <v>1439</v>
      </c>
      <c r="F210" s="503" t="s">
        <v>48</v>
      </c>
      <c r="G210" s="400" t="str">
        <f t="shared" si="16"/>
        <v>BB01-1</v>
      </c>
      <c r="H210" s="507">
        <v>1</v>
      </c>
      <c r="I210" s="506"/>
      <c r="J210" s="500">
        <v>1</v>
      </c>
      <c r="K210" s="397" t="s">
        <v>610</v>
      </c>
      <c r="L210" s="395"/>
      <c r="M210" s="395"/>
      <c r="N210" s="395"/>
      <c r="O210" s="395"/>
      <c r="P210" s="395"/>
      <c r="Q210" s="395"/>
      <c r="R210" s="395"/>
      <c r="S210" s="395"/>
      <c r="T210" s="395"/>
      <c r="U210" s="395"/>
    </row>
    <row r="211" spans="1:21" s="407" customFormat="1" ht="12" hidden="1" customHeight="1" outlineLevel="2">
      <c r="A211" s="508"/>
      <c r="B211" s="503"/>
      <c r="C211" s="504"/>
      <c r="D211" s="531" t="s">
        <v>1440</v>
      </c>
      <c r="E211" s="505" t="s">
        <v>1441</v>
      </c>
      <c r="F211" s="503" t="s">
        <v>48</v>
      </c>
      <c r="G211" s="400" t="str">
        <f t="shared" si="16"/>
        <v>BB01-1</v>
      </c>
      <c r="H211" s="507">
        <v>1</v>
      </c>
      <c r="I211" s="506"/>
      <c r="J211" s="500">
        <v>1</v>
      </c>
      <c r="K211" s="397" t="s">
        <v>610</v>
      </c>
      <c r="L211" s="395"/>
      <c r="M211" s="395"/>
      <c r="N211" s="395"/>
      <c r="O211" s="395"/>
      <c r="P211" s="395"/>
      <c r="Q211" s="395"/>
      <c r="R211" s="395"/>
      <c r="S211" s="395"/>
      <c r="T211" s="395"/>
      <c r="U211" s="395"/>
    </row>
    <row r="212" spans="1:21" s="407" customFormat="1" ht="12" hidden="1" customHeight="1" outlineLevel="2">
      <c r="A212" s="508"/>
      <c r="B212" s="503"/>
      <c r="C212" s="504"/>
      <c r="D212" s="531" t="s">
        <v>1442</v>
      </c>
      <c r="E212" s="505" t="s">
        <v>1443</v>
      </c>
      <c r="F212" s="503" t="s">
        <v>48</v>
      </c>
      <c r="G212" s="400" t="str">
        <f t="shared" si="16"/>
        <v>BB01-1</v>
      </c>
      <c r="H212" s="507">
        <v>1</v>
      </c>
      <c r="I212" s="506"/>
      <c r="J212" s="500">
        <v>1</v>
      </c>
      <c r="K212" s="397" t="s">
        <v>610</v>
      </c>
      <c r="L212" s="395"/>
      <c r="M212" s="395"/>
      <c r="N212" s="395"/>
      <c r="O212" s="395"/>
      <c r="P212" s="395"/>
      <c r="Q212" s="395"/>
      <c r="R212" s="395"/>
      <c r="S212" s="395"/>
      <c r="T212" s="395"/>
      <c r="U212" s="395"/>
    </row>
    <row r="213" spans="1:21" s="407" customFormat="1" ht="12" hidden="1" customHeight="1" outlineLevel="2">
      <c r="A213" s="508"/>
      <c r="B213" s="503"/>
      <c r="C213" s="504"/>
      <c r="D213" s="531" t="s">
        <v>1444</v>
      </c>
      <c r="E213" s="505" t="s">
        <v>1445</v>
      </c>
      <c r="F213" s="503" t="s">
        <v>48</v>
      </c>
      <c r="G213" s="400" t="str">
        <f t="shared" si="16"/>
        <v>BB01-1</v>
      </c>
      <c r="H213" s="507">
        <v>1</v>
      </c>
      <c r="I213" s="506"/>
      <c r="J213" s="500">
        <v>1</v>
      </c>
      <c r="K213" s="397" t="s">
        <v>610</v>
      </c>
      <c r="L213" s="395"/>
      <c r="M213" s="395"/>
      <c r="N213" s="395"/>
      <c r="O213" s="395"/>
      <c r="P213" s="395"/>
      <c r="Q213" s="395"/>
      <c r="R213" s="395"/>
      <c r="S213" s="395"/>
      <c r="T213" s="395"/>
      <c r="U213" s="395"/>
    </row>
    <row r="214" spans="1:21" s="407" customFormat="1" ht="12" hidden="1" customHeight="1" outlineLevel="2">
      <c r="A214" s="508"/>
      <c r="B214" s="503"/>
      <c r="C214" s="504"/>
      <c r="D214" s="531" t="s">
        <v>1446</v>
      </c>
      <c r="E214" s="505" t="s">
        <v>1447</v>
      </c>
      <c r="F214" s="503" t="s">
        <v>48</v>
      </c>
      <c r="G214" s="400" t="str">
        <f t="shared" si="16"/>
        <v>BB01-1</v>
      </c>
      <c r="H214" s="507">
        <v>1</v>
      </c>
      <c r="I214" s="506"/>
      <c r="J214" s="500">
        <v>1</v>
      </c>
      <c r="K214" s="397" t="s">
        <v>610</v>
      </c>
      <c r="L214" s="395"/>
      <c r="M214" s="395"/>
      <c r="N214" s="395"/>
      <c r="O214" s="395"/>
      <c r="P214" s="395"/>
      <c r="Q214" s="395"/>
      <c r="R214" s="395"/>
      <c r="S214" s="395"/>
      <c r="T214" s="395"/>
      <c r="U214" s="395"/>
    </row>
    <row r="215" spans="1:21" s="407" customFormat="1" ht="12" hidden="1" customHeight="1" outlineLevel="2">
      <c r="A215" s="508"/>
      <c r="B215" s="503"/>
      <c r="C215" s="504"/>
      <c r="D215" s="531" t="s">
        <v>1448</v>
      </c>
      <c r="E215" s="505" t="s">
        <v>1449</v>
      </c>
      <c r="F215" s="503" t="s">
        <v>48</v>
      </c>
      <c r="G215" s="400" t="str">
        <f t="shared" si="16"/>
        <v>BB01-1</v>
      </c>
      <c r="H215" s="507">
        <v>1</v>
      </c>
      <c r="I215" s="506"/>
      <c r="J215" s="500">
        <v>1</v>
      </c>
      <c r="K215" s="397" t="s">
        <v>193</v>
      </c>
      <c r="L215" s="395"/>
      <c r="M215" s="395"/>
      <c r="N215" s="395"/>
      <c r="O215" s="395"/>
      <c r="P215" s="395"/>
      <c r="Q215" s="395"/>
      <c r="R215" s="395"/>
      <c r="S215" s="395"/>
      <c r="T215" s="395"/>
      <c r="U215" s="395"/>
    </row>
    <row r="216" spans="1:21" s="407" customFormat="1" ht="12" hidden="1" customHeight="1" outlineLevel="2">
      <c r="A216" s="508"/>
      <c r="B216" s="503"/>
      <c r="C216" s="504"/>
      <c r="D216" s="531" t="s">
        <v>1450</v>
      </c>
      <c r="E216" s="505" t="s">
        <v>1451</v>
      </c>
      <c r="F216" s="503" t="s">
        <v>48</v>
      </c>
      <c r="G216" s="400" t="str">
        <f t="shared" si="16"/>
        <v>BB01-1</v>
      </c>
      <c r="H216" s="507">
        <v>1</v>
      </c>
      <c r="I216" s="506"/>
      <c r="J216" s="500">
        <v>1</v>
      </c>
      <c r="K216" s="397" t="s">
        <v>610</v>
      </c>
      <c r="L216" s="395"/>
      <c r="M216" s="395"/>
      <c r="N216" s="395"/>
      <c r="O216" s="395"/>
      <c r="P216" s="395"/>
      <c r="Q216" s="395"/>
      <c r="R216" s="395"/>
      <c r="S216" s="395"/>
      <c r="T216" s="395"/>
      <c r="U216" s="395"/>
    </row>
    <row r="217" spans="1:21" s="407" customFormat="1" ht="12" hidden="1" customHeight="1" outlineLevel="2">
      <c r="A217" s="508"/>
      <c r="B217" s="503"/>
      <c r="C217" s="504"/>
      <c r="D217" s="531" t="s">
        <v>1452</v>
      </c>
      <c r="E217" s="505" t="s">
        <v>1453</v>
      </c>
      <c r="F217" s="503" t="s">
        <v>48</v>
      </c>
      <c r="G217" s="400" t="str">
        <f t="shared" si="16"/>
        <v>BB01-1</v>
      </c>
      <c r="H217" s="507">
        <v>1</v>
      </c>
      <c r="I217" s="506"/>
      <c r="J217" s="500">
        <v>1</v>
      </c>
      <c r="K217" s="397" t="s">
        <v>610</v>
      </c>
      <c r="L217" s="395"/>
      <c r="M217" s="395"/>
      <c r="N217" s="395"/>
      <c r="O217" s="395"/>
      <c r="P217" s="395"/>
      <c r="Q217" s="395"/>
      <c r="R217" s="395"/>
      <c r="S217" s="395"/>
      <c r="T217" s="395"/>
      <c r="U217" s="395"/>
    </row>
    <row r="218" spans="1:21" s="407" customFormat="1" ht="12" hidden="1" customHeight="1" outlineLevel="2">
      <c r="A218" s="508"/>
      <c r="B218" s="503"/>
      <c r="C218" s="504"/>
      <c r="D218" s="531" t="s">
        <v>1454</v>
      </c>
      <c r="E218" s="505" t="s">
        <v>1455</v>
      </c>
      <c r="F218" s="503" t="s">
        <v>48</v>
      </c>
      <c r="G218" s="400" t="str">
        <f t="shared" si="16"/>
        <v>BB01-1</v>
      </c>
      <c r="H218" s="507">
        <v>1</v>
      </c>
      <c r="I218" s="506"/>
      <c r="J218" s="500">
        <v>1</v>
      </c>
      <c r="K218" s="397" t="s">
        <v>610</v>
      </c>
      <c r="L218" s="395"/>
      <c r="M218" s="395"/>
      <c r="N218" s="395"/>
      <c r="O218" s="395"/>
      <c r="P218" s="395"/>
      <c r="Q218" s="395"/>
      <c r="R218" s="395"/>
      <c r="S218" s="395"/>
      <c r="T218" s="395"/>
      <c r="U218" s="395"/>
    </row>
    <row r="219" spans="1:21" s="407" customFormat="1" ht="12" hidden="1" customHeight="1" outlineLevel="2">
      <c r="A219" s="508"/>
      <c r="B219" s="503"/>
      <c r="C219" s="504"/>
      <c r="D219" s="531" t="s">
        <v>1456</v>
      </c>
      <c r="E219" s="505" t="s">
        <v>1457</v>
      </c>
      <c r="F219" s="503" t="s">
        <v>48</v>
      </c>
      <c r="G219" s="400" t="str">
        <f t="shared" si="16"/>
        <v>BB01-1</v>
      </c>
      <c r="H219" s="507">
        <v>1</v>
      </c>
      <c r="I219" s="506"/>
      <c r="J219" s="500">
        <v>1</v>
      </c>
      <c r="K219" s="397" t="s">
        <v>193</v>
      </c>
      <c r="L219" s="395"/>
      <c r="M219" s="395"/>
      <c r="N219" s="395"/>
      <c r="O219" s="395"/>
      <c r="P219" s="395"/>
      <c r="Q219" s="395"/>
      <c r="R219" s="395"/>
      <c r="S219" s="395"/>
      <c r="T219" s="395"/>
      <c r="U219" s="395"/>
    </row>
    <row r="220" spans="1:21" s="407" customFormat="1" ht="12" hidden="1" customHeight="1" outlineLevel="2">
      <c r="A220" s="508"/>
      <c r="B220" s="503"/>
      <c r="C220" s="504"/>
      <c r="D220" s="531" t="s">
        <v>1458</v>
      </c>
      <c r="E220" s="505" t="s">
        <v>1459</v>
      </c>
      <c r="F220" s="503" t="s">
        <v>48</v>
      </c>
      <c r="G220" s="400" t="str">
        <f t="shared" si="16"/>
        <v>BB01-1</v>
      </c>
      <c r="H220" s="507">
        <v>1</v>
      </c>
      <c r="I220" s="506"/>
      <c r="J220" s="500">
        <v>1</v>
      </c>
      <c r="K220" s="397" t="s">
        <v>193</v>
      </c>
      <c r="L220" s="395"/>
      <c r="M220" s="395"/>
      <c r="N220" s="395"/>
      <c r="O220" s="395"/>
      <c r="P220" s="395"/>
      <c r="Q220" s="395"/>
      <c r="R220" s="395"/>
      <c r="S220" s="395"/>
      <c r="T220" s="395"/>
      <c r="U220" s="395"/>
    </row>
    <row r="221" spans="1:21" s="407" customFormat="1" ht="12" hidden="1" customHeight="1" outlineLevel="2">
      <c r="A221" s="508"/>
      <c r="B221" s="503"/>
      <c r="C221" s="504"/>
      <c r="D221" s="531" t="s">
        <v>1460</v>
      </c>
      <c r="E221" s="505" t="s">
        <v>1461</v>
      </c>
      <c r="F221" s="503" t="s">
        <v>48</v>
      </c>
      <c r="G221" s="400" t="str">
        <f t="shared" si="16"/>
        <v>BB01-1</v>
      </c>
      <c r="H221" s="507">
        <v>1</v>
      </c>
      <c r="I221" s="506"/>
      <c r="J221" s="500">
        <v>1</v>
      </c>
      <c r="K221" s="397" t="s">
        <v>193</v>
      </c>
      <c r="L221" s="395"/>
      <c r="M221" s="395"/>
      <c r="N221" s="395"/>
      <c r="O221" s="395"/>
      <c r="P221" s="395"/>
      <c r="Q221" s="395"/>
      <c r="R221" s="395"/>
      <c r="S221" s="395"/>
      <c r="T221" s="395"/>
      <c r="U221" s="395"/>
    </row>
    <row r="222" spans="1:21" s="407" customFormat="1" ht="12" hidden="1" customHeight="1" outlineLevel="2">
      <c r="A222" s="508"/>
      <c r="B222" s="503"/>
      <c r="C222" s="504"/>
      <c r="D222" s="531" t="s">
        <v>1462</v>
      </c>
      <c r="E222" s="505" t="s">
        <v>1463</v>
      </c>
      <c r="F222" s="503" t="s">
        <v>48</v>
      </c>
      <c r="G222" s="400" t="str">
        <f t="shared" si="16"/>
        <v>BB01-1</v>
      </c>
      <c r="H222" s="507">
        <v>1</v>
      </c>
      <c r="I222" s="506"/>
      <c r="J222" s="500">
        <v>1</v>
      </c>
      <c r="K222" s="397" t="s">
        <v>193</v>
      </c>
      <c r="L222" s="395"/>
      <c r="M222" s="395"/>
      <c r="N222" s="395"/>
      <c r="O222" s="395"/>
      <c r="P222" s="395"/>
      <c r="Q222" s="395"/>
      <c r="R222" s="395"/>
      <c r="S222" s="395"/>
      <c r="T222" s="395"/>
      <c r="U222" s="395"/>
    </row>
    <row r="223" spans="1:21" s="407" customFormat="1" ht="12" hidden="1" customHeight="1" outlineLevel="2">
      <c r="A223" s="508"/>
      <c r="B223" s="503"/>
      <c r="C223" s="504"/>
      <c r="D223" s="531" t="s">
        <v>1464</v>
      </c>
      <c r="E223" s="505" t="s">
        <v>1465</v>
      </c>
      <c r="F223" s="503" t="s">
        <v>48</v>
      </c>
      <c r="G223" s="400" t="str">
        <f t="shared" si="16"/>
        <v>BB01-1</v>
      </c>
      <c r="H223" s="507">
        <v>1</v>
      </c>
      <c r="I223" s="506"/>
      <c r="J223" s="500">
        <v>1</v>
      </c>
      <c r="K223" s="397" t="s">
        <v>610</v>
      </c>
      <c r="L223" s="395"/>
      <c r="M223" s="395"/>
      <c r="N223" s="395"/>
      <c r="O223" s="395"/>
      <c r="P223" s="395"/>
      <c r="Q223" s="395"/>
      <c r="R223" s="395"/>
      <c r="S223" s="395"/>
      <c r="T223" s="395"/>
      <c r="U223" s="395"/>
    </row>
    <row r="224" spans="1:21" s="407" customFormat="1" ht="12" hidden="1" customHeight="1" outlineLevel="2">
      <c r="A224" s="508"/>
      <c r="B224" s="503"/>
      <c r="C224" s="504"/>
      <c r="D224" s="531" t="s">
        <v>1466</v>
      </c>
      <c r="E224" s="505" t="s">
        <v>1467</v>
      </c>
      <c r="F224" s="503" t="s">
        <v>48</v>
      </c>
      <c r="G224" s="400" t="str">
        <f t="shared" si="16"/>
        <v>BB01-1</v>
      </c>
      <c r="H224" s="507">
        <v>1</v>
      </c>
      <c r="I224" s="506"/>
      <c r="J224" s="500">
        <v>1</v>
      </c>
      <c r="K224" s="397" t="s">
        <v>610</v>
      </c>
      <c r="L224" s="395"/>
      <c r="M224" s="395"/>
      <c r="N224" s="395"/>
      <c r="O224" s="395"/>
      <c r="P224" s="395"/>
      <c r="Q224" s="395"/>
      <c r="R224" s="395"/>
      <c r="S224" s="395"/>
      <c r="T224" s="395"/>
      <c r="U224" s="395"/>
    </row>
    <row r="225" spans="1:21" s="407" customFormat="1" ht="12" hidden="1" customHeight="1" outlineLevel="2">
      <c r="A225" s="508"/>
      <c r="B225" s="503"/>
      <c r="C225" s="504"/>
      <c r="D225" s="531" t="s">
        <v>1192</v>
      </c>
      <c r="E225" s="505" t="s">
        <v>1193</v>
      </c>
      <c r="F225" s="503" t="s">
        <v>48</v>
      </c>
      <c r="G225" s="400" t="str">
        <f t="shared" si="16"/>
        <v>BB01-1</v>
      </c>
      <c r="H225" s="507">
        <v>1</v>
      </c>
      <c r="I225" s="506"/>
      <c r="J225" s="500">
        <v>1</v>
      </c>
      <c r="K225" s="397" t="s">
        <v>193</v>
      </c>
      <c r="L225" s="395"/>
      <c r="M225" s="395"/>
      <c r="N225" s="395"/>
      <c r="O225" s="395"/>
      <c r="P225" s="395"/>
      <c r="Q225" s="395"/>
      <c r="R225" s="395"/>
      <c r="S225" s="395"/>
      <c r="T225" s="395"/>
      <c r="U225" s="395"/>
    </row>
    <row r="226" spans="1:21" s="407" customFormat="1" ht="12" hidden="1" customHeight="1" outlineLevel="2">
      <c r="A226" s="508"/>
      <c r="B226" s="503"/>
      <c r="C226" s="504"/>
      <c r="D226" s="531" t="s">
        <v>1468</v>
      </c>
      <c r="E226" s="505" t="s">
        <v>1469</v>
      </c>
      <c r="F226" s="503" t="s">
        <v>48</v>
      </c>
      <c r="G226" s="400" t="str">
        <f t="shared" si="16"/>
        <v>BB01-1</v>
      </c>
      <c r="H226" s="507">
        <v>1</v>
      </c>
      <c r="I226" s="506"/>
      <c r="J226" s="500">
        <v>1</v>
      </c>
      <c r="K226" s="397" t="s">
        <v>193</v>
      </c>
      <c r="L226" s="395"/>
      <c r="M226" s="395"/>
      <c r="N226" s="395"/>
      <c r="O226" s="395"/>
      <c r="P226" s="395"/>
      <c r="Q226" s="395"/>
      <c r="R226" s="395"/>
      <c r="S226" s="395"/>
      <c r="T226" s="395"/>
      <c r="U226" s="395"/>
    </row>
    <row r="227" spans="1:21" s="407" customFormat="1" ht="12" hidden="1" customHeight="1" outlineLevel="2">
      <c r="A227" s="508"/>
      <c r="B227" s="503"/>
      <c r="C227" s="504"/>
      <c r="D227" s="531" t="s">
        <v>1470</v>
      </c>
      <c r="E227" s="505" t="s">
        <v>1471</v>
      </c>
      <c r="F227" s="503" t="s">
        <v>48</v>
      </c>
      <c r="G227" s="400" t="str">
        <f t="shared" si="16"/>
        <v>BB01-1</v>
      </c>
      <c r="H227" s="507">
        <v>1</v>
      </c>
      <c r="I227" s="506"/>
      <c r="J227" s="500">
        <v>1</v>
      </c>
      <c r="K227" s="397" t="s">
        <v>193</v>
      </c>
      <c r="L227" s="395"/>
      <c r="M227" s="395"/>
      <c r="N227" s="395"/>
      <c r="O227" s="395"/>
      <c r="P227" s="395"/>
      <c r="Q227" s="395"/>
      <c r="R227" s="395"/>
      <c r="S227" s="395"/>
      <c r="T227" s="395"/>
      <c r="U227" s="395"/>
    </row>
    <row r="228" spans="1:21" s="407" customFormat="1" ht="12" hidden="1" customHeight="1" outlineLevel="2">
      <c r="A228" s="508"/>
      <c r="B228" s="503"/>
      <c r="C228" s="504"/>
      <c r="D228" s="531" t="s">
        <v>1472</v>
      </c>
      <c r="E228" s="505" t="s">
        <v>1473</v>
      </c>
      <c r="F228" s="503" t="s">
        <v>48</v>
      </c>
      <c r="G228" s="400" t="str">
        <f t="shared" si="16"/>
        <v>BB01-1</v>
      </c>
      <c r="H228" s="507">
        <v>1</v>
      </c>
      <c r="I228" s="506"/>
      <c r="J228" s="500">
        <v>1</v>
      </c>
      <c r="K228" s="397" t="s">
        <v>193</v>
      </c>
      <c r="L228" s="395"/>
      <c r="M228" s="395"/>
      <c r="N228" s="395"/>
      <c r="O228" s="395"/>
      <c r="P228" s="395"/>
      <c r="Q228" s="395"/>
      <c r="R228" s="395"/>
      <c r="S228" s="395"/>
      <c r="T228" s="395"/>
      <c r="U228" s="395"/>
    </row>
    <row r="229" spans="1:21" s="407" customFormat="1" ht="12" hidden="1" customHeight="1" outlineLevel="2">
      <c r="A229" s="508"/>
      <c r="B229" s="503"/>
      <c r="C229" s="504"/>
      <c r="D229" s="531" t="s">
        <v>1474</v>
      </c>
      <c r="E229" s="505" t="s">
        <v>1475</v>
      </c>
      <c r="F229" s="503" t="s">
        <v>48</v>
      </c>
      <c r="G229" s="400" t="str">
        <f t="shared" si="16"/>
        <v>BB01-1</v>
      </c>
      <c r="H229" s="507">
        <v>1</v>
      </c>
      <c r="I229" s="506"/>
      <c r="J229" s="500">
        <v>1</v>
      </c>
      <c r="K229" s="397" t="s">
        <v>193</v>
      </c>
      <c r="L229" s="395"/>
      <c r="M229" s="395"/>
      <c r="N229" s="395"/>
      <c r="O229" s="395"/>
      <c r="P229" s="395"/>
      <c r="Q229" s="395"/>
      <c r="R229" s="395"/>
      <c r="S229" s="395"/>
      <c r="T229" s="395"/>
      <c r="U229" s="395"/>
    </row>
    <row r="230" spans="1:21" s="407" customFormat="1" ht="12" hidden="1" customHeight="1" outlineLevel="2">
      <c r="A230" s="508"/>
      <c r="B230" s="503"/>
      <c r="C230" s="504"/>
      <c r="D230" s="531" t="s">
        <v>1476</v>
      </c>
      <c r="E230" s="505" t="s">
        <v>1477</v>
      </c>
      <c r="F230" s="503" t="s">
        <v>48</v>
      </c>
      <c r="G230" s="400" t="str">
        <f t="shared" si="16"/>
        <v>BB01-1</v>
      </c>
      <c r="H230" s="507">
        <v>1</v>
      </c>
      <c r="I230" s="506"/>
      <c r="J230" s="500">
        <v>1</v>
      </c>
      <c r="K230" s="397" t="s">
        <v>193</v>
      </c>
      <c r="L230" s="395"/>
      <c r="M230" s="395"/>
      <c r="N230" s="395"/>
      <c r="O230" s="395"/>
      <c r="P230" s="395"/>
      <c r="Q230" s="395"/>
      <c r="R230" s="395"/>
      <c r="S230" s="395"/>
      <c r="T230" s="395"/>
      <c r="U230" s="395"/>
    </row>
    <row r="231" spans="1:21" s="407" customFormat="1" ht="12" hidden="1" customHeight="1" outlineLevel="2">
      <c r="A231" s="508"/>
      <c r="B231" s="503"/>
      <c r="C231" s="504"/>
      <c r="D231" s="531" t="s">
        <v>1478</v>
      </c>
      <c r="E231" s="505" t="s">
        <v>1479</v>
      </c>
      <c r="F231" s="503" t="s">
        <v>48</v>
      </c>
      <c r="G231" s="400" t="str">
        <f t="shared" si="16"/>
        <v>BB01-1</v>
      </c>
      <c r="H231" s="507">
        <v>1</v>
      </c>
      <c r="I231" s="506"/>
      <c r="J231" s="500">
        <v>1</v>
      </c>
      <c r="K231" s="397" t="s">
        <v>193</v>
      </c>
      <c r="L231" s="395"/>
      <c r="M231" s="395"/>
      <c r="N231" s="395"/>
      <c r="O231" s="395"/>
      <c r="P231" s="395"/>
      <c r="Q231" s="395"/>
      <c r="R231" s="395"/>
      <c r="S231" s="395"/>
      <c r="T231" s="395"/>
      <c r="U231" s="395"/>
    </row>
    <row r="232" spans="1:21" s="407" customFormat="1" ht="12" hidden="1" customHeight="1" outlineLevel="2">
      <c r="A232" s="508"/>
      <c r="B232" s="503"/>
      <c r="C232" s="504"/>
      <c r="D232" s="531" t="s">
        <v>1480</v>
      </c>
      <c r="E232" s="505" t="s">
        <v>1481</v>
      </c>
      <c r="F232" s="503" t="s">
        <v>48</v>
      </c>
      <c r="G232" s="400" t="str">
        <f t="shared" si="16"/>
        <v>BB01-1</v>
      </c>
      <c r="H232" s="507">
        <v>1</v>
      </c>
      <c r="I232" s="506"/>
      <c r="J232" s="500">
        <v>1</v>
      </c>
      <c r="K232" s="397" t="s">
        <v>193</v>
      </c>
      <c r="L232" s="395"/>
      <c r="M232" s="395"/>
      <c r="N232" s="395"/>
      <c r="O232" s="395"/>
      <c r="P232" s="395"/>
      <c r="Q232" s="395"/>
      <c r="R232" s="395"/>
      <c r="S232" s="395"/>
      <c r="T232" s="395"/>
      <c r="U232" s="395"/>
    </row>
    <row r="233" spans="1:21" s="407" customFormat="1" ht="12" hidden="1" customHeight="1" outlineLevel="2">
      <c r="A233" s="508"/>
      <c r="B233" s="503"/>
      <c r="C233" s="504"/>
      <c r="D233" s="531" t="s">
        <v>1194</v>
      </c>
      <c r="E233" s="505" t="s">
        <v>1195</v>
      </c>
      <c r="F233" s="503" t="s">
        <v>48</v>
      </c>
      <c r="G233" s="400" t="str">
        <f t="shared" si="16"/>
        <v>BB01-1</v>
      </c>
      <c r="H233" s="507">
        <v>1</v>
      </c>
      <c r="I233" s="506"/>
      <c r="J233" s="500">
        <v>1</v>
      </c>
      <c r="K233" s="397" t="s">
        <v>193</v>
      </c>
      <c r="L233" s="395"/>
      <c r="M233" s="395"/>
      <c r="N233" s="395"/>
      <c r="O233" s="395"/>
      <c r="P233" s="395"/>
      <c r="Q233" s="395"/>
      <c r="R233" s="395"/>
      <c r="S233" s="395"/>
      <c r="T233" s="395"/>
      <c r="U233" s="395"/>
    </row>
    <row r="234" spans="1:21" s="407" customFormat="1" ht="12" hidden="1" customHeight="1" outlineLevel="2">
      <c r="A234" s="508"/>
      <c r="B234" s="503"/>
      <c r="C234" s="504"/>
      <c r="D234" s="531" t="s">
        <v>1482</v>
      </c>
      <c r="E234" s="505" t="s">
        <v>1483</v>
      </c>
      <c r="F234" s="503" t="s">
        <v>48</v>
      </c>
      <c r="G234" s="400" t="str">
        <f t="shared" si="16"/>
        <v>BB01-1</v>
      </c>
      <c r="H234" s="507">
        <v>1</v>
      </c>
      <c r="I234" s="506"/>
      <c r="J234" s="500">
        <v>1</v>
      </c>
      <c r="K234" s="397" t="s">
        <v>193</v>
      </c>
      <c r="L234" s="395"/>
      <c r="M234" s="395"/>
      <c r="N234" s="395"/>
      <c r="O234" s="395"/>
      <c r="P234" s="395"/>
      <c r="Q234" s="395"/>
      <c r="R234" s="395"/>
      <c r="S234" s="395"/>
      <c r="T234" s="395"/>
      <c r="U234" s="395"/>
    </row>
    <row r="235" spans="1:21" s="407" customFormat="1" ht="12" hidden="1" customHeight="1" outlineLevel="2">
      <c r="A235" s="508"/>
      <c r="B235" s="503"/>
      <c r="C235" s="504"/>
      <c r="D235" s="531" t="s">
        <v>1484</v>
      </c>
      <c r="E235" s="505" t="s">
        <v>1485</v>
      </c>
      <c r="F235" s="503" t="s">
        <v>48</v>
      </c>
      <c r="G235" s="400" t="str">
        <f t="shared" si="16"/>
        <v>BB01-1</v>
      </c>
      <c r="H235" s="507">
        <v>1</v>
      </c>
      <c r="I235" s="506"/>
      <c r="J235" s="500">
        <v>1</v>
      </c>
      <c r="K235" s="397" t="s">
        <v>193</v>
      </c>
      <c r="L235" s="395"/>
      <c r="M235" s="395"/>
      <c r="N235" s="395"/>
      <c r="O235" s="395"/>
      <c r="P235" s="395"/>
      <c r="Q235" s="395"/>
      <c r="R235" s="395"/>
      <c r="S235" s="395"/>
      <c r="T235" s="395"/>
      <c r="U235" s="395"/>
    </row>
    <row r="236" spans="1:21" s="407" customFormat="1" ht="12" hidden="1" customHeight="1" outlineLevel="2">
      <c r="A236" s="508"/>
      <c r="B236" s="503"/>
      <c r="C236" s="504"/>
      <c r="D236" s="531" t="s">
        <v>1486</v>
      </c>
      <c r="E236" s="505" t="s">
        <v>1487</v>
      </c>
      <c r="F236" s="503" t="s">
        <v>48</v>
      </c>
      <c r="G236" s="400" t="str">
        <f t="shared" si="16"/>
        <v>BB01-1</v>
      </c>
      <c r="H236" s="507">
        <v>1</v>
      </c>
      <c r="I236" s="506"/>
      <c r="J236" s="500">
        <v>1</v>
      </c>
      <c r="K236" s="397" t="s">
        <v>193</v>
      </c>
      <c r="L236" s="395"/>
      <c r="M236" s="395"/>
      <c r="N236" s="395"/>
      <c r="O236" s="395"/>
      <c r="P236" s="395"/>
      <c r="Q236" s="395"/>
      <c r="R236" s="395"/>
      <c r="S236" s="395"/>
      <c r="T236" s="395"/>
      <c r="U236" s="395"/>
    </row>
    <row r="237" spans="1:21" s="407" customFormat="1" ht="12" hidden="1" customHeight="1" outlineLevel="2">
      <c r="A237" s="508"/>
      <c r="B237" s="503"/>
      <c r="C237" s="504"/>
      <c r="D237" s="531" t="s">
        <v>1488</v>
      </c>
      <c r="E237" s="505" t="s">
        <v>1489</v>
      </c>
      <c r="F237" s="503" t="s">
        <v>48</v>
      </c>
      <c r="G237" s="400" t="str">
        <f t="shared" si="16"/>
        <v>BB01-1</v>
      </c>
      <c r="H237" s="507">
        <v>1</v>
      </c>
      <c r="I237" s="506"/>
      <c r="J237" s="500">
        <v>1</v>
      </c>
      <c r="K237" s="397" t="s">
        <v>193</v>
      </c>
      <c r="L237" s="395"/>
      <c r="M237" s="395"/>
      <c r="N237" s="395"/>
      <c r="O237" s="395"/>
      <c r="P237" s="395"/>
      <c r="Q237" s="395"/>
      <c r="R237" s="395"/>
      <c r="S237" s="395"/>
      <c r="T237" s="395"/>
      <c r="U237" s="395"/>
    </row>
    <row r="238" spans="1:21" s="407" customFormat="1" ht="12" hidden="1" customHeight="1" outlineLevel="2">
      <c r="A238" s="508"/>
      <c r="B238" s="503"/>
      <c r="C238" s="504"/>
      <c r="D238" s="531" t="s">
        <v>1490</v>
      </c>
      <c r="E238" s="505" t="s">
        <v>1491</v>
      </c>
      <c r="F238" s="503" t="s">
        <v>48</v>
      </c>
      <c r="G238" s="400" t="str">
        <f t="shared" si="16"/>
        <v>BB01-1</v>
      </c>
      <c r="H238" s="507">
        <v>1</v>
      </c>
      <c r="I238" s="506"/>
      <c r="J238" s="500">
        <v>1</v>
      </c>
      <c r="K238" s="397" t="s">
        <v>193</v>
      </c>
      <c r="L238" s="395"/>
      <c r="M238" s="395"/>
      <c r="N238" s="395"/>
      <c r="O238" s="395"/>
      <c r="P238" s="395"/>
      <c r="Q238" s="395"/>
      <c r="R238" s="395"/>
      <c r="S238" s="395"/>
      <c r="T238" s="395"/>
      <c r="U238" s="395"/>
    </row>
    <row r="239" spans="1:21" s="407" customFormat="1" ht="12" hidden="1" customHeight="1" outlineLevel="2">
      <c r="A239" s="508"/>
      <c r="B239" s="503"/>
      <c r="C239" s="504"/>
      <c r="D239" s="531" t="s">
        <v>1492</v>
      </c>
      <c r="E239" s="505" t="s">
        <v>1493</v>
      </c>
      <c r="F239" s="503" t="s">
        <v>48</v>
      </c>
      <c r="G239" s="400" t="str">
        <f t="shared" si="16"/>
        <v>BB01-1</v>
      </c>
      <c r="H239" s="507">
        <v>1</v>
      </c>
      <c r="I239" s="506"/>
      <c r="J239" s="500">
        <v>1</v>
      </c>
      <c r="K239" s="397" t="s">
        <v>193</v>
      </c>
      <c r="L239" s="395"/>
      <c r="M239" s="395"/>
      <c r="N239" s="395"/>
      <c r="O239" s="395"/>
      <c r="P239" s="395"/>
      <c r="Q239" s="395"/>
      <c r="R239" s="395"/>
      <c r="S239" s="395"/>
      <c r="T239" s="395"/>
      <c r="U239" s="395"/>
    </row>
    <row r="240" spans="1:21" s="407" customFormat="1" ht="12" hidden="1" customHeight="1" outlineLevel="2">
      <c r="A240" s="508"/>
      <c r="B240" s="503"/>
      <c r="C240" s="504"/>
      <c r="D240" s="531" t="s">
        <v>1494</v>
      </c>
      <c r="E240" s="505" t="s">
        <v>1495</v>
      </c>
      <c r="F240" s="503" t="s">
        <v>48</v>
      </c>
      <c r="G240" s="400" t="str">
        <f t="shared" si="16"/>
        <v>BB01-1</v>
      </c>
      <c r="H240" s="507">
        <v>1</v>
      </c>
      <c r="I240" s="506"/>
      <c r="J240" s="500">
        <v>1</v>
      </c>
      <c r="K240" s="397" t="s">
        <v>193</v>
      </c>
      <c r="L240" s="395"/>
      <c r="M240" s="395"/>
      <c r="N240" s="395"/>
      <c r="O240" s="395"/>
      <c r="P240" s="395"/>
      <c r="Q240" s="395"/>
      <c r="R240" s="395"/>
      <c r="S240" s="395"/>
      <c r="T240" s="395"/>
      <c r="U240" s="395"/>
    </row>
    <row r="241" spans="1:21" s="407" customFormat="1" ht="12" hidden="1" customHeight="1" outlineLevel="2">
      <c r="A241" s="508"/>
      <c r="B241" s="503"/>
      <c r="C241" s="504"/>
      <c r="D241" s="531" t="s">
        <v>1196</v>
      </c>
      <c r="E241" s="505" t="s">
        <v>1496</v>
      </c>
      <c r="F241" s="503" t="s">
        <v>48</v>
      </c>
      <c r="G241" s="400" t="str">
        <f t="shared" si="16"/>
        <v>BB01-1</v>
      </c>
      <c r="H241" s="507">
        <v>1</v>
      </c>
      <c r="I241" s="506"/>
      <c r="J241" s="500">
        <v>1</v>
      </c>
      <c r="K241" s="397" t="s">
        <v>193</v>
      </c>
      <c r="L241" s="395"/>
      <c r="M241" s="395"/>
      <c r="N241" s="395"/>
      <c r="O241" s="395"/>
      <c r="P241" s="395"/>
      <c r="Q241" s="395"/>
      <c r="R241" s="395"/>
      <c r="S241" s="395"/>
      <c r="T241" s="395"/>
      <c r="U241" s="395"/>
    </row>
    <row r="242" spans="1:21" s="407" customFormat="1" ht="12" hidden="1" customHeight="1" outlineLevel="2">
      <c r="A242" s="508"/>
      <c r="B242" s="503"/>
      <c r="C242" s="504"/>
      <c r="D242" s="531" t="s">
        <v>1497</v>
      </c>
      <c r="E242" s="505" t="s">
        <v>1498</v>
      </c>
      <c r="F242" s="503" t="s">
        <v>48</v>
      </c>
      <c r="G242" s="400" t="str">
        <f t="shared" si="16"/>
        <v>BB01-1</v>
      </c>
      <c r="H242" s="507">
        <v>1</v>
      </c>
      <c r="I242" s="506"/>
      <c r="J242" s="500">
        <v>1</v>
      </c>
      <c r="K242" s="397" t="s">
        <v>193</v>
      </c>
      <c r="L242" s="395"/>
      <c r="M242" s="395"/>
      <c r="N242" s="395"/>
      <c r="O242" s="395"/>
      <c r="P242" s="395"/>
      <c r="Q242" s="395"/>
      <c r="R242" s="395"/>
      <c r="S242" s="395"/>
      <c r="T242" s="395"/>
      <c r="U242" s="395"/>
    </row>
    <row r="243" spans="1:21" s="407" customFormat="1" ht="12" hidden="1" customHeight="1" outlineLevel="2">
      <c r="A243" s="508"/>
      <c r="B243" s="503"/>
      <c r="C243" s="504"/>
      <c r="D243" s="531" t="s">
        <v>1499</v>
      </c>
      <c r="E243" s="505" t="s">
        <v>1500</v>
      </c>
      <c r="F243" s="503" t="s">
        <v>48</v>
      </c>
      <c r="G243" s="400" t="str">
        <f t="shared" si="16"/>
        <v>BB01-1</v>
      </c>
      <c r="H243" s="507">
        <v>1</v>
      </c>
      <c r="I243" s="506"/>
      <c r="J243" s="500">
        <v>1</v>
      </c>
      <c r="K243" s="397" t="s">
        <v>193</v>
      </c>
      <c r="L243" s="395"/>
      <c r="M243" s="395"/>
      <c r="N243" s="395"/>
      <c r="O243" s="395"/>
      <c r="P243" s="395"/>
      <c r="Q243" s="395"/>
      <c r="R243" s="395"/>
      <c r="S243" s="395"/>
      <c r="T243" s="395"/>
      <c r="U243" s="395"/>
    </row>
    <row r="244" spans="1:21" s="407" customFormat="1" ht="12" hidden="1" customHeight="1" outlineLevel="2">
      <c r="A244" s="508"/>
      <c r="B244" s="503"/>
      <c r="C244" s="504"/>
      <c r="D244" s="531" t="s">
        <v>1501</v>
      </c>
      <c r="E244" s="505" t="s">
        <v>1502</v>
      </c>
      <c r="F244" s="503" t="s">
        <v>48</v>
      </c>
      <c r="G244" s="400" t="str">
        <f t="shared" si="16"/>
        <v>BB01-1</v>
      </c>
      <c r="H244" s="507">
        <v>1</v>
      </c>
      <c r="I244" s="506"/>
      <c r="J244" s="500">
        <v>1</v>
      </c>
      <c r="K244" s="397" t="s">
        <v>193</v>
      </c>
      <c r="L244" s="395"/>
      <c r="M244" s="395"/>
      <c r="N244" s="395"/>
      <c r="O244" s="395"/>
      <c r="P244" s="395"/>
      <c r="Q244" s="395"/>
      <c r="R244" s="395"/>
      <c r="S244" s="395"/>
      <c r="T244" s="395"/>
      <c r="U244" s="395"/>
    </row>
    <row r="245" spans="1:21" s="407" customFormat="1" ht="12" hidden="1" customHeight="1" outlineLevel="2">
      <c r="A245" s="508"/>
      <c r="B245" s="503"/>
      <c r="C245" s="504"/>
      <c r="D245" s="531" t="s">
        <v>1503</v>
      </c>
      <c r="E245" s="505" t="s">
        <v>1504</v>
      </c>
      <c r="F245" s="503" t="s">
        <v>48</v>
      </c>
      <c r="G245" s="400" t="str">
        <f t="shared" si="16"/>
        <v>BB01-1</v>
      </c>
      <c r="H245" s="507">
        <v>1</v>
      </c>
      <c r="I245" s="506"/>
      <c r="J245" s="500">
        <v>1</v>
      </c>
      <c r="K245" s="397" t="s">
        <v>193</v>
      </c>
      <c r="L245" s="395"/>
      <c r="M245" s="395"/>
      <c r="N245" s="395"/>
      <c r="O245" s="395"/>
      <c r="P245" s="395"/>
      <c r="Q245" s="395"/>
      <c r="R245" s="395"/>
      <c r="S245" s="395"/>
      <c r="T245" s="395"/>
      <c r="U245" s="395"/>
    </row>
    <row r="246" spans="1:21" s="407" customFormat="1" ht="12" hidden="1" customHeight="1" outlineLevel="2">
      <c r="A246" s="508"/>
      <c r="B246" s="503"/>
      <c r="C246" s="504"/>
      <c r="D246" s="531" t="s">
        <v>1505</v>
      </c>
      <c r="E246" s="505" t="s">
        <v>1506</v>
      </c>
      <c r="F246" s="503" t="s">
        <v>48</v>
      </c>
      <c r="G246" s="400" t="str">
        <f t="shared" si="16"/>
        <v>BB01-1</v>
      </c>
      <c r="H246" s="507">
        <v>1</v>
      </c>
      <c r="I246" s="506"/>
      <c r="J246" s="500">
        <v>1</v>
      </c>
      <c r="K246" s="397" t="s">
        <v>193</v>
      </c>
      <c r="L246" s="395"/>
      <c r="M246" s="395"/>
      <c r="N246" s="395"/>
      <c r="O246" s="395"/>
      <c r="P246" s="395"/>
      <c r="Q246" s="395"/>
      <c r="R246" s="395"/>
      <c r="S246" s="395"/>
      <c r="T246" s="395"/>
      <c r="U246" s="395"/>
    </row>
    <row r="247" spans="1:21" s="407" customFormat="1" ht="12" hidden="1" customHeight="1" outlineLevel="2">
      <c r="A247" s="508"/>
      <c r="B247" s="503"/>
      <c r="C247" s="504"/>
      <c r="D247" s="531" t="s">
        <v>1507</v>
      </c>
      <c r="E247" s="505" t="s">
        <v>1508</v>
      </c>
      <c r="F247" s="503" t="s">
        <v>48</v>
      </c>
      <c r="G247" s="400" t="str">
        <f t="shared" si="16"/>
        <v>BB01-1</v>
      </c>
      <c r="H247" s="507">
        <v>1</v>
      </c>
      <c r="I247" s="506"/>
      <c r="J247" s="500">
        <v>1</v>
      </c>
      <c r="K247" s="397" t="s">
        <v>193</v>
      </c>
      <c r="L247" s="395"/>
      <c r="M247" s="395"/>
      <c r="N247" s="395"/>
      <c r="O247" s="395"/>
      <c r="P247" s="395"/>
      <c r="Q247" s="395"/>
      <c r="R247" s="395"/>
      <c r="S247" s="395"/>
      <c r="T247" s="395"/>
      <c r="U247" s="395"/>
    </row>
    <row r="248" spans="1:21" s="407" customFormat="1" ht="12" hidden="1" customHeight="1" outlineLevel="2">
      <c r="A248" s="508"/>
      <c r="B248" s="503"/>
      <c r="C248" s="504"/>
      <c r="D248" s="531" t="s">
        <v>1509</v>
      </c>
      <c r="E248" s="505" t="s">
        <v>1510</v>
      </c>
      <c r="F248" s="503" t="s">
        <v>48</v>
      </c>
      <c r="G248" s="400" t="str">
        <f t="shared" si="16"/>
        <v>BB01-1</v>
      </c>
      <c r="H248" s="507">
        <v>1</v>
      </c>
      <c r="I248" s="506"/>
      <c r="J248" s="500">
        <v>1</v>
      </c>
      <c r="K248" s="397" t="s">
        <v>193</v>
      </c>
      <c r="L248" s="395"/>
      <c r="M248" s="395"/>
      <c r="N248" s="395"/>
      <c r="O248" s="395"/>
      <c r="P248" s="395"/>
      <c r="Q248" s="395"/>
      <c r="R248" s="395"/>
      <c r="S248" s="395"/>
      <c r="T248" s="395"/>
      <c r="U248" s="395"/>
    </row>
    <row r="249" spans="1:21" s="407" customFormat="1" ht="12" hidden="1" customHeight="1" outlineLevel="2">
      <c r="A249" s="508"/>
      <c r="B249" s="503"/>
      <c r="C249" s="504"/>
      <c r="D249" s="531" t="s">
        <v>1511</v>
      </c>
      <c r="E249" s="505" t="s">
        <v>1512</v>
      </c>
      <c r="F249" s="503" t="s">
        <v>48</v>
      </c>
      <c r="G249" s="400" t="str">
        <f t="shared" si="16"/>
        <v>BB01-1</v>
      </c>
      <c r="H249" s="507">
        <v>1</v>
      </c>
      <c r="I249" s="506"/>
      <c r="J249" s="500">
        <v>1</v>
      </c>
      <c r="K249" s="397" t="s">
        <v>193</v>
      </c>
      <c r="L249" s="395"/>
      <c r="M249" s="395"/>
      <c r="N249" s="395"/>
      <c r="O249" s="395"/>
      <c r="P249" s="395"/>
      <c r="Q249" s="395"/>
      <c r="R249" s="395"/>
      <c r="S249" s="395"/>
      <c r="T249" s="395"/>
      <c r="U249" s="395"/>
    </row>
    <row r="250" spans="1:21" s="407" customFormat="1" ht="12" hidden="1" customHeight="1" outlineLevel="2">
      <c r="A250" s="508"/>
      <c r="B250" s="503"/>
      <c r="C250" s="504"/>
      <c r="D250" s="531" t="s">
        <v>1198</v>
      </c>
      <c r="E250" s="505" t="s">
        <v>1199</v>
      </c>
      <c r="F250" s="503" t="s">
        <v>48</v>
      </c>
      <c r="G250" s="400" t="str">
        <f t="shared" si="16"/>
        <v>BB01-1</v>
      </c>
      <c r="H250" s="507">
        <v>1</v>
      </c>
      <c r="I250" s="506"/>
      <c r="J250" s="500">
        <v>1</v>
      </c>
      <c r="K250" s="397" t="s">
        <v>193</v>
      </c>
      <c r="L250" s="395"/>
      <c r="M250" s="395"/>
      <c r="N250" s="395"/>
      <c r="O250" s="395"/>
      <c r="P250" s="395"/>
      <c r="Q250" s="395"/>
      <c r="R250" s="395"/>
      <c r="S250" s="395"/>
      <c r="T250" s="395"/>
      <c r="U250" s="395"/>
    </row>
    <row r="251" spans="1:21" s="407" customFormat="1" ht="12" hidden="1" customHeight="1" outlineLevel="2">
      <c r="A251" s="508"/>
      <c r="B251" s="503"/>
      <c r="C251" s="504"/>
      <c r="D251" s="531" t="s">
        <v>1513</v>
      </c>
      <c r="E251" s="505" t="s">
        <v>1514</v>
      </c>
      <c r="F251" s="503" t="s">
        <v>48</v>
      </c>
      <c r="G251" s="400" t="str">
        <f t="shared" si="16"/>
        <v>BB01-1</v>
      </c>
      <c r="H251" s="507">
        <v>1</v>
      </c>
      <c r="I251" s="506"/>
      <c r="J251" s="500">
        <v>1</v>
      </c>
      <c r="K251" s="397" t="s">
        <v>193</v>
      </c>
      <c r="L251" s="395"/>
      <c r="M251" s="395"/>
      <c r="N251" s="395"/>
      <c r="O251" s="395"/>
      <c r="P251" s="395"/>
      <c r="Q251" s="395"/>
      <c r="R251" s="395"/>
      <c r="S251" s="395"/>
      <c r="T251" s="395"/>
      <c r="U251" s="395"/>
    </row>
    <row r="252" spans="1:21" s="407" customFormat="1" ht="12" hidden="1" customHeight="1" outlineLevel="2">
      <c r="A252" s="508"/>
      <c r="B252" s="503"/>
      <c r="C252" s="504"/>
      <c r="D252" s="531" t="s">
        <v>1515</v>
      </c>
      <c r="E252" s="505" t="s">
        <v>1516</v>
      </c>
      <c r="F252" s="503" t="s">
        <v>48</v>
      </c>
      <c r="G252" s="400" t="str">
        <f t="shared" si="16"/>
        <v>BB01-1</v>
      </c>
      <c r="H252" s="507">
        <v>1</v>
      </c>
      <c r="I252" s="506"/>
      <c r="J252" s="500">
        <v>1</v>
      </c>
      <c r="K252" s="397" t="s">
        <v>193</v>
      </c>
      <c r="L252" s="395"/>
      <c r="M252" s="395"/>
      <c r="N252" s="395"/>
      <c r="O252" s="395"/>
      <c r="P252" s="395"/>
      <c r="Q252" s="395"/>
      <c r="R252" s="395"/>
      <c r="S252" s="395"/>
      <c r="T252" s="395"/>
      <c r="U252" s="395"/>
    </row>
    <row r="253" spans="1:21" s="407" customFormat="1" ht="12" hidden="1" customHeight="1" outlineLevel="2">
      <c r="A253" s="508"/>
      <c r="B253" s="503"/>
      <c r="C253" s="504"/>
      <c r="D253" s="531" t="s">
        <v>1517</v>
      </c>
      <c r="E253" s="505" t="s">
        <v>1518</v>
      </c>
      <c r="F253" s="503" t="s">
        <v>48</v>
      </c>
      <c r="G253" s="400" t="str">
        <f t="shared" si="16"/>
        <v>BB01-1</v>
      </c>
      <c r="H253" s="507">
        <v>1</v>
      </c>
      <c r="I253" s="506"/>
      <c r="J253" s="500">
        <v>1</v>
      </c>
      <c r="K253" s="397" t="s">
        <v>193</v>
      </c>
      <c r="L253" s="395"/>
      <c r="M253" s="395"/>
      <c r="N253" s="395"/>
      <c r="O253" s="395"/>
      <c r="P253" s="395"/>
      <c r="Q253" s="395"/>
      <c r="R253" s="395"/>
      <c r="S253" s="395"/>
      <c r="T253" s="395"/>
      <c r="U253" s="395"/>
    </row>
    <row r="254" spans="1:21" s="407" customFormat="1" ht="12" hidden="1" customHeight="1" outlineLevel="2">
      <c r="A254" s="508"/>
      <c r="B254" s="503"/>
      <c r="C254" s="504"/>
      <c r="D254" s="531" t="s">
        <v>1519</v>
      </c>
      <c r="E254" s="505" t="s">
        <v>1520</v>
      </c>
      <c r="F254" s="503" t="s">
        <v>48</v>
      </c>
      <c r="G254" s="400" t="str">
        <f t="shared" si="16"/>
        <v>BB01-1</v>
      </c>
      <c r="H254" s="507">
        <v>1</v>
      </c>
      <c r="I254" s="506"/>
      <c r="J254" s="500">
        <v>1</v>
      </c>
      <c r="K254" s="397" t="s">
        <v>193</v>
      </c>
      <c r="L254" s="395"/>
      <c r="M254" s="395"/>
      <c r="N254" s="395"/>
      <c r="O254" s="395"/>
      <c r="P254" s="395"/>
      <c r="Q254" s="395"/>
      <c r="R254" s="395"/>
      <c r="S254" s="395"/>
      <c r="T254" s="395"/>
      <c r="U254" s="395"/>
    </row>
    <row r="255" spans="1:21" s="407" customFormat="1" ht="12" hidden="1" customHeight="1" outlineLevel="2">
      <c r="A255" s="508"/>
      <c r="B255" s="503"/>
      <c r="C255" s="504"/>
      <c r="D255" s="531" t="s">
        <v>1521</v>
      </c>
      <c r="E255" s="505" t="s">
        <v>1522</v>
      </c>
      <c r="F255" s="503" t="s">
        <v>48</v>
      </c>
      <c r="G255" s="400" t="str">
        <f t="shared" si="16"/>
        <v>BB01-1</v>
      </c>
      <c r="H255" s="507">
        <v>1</v>
      </c>
      <c r="I255" s="506"/>
      <c r="J255" s="500">
        <v>1</v>
      </c>
      <c r="K255" s="397" t="s">
        <v>193</v>
      </c>
      <c r="L255" s="395"/>
      <c r="M255" s="395"/>
      <c r="N255" s="395"/>
      <c r="O255" s="395"/>
      <c r="P255" s="395"/>
      <c r="Q255" s="395"/>
      <c r="R255" s="395"/>
      <c r="S255" s="395"/>
      <c r="T255" s="395"/>
      <c r="U255" s="395"/>
    </row>
    <row r="256" spans="1:21" s="407" customFormat="1" ht="12" hidden="1" customHeight="1" outlineLevel="2">
      <c r="A256" s="508"/>
      <c r="B256" s="503"/>
      <c r="C256" s="504"/>
      <c r="D256" s="531" t="s">
        <v>1523</v>
      </c>
      <c r="E256" s="505" t="s">
        <v>1524</v>
      </c>
      <c r="F256" s="503" t="s">
        <v>48</v>
      </c>
      <c r="G256" s="400" t="str">
        <f t="shared" si="16"/>
        <v>BB01-1</v>
      </c>
      <c r="H256" s="507">
        <v>1</v>
      </c>
      <c r="I256" s="506"/>
      <c r="J256" s="500">
        <v>1</v>
      </c>
      <c r="K256" s="397" t="s">
        <v>193</v>
      </c>
      <c r="L256" s="395"/>
      <c r="M256" s="395"/>
      <c r="N256" s="395"/>
      <c r="O256" s="395"/>
      <c r="P256" s="395"/>
      <c r="Q256" s="395"/>
      <c r="R256" s="395"/>
      <c r="S256" s="395"/>
      <c r="T256" s="395"/>
      <c r="U256" s="395"/>
    </row>
    <row r="257" spans="1:21" s="407" customFormat="1" ht="12" hidden="1" customHeight="1" outlineLevel="2">
      <c r="A257" s="508"/>
      <c r="B257" s="503"/>
      <c r="C257" s="504"/>
      <c r="D257" s="531" t="s">
        <v>1525</v>
      </c>
      <c r="E257" s="505" t="s">
        <v>1526</v>
      </c>
      <c r="F257" s="503" t="s">
        <v>48</v>
      </c>
      <c r="G257" s="400" t="str">
        <f t="shared" si="16"/>
        <v>BB01-1</v>
      </c>
      <c r="H257" s="507">
        <v>1</v>
      </c>
      <c r="I257" s="506"/>
      <c r="J257" s="500">
        <v>1</v>
      </c>
      <c r="K257" s="397" t="s">
        <v>193</v>
      </c>
      <c r="L257" s="395"/>
      <c r="M257" s="395"/>
      <c r="N257" s="395"/>
      <c r="O257" s="395"/>
      <c r="P257" s="395"/>
      <c r="Q257" s="395"/>
      <c r="R257" s="395"/>
      <c r="S257" s="395"/>
      <c r="T257" s="395"/>
      <c r="U257" s="395"/>
    </row>
    <row r="258" spans="1:21" s="407" customFormat="1" ht="12" hidden="1" customHeight="1" outlineLevel="2">
      <c r="A258" s="508"/>
      <c r="B258" s="503"/>
      <c r="C258" s="504"/>
      <c r="D258" s="531" t="s">
        <v>1200</v>
      </c>
      <c r="E258" s="505" t="s">
        <v>1527</v>
      </c>
      <c r="F258" s="503" t="s">
        <v>48</v>
      </c>
      <c r="G258" s="400" t="str">
        <f t="shared" si="16"/>
        <v>BB01-1</v>
      </c>
      <c r="H258" s="507">
        <v>1</v>
      </c>
      <c r="I258" s="506"/>
      <c r="J258" s="500">
        <v>1</v>
      </c>
      <c r="K258" s="397" t="s">
        <v>193</v>
      </c>
      <c r="L258" s="395"/>
      <c r="M258" s="395"/>
      <c r="N258" s="395"/>
      <c r="O258" s="395"/>
      <c r="P258" s="395"/>
      <c r="Q258" s="395"/>
      <c r="R258" s="395"/>
      <c r="S258" s="395"/>
      <c r="T258" s="395"/>
      <c r="U258" s="395"/>
    </row>
    <row r="259" spans="1:21" s="407" customFormat="1" ht="12" hidden="1" customHeight="1" outlineLevel="2">
      <c r="A259" s="508"/>
      <c r="B259" s="503"/>
      <c r="C259" s="504"/>
      <c r="D259" s="531" t="s">
        <v>1528</v>
      </c>
      <c r="E259" s="505" t="s">
        <v>1529</v>
      </c>
      <c r="F259" s="503" t="s">
        <v>48</v>
      </c>
      <c r="G259" s="400" t="str">
        <f t="shared" si="16"/>
        <v>BB01-1</v>
      </c>
      <c r="H259" s="507">
        <v>1</v>
      </c>
      <c r="I259" s="506"/>
      <c r="J259" s="500">
        <v>1</v>
      </c>
      <c r="K259" s="397" t="s">
        <v>193</v>
      </c>
      <c r="L259" s="395"/>
      <c r="M259" s="395"/>
      <c r="N259" s="395"/>
      <c r="O259" s="395"/>
      <c r="P259" s="395"/>
      <c r="Q259" s="395"/>
      <c r="R259" s="395"/>
      <c r="S259" s="395"/>
      <c r="T259" s="395"/>
      <c r="U259" s="395"/>
    </row>
    <row r="260" spans="1:21" s="407" customFormat="1" ht="12" hidden="1" customHeight="1" outlineLevel="2">
      <c r="A260" s="508"/>
      <c r="B260" s="503"/>
      <c r="C260" s="504"/>
      <c r="D260" s="531" t="s">
        <v>1530</v>
      </c>
      <c r="E260" s="505" t="s">
        <v>1531</v>
      </c>
      <c r="F260" s="503" t="s">
        <v>48</v>
      </c>
      <c r="G260" s="400" t="str">
        <f t="shared" si="16"/>
        <v>BB01-1</v>
      </c>
      <c r="H260" s="507">
        <v>1</v>
      </c>
      <c r="I260" s="506"/>
      <c r="J260" s="500">
        <v>1</v>
      </c>
      <c r="K260" s="397" t="s">
        <v>193</v>
      </c>
      <c r="L260" s="395"/>
      <c r="M260" s="395"/>
      <c r="N260" s="395"/>
      <c r="O260" s="395"/>
      <c r="P260" s="395"/>
      <c r="Q260" s="395"/>
      <c r="R260" s="395"/>
      <c r="S260" s="395"/>
      <c r="T260" s="395"/>
      <c r="U260" s="395"/>
    </row>
    <row r="261" spans="1:21" s="407" customFormat="1" ht="12" hidden="1" customHeight="1" outlineLevel="2">
      <c r="A261" s="508"/>
      <c r="B261" s="503"/>
      <c r="C261" s="504"/>
      <c r="D261" s="531" t="s">
        <v>1532</v>
      </c>
      <c r="E261" s="505" t="s">
        <v>1533</v>
      </c>
      <c r="F261" s="503" t="s">
        <v>48</v>
      </c>
      <c r="G261" s="400" t="str">
        <f t="shared" si="16"/>
        <v>BB01-1</v>
      </c>
      <c r="H261" s="507">
        <v>1</v>
      </c>
      <c r="I261" s="506"/>
      <c r="J261" s="500">
        <v>1</v>
      </c>
      <c r="K261" s="397" t="s">
        <v>193</v>
      </c>
      <c r="L261" s="395"/>
      <c r="M261" s="395"/>
      <c r="N261" s="395"/>
      <c r="O261" s="395"/>
      <c r="P261" s="395"/>
      <c r="Q261" s="395"/>
      <c r="R261" s="395"/>
      <c r="S261" s="395"/>
      <c r="T261" s="395"/>
      <c r="U261" s="395"/>
    </row>
    <row r="262" spans="1:21" s="407" customFormat="1" ht="12" hidden="1" customHeight="1" outlineLevel="2">
      <c r="A262" s="508"/>
      <c r="B262" s="503"/>
      <c r="C262" s="504"/>
      <c r="D262" s="531" t="s">
        <v>1534</v>
      </c>
      <c r="E262" s="505" t="s">
        <v>1535</v>
      </c>
      <c r="F262" s="503" t="s">
        <v>48</v>
      </c>
      <c r="G262" s="400" t="str">
        <f t="shared" si="16"/>
        <v>BB01-1</v>
      </c>
      <c r="H262" s="507">
        <v>1</v>
      </c>
      <c r="I262" s="506"/>
      <c r="J262" s="500">
        <v>1</v>
      </c>
      <c r="K262" s="397" t="s">
        <v>193</v>
      </c>
      <c r="L262" s="395"/>
      <c r="M262" s="395"/>
      <c r="N262" s="395"/>
      <c r="O262" s="395"/>
      <c r="P262" s="395"/>
      <c r="Q262" s="395"/>
      <c r="R262" s="395"/>
      <c r="S262" s="395"/>
      <c r="T262" s="395"/>
      <c r="U262" s="395"/>
    </row>
    <row r="263" spans="1:21" s="407" customFormat="1" ht="12" hidden="1" customHeight="1" outlineLevel="2">
      <c r="A263" s="508"/>
      <c r="B263" s="503"/>
      <c r="C263" s="504"/>
      <c r="D263" s="531" t="s">
        <v>1536</v>
      </c>
      <c r="E263" s="505" t="s">
        <v>1537</v>
      </c>
      <c r="F263" s="503" t="s">
        <v>48</v>
      </c>
      <c r="G263" s="400" t="str">
        <f t="shared" si="16"/>
        <v>BB01-1</v>
      </c>
      <c r="H263" s="507">
        <v>1</v>
      </c>
      <c r="I263" s="506"/>
      <c r="J263" s="500">
        <v>1</v>
      </c>
      <c r="K263" s="397" t="s">
        <v>193</v>
      </c>
      <c r="L263" s="395"/>
      <c r="M263" s="395"/>
      <c r="N263" s="395"/>
      <c r="O263" s="395"/>
      <c r="P263" s="395"/>
      <c r="Q263" s="395"/>
      <c r="R263" s="395"/>
      <c r="S263" s="395"/>
      <c r="T263" s="395"/>
      <c r="U263" s="395"/>
    </row>
    <row r="264" spans="1:21" s="407" customFormat="1" ht="12" hidden="1" customHeight="1" outlineLevel="2">
      <c r="A264" s="508"/>
      <c r="B264" s="503"/>
      <c r="C264" s="504"/>
      <c r="D264" s="531" t="s">
        <v>1180</v>
      </c>
      <c r="E264" s="505" t="s">
        <v>1538</v>
      </c>
      <c r="F264" s="503" t="s">
        <v>48</v>
      </c>
      <c r="G264" s="400" t="str">
        <f t="shared" si="16"/>
        <v>BB01-1</v>
      </c>
      <c r="H264" s="507">
        <v>1</v>
      </c>
      <c r="I264" s="506"/>
      <c r="J264" s="500">
        <v>1</v>
      </c>
      <c r="K264" s="397" t="s">
        <v>610</v>
      </c>
      <c r="L264" s="395"/>
      <c r="M264" s="395"/>
      <c r="N264" s="395"/>
      <c r="O264" s="395"/>
      <c r="P264" s="395"/>
      <c r="Q264" s="395"/>
      <c r="R264" s="395"/>
      <c r="S264" s="395"/>
      <c r="T264" s="395"/>
      <c r="U264" s="395"/>
    </row>
    <row r="265" spans="1:21" s="407" customFormat="1" ht="3" hidden="1" customHeight="1" outlineLevel="1">
      <c r="A265" s="369"/>
      <c r="B265" s="503"/>
      <c r="C265" s="504"/>
      <c r="D265" s="531"/>
      <c r="E265" s="505"/>
      <c r="F265" s="503"/>
      <c r="G265" s="400"/>
      <c r="H265" s="507"/>
      <c r="I265" s="506"/>
      <c r="J265" s="500"/>
      <c r="K265" s="397"/>
      <c r="L265" s="501"/>
      <c r="M265" s="395"/>
      <c r="N265" s="395"/>
      <c r="O265" s="395"/>
      <c r="P265" s="395"/>
      <c r="Q265" s="395"/>
      <c r="R265" s="395"/>
      <c r="S265" s="395"/>
      <c r="T265" s="395"/>
      <c r="U265" s="395"/>
    </row>
    <row r="266" spans="1:21" customFormat="1" ht="12" hidden="1" customHeight="1" outlineLevel="1" collapsed="1">
      <c r="A266" s="460" t="s">
        <v>151</v>
      </c>
      <c r="B266" s="460" t="s">
        <v>53</v>
      </c>
      <c r="C266" s="460"/>
      <c r="D266" s="459"/>
      <c r="E266" s="460"/>
      <c r="F266" s="503"/>
      <c r="G266" s="400"/>
      <c r="H266" s="510"/>
      <c r="I266" s="506"/>
      <c r="J266" s="511"/>
      <c r="K266" s="464"/>
      <c r="L266" s="465"/>
      <c r="M266" s="465"/>
      <c r="N266" s="465"/>
      <c r="O266" s="465"/>
      <c r="P266" s="465"/>
      <c r="Q266" s="465"/>
      <c r="R266" s="465"/>
      <c r="S266" s="465"/>
      <c r="T266" s="465"/>
      <c r="U266" s="465"/>
    </row>
    <row r="267" spans="1:21" s="407" customFormat="1" ht="12" hidden="1" customHeight="1" outlineLevel="2">
      <c r="A267" s="508"/>
      <c r="B267" s="503"/>
      <c r="C267" s="504"/>
      <c r="D267" s="531" t="s">
        <v>1223</v>
      </c>
      <c r="E267" s="505" t="s">
        <v>1224</v>
      </c>
      <c r="F267" s="503" t="s">
        <v>48</v>
      </c>
      <c r="G267" s="400" t="str">
        <f t="shared" ref="G267" si="17">CONCATENATE(F267,"-",H267)</f>
        <v>BB01-2</v>
      </c>
      <c r="H267" s="507">
        <v>2</v>
      </c>
      <c r="I267" s="506"/>
      <c r="J267" s="395">
        <v>1</v>
      </c>
      <c r="K267" s="397" t="s">
        <v>1222</v>
      </c>
      <c r="L267" s="395"/>
      <c r="N267" s="395"/>
      <c r="O267" s="395"/>
      <c r="P267" s="395"/>
      <c r="Q267" s="395"/>
      <c r="R267" s="395"/>
      <c r="S267" s="395"/>
      <c r="T267" s="395"/>
      <c r="U267" s="395"/>
    </row>
    <row r="268" spans="1:21" s="407" customFormat="1" ht="12" hidden="1" customHeight="1" outlineLevel="2">
      <c r="A268" s="508"/>
      <c r="B268" s="503"/>
      <c r="C268" s="504"/>
      <c r="D268" s="531" t="s">
        <v>1539</v>
      </c>
      <c r="E268" s="505" t="s">
        <v>1540</v>
      </c>
      <c r="F268" s="503" t="s">
        <v>48</v>
      </c>
      <c r="G268" s="400" t="str">
        <f t="shared" ref="G268:G332" si="18">CONCATENATE(F268,"-",H268)</f>
        <v>BB01-2</v>
      </c>
      <c r="H268" s="507">
        <v>2</v>
      </c>
      <c r="I268" s="506"/>
      <c r="J268" s="395">
        <v>1</v>
      </c>
      <c r="K268" s="397" t="s">
        <v>610</v>
      </c>
      <c r="L268" s="395"/>
      <c r="N268" s="395"/>
      <c r="O268" s="395"/>
      <c r="P268" s="395"/>
      <c r="Q268" s="395"/>
      <c r="R268" s="395"/>
      <c r="S268" s="395"/>
      <c r="T268" s="395"/>
      <c r="U268" s="395"/>
    </row>
    <row r="269" spans="1:21" s="407" customFormat="1" ht="12" hidden="1" customHeight="1" outlineLevel="2">
      <c r="A269" s="508"/>
      <c r="B269" s="503"/>
      <c r="C269" s="504"/>
      <c r="D269" s="531" t="s">
        <v>1541</v>
      </c>
      <c r="E269" s="505" t="s">
        <v>1542</v>
      </c>
      <c r="F269" s="503" t="s">
        <v>48</v>
      </c>
      <c r="G269" s="400" t="str">
        <f t="shared" si="18"/>
        <v>BB01-2</v>
      </c>
      <c r="H269" s="507">
        <v>2</v>
      </c>
      <c r="I269" s="506"/>
      <c r="J269" s="395">
        <v>1</v>
      </c>
      <c r="K269" s="397" t="s">
        <v>193</v>
      </c>
      <c r="L269" s="395"/>
      <c r="N269" s="395"/>
      <c r="O269" s="395"/>
      <c r="P269" s="395"/>
      <c r="Q269" s="395"/>
      <c r="R269" s="395"/>
      <c r="S269" s="395"/>
      <c r="T269" s="395"/>
      <c r="U269" s="395"/>
    </row>
    <row r="270" spans="1:21" s="407" customFormat="1" ht="12" hidden="1" customHeight="1" outlineLevel="2">
      <c r="A270" s="508"/>
      <c r="B270" s="503"/>
      <c r="C270" s="504"/>
      <c r="D270" s="531" t="s">
        <v>1543</v>
      </c>
      <c r="E270" s="505" t="s">
        <v>1544</v>
      </c>
      <c r="F270" s="503" t="s">
        <v>48</v>
      </c>
      <c r="G270" s="400" t="str">
        <f t="shared" si="18"/>
        <v>BB01-2</v>
      </c>
      <c r="H270" s="507">
        <v>2</v>
      </c>
      <c r="I270" s="506"/>
      <c r="J270" s="395">
        <v>1</v>
      </c>
      <c r="K270" s="397" t="s">
        <v>193</v>
      </c>
      <c r="L270" s="395"/>
      <c r="N270" s="395"/>
      <c r="O270" s="395"/>
      <c r="P270" s="395"/>
      <c r="Q270" s="395"/>
      <c r="R270" s="395"/>
      <c r="S270" s="395"/>
      <c r="T270" s="395"/>
      <c r="U270" s="395"/>
    </row>
    <row r="271" spans="1:21" s="407" customFormat="1" ht="12" hidden="1" customHeight="1" outlineLevel="2">
      <c r="A271" s="508"/>
      <c r="B271" s="503"/>
      <c r="C271" s="504"/>
      <c r="D271" s="531" t="s">
        <v>1545</v>
      </c>
      <c r="E271" s="505" t="s">
        <v>1546</v>
      </c>
      <c r="F271" s="503" t="s">
        <v>48</v>
      </c>
      <c r="G271" s="400" t="str">
        <f t="shared" si="18"/>
        <v>BB01-2</v>
      </c>
      <c r="H271" s="507">
        <v>2</v>
      </c>
      <c r="I271" s="506"/>
      <c r="J271" s="395">
        <v>1</v>
      </c>
      <c r="K271" s="397" t="s">
        <v>193</v>
      </c>
      <c r="L271" s="395"/>
      <c r="N271" s="395"/>
      <c r="O271" s="395"/>
      <c r="P271" s="395"/>
      <c r="Q271" s="395"/>
      <c r="R271" s="395"/>
      <c r="S271" s="395"/>
      <c r="T271" s="395"/>
      <c r="U271" s="395"/>
    </row>
    <row r="272" spans="1:21" s="407" customFormat="1" ht="12" hidden="1" customHeight="1" outlineLevel="2">
      <c r="A272" s="508"/>
      <c r="B272" s="503"/>
      <c r="C272" s="504"/>
      <c r="D272" s="531" t="s">
        <v>1547</v>
      </c>
      <c r="E272" s="505" t="s">
        <v>1548</v>
      </c>
      <c r="F272" s="503" t="s">
        <v>48</v>
      </c>
      <c r="G272" s="400" t="str">
        <f t="shared" si="18"/>
        <v>BB01-2</v>
      </c>
      <c r="H272" s="507">
        <v>2</v>
      </c>
      <c r="I272" s="506"/>
      <c r="J272" s="395">
        <v>1</v>
      </c>
      <c r="K272" s="397" t="s">
        <v>193</v>
      </c>
      <c r="L272" s="395"/>
      <c r="N272" s="395"/>
      <c r="O272" s="395"/>
      <c r="P272" s="395"/>
      <c r="Q272" s="395"/>
      <c r="R272" s="395"/>
      <c r="S272" s="395"/>
      <c r="T272" s="395"/>
      <c r="U272" s="395"/>
    </row>
    <row r="273" spans="1:21" s="407" customFormat="1" ht="12" hidden="1" customHeight="1" outlineLevel="2">
      <c r="A273" s="508"/>
      <c r="B273" s="503"/>
      <c r="C273" s="504"/>
      <c r="D273" s="531" t="s">
        <v>1549</v>
      </c>
      <c r="E273" s="505" t="s">
        <v>1550</v>
      </c>
      <c r="F273" s="503" t="s">
        <v>48</v>
      </c>
      <c r="G273" s="400" t="str">
        <f t="shared" si="18"/>
        <v>BB01-2</v>
      </c>
      <c r="H273" s="507">
        <v>2</v>
      </c>
      <c r="I273" s="506"/>
      <c r="J273" s="395">
        <v>1</v>
      </c>
      <c r="K273" s="397" t="s">
        <v>193</v>
      </c>
      <c r="L273" s="395"/>
      <c r="N273" s="395"/>
      <c r="O273" s="395"/>
      <c r="P273" s="395"/>
      <c r="Q273" s="395"/>
      <c r="R273" s="395"/>
      <c r="S273" s="395"/>
      <c r="T273" s="395"/>
      <c r="U273" s="395"/>
    </row>
    <row r="274" spans="1:21" s="407" customFormat="1" ht="12" hidden="1" customHeight="1" outlineLevel="2">
      <c r="A274" s="508"/>
      <c r="B274" s="503"/>
      <c r="C274" s="504"/>
      <c r="D274" s="531" t="s">
        <v>1551</v>
      </c>
      <c r="E274" s="505" t="s">
        <v>1552</v>
      </c>
      <c r="F274" s="503" t="s">
        <v>48</v>
      </c>
      <c r="G274" s="400" t="str">
        <f t="shared" si="18"/>
        <v>BB01-2</v>
      </c>
      <c r="H274" s="507">
        <v>2</v>
      </c>
      <c r="I274" s="506"/>
      <c r="J274" s="395">
        <v>1</v>
      </c>
      <c r="K274" s="397" t="s">
        <v>193</v>
      </c>
      <c r="L274" s="395"/>
      <c r="N274" s="395"/>
      <c r="O274" s="395"/>
      <c r="P274" s="395"/>
      <c r="Q274" s="395"/>
      <c r="R274" s="395"/>
      <c r="S274" s="395"/>
      <c r="T274" s="395"/>
      <c r="U274" s="395"/>
    </row>
    <row r="275" spans="1:21" s="407" customFormat="1" ht="12" hidden="1" customHeight="1" outlineLevel="2">
      <c r="A275" s="508"/>
      <c r="B275" s="503"/>
      <c r="C275" s="504"/>
      <c r="D275" s="531" t="s">
        <v>1553</v>
      </c>
      <c r="E275" s="505" t="s">
        <v>1554</v>
      </c>
      <c r="F275" s="503" t="s">
        <v>48</v>
      </c>
      <c r="G275" s="400" t="str">
        <f t="shared" si="18"/>
        <v>BB01-2</v>
      </c>
      <c r="H275" s="507">
        <v>2</v>
      </c>
      <c r="I275" s="506"/>
      <c r="J275" s="395">
        <v>1</v>
      </c>
      <c r="K275" s="397" t="s">
        <v>193</v>
      </c>
      <c r="L275" s="395"/>
      <c r="N275" s="395"/>
      <c r="O275" s="395"/>
      <c r="P275" s="395"/>
      <c r="Q275" s="395"/>
      <c r="R275" s="395"/>
      <c r="S275" s="395"/>
      <c r="T275" s="395"/>
      <c r="U275" s="395"/>
    </row>
    <row r="276" spans="1:21" s="407" customFormat="1" ht="12" hidden="1" customHeight="1" outlineLevel="2">
      <c r="A276" s="508"/>
      <c r="B276" s="503"/>
      <c r="C276" s="504"/>
      <c r="D276" s="531" t="s">
        <v>1555</v>
      </c>
      <c r="E276" s="505" t="s">
        <v>1556</v>
      </c>
      <c r="F276" s="503" t="s">
        <v>48</v>
      </c>
      <c r="G276" s="400" t="str">
        <f t="shared" si="18"/>
        <v>BB01-2</v>
      </c>
      <c r="H276" s="507">
        <v>2</v>
      </c>
      <c r="I276" s="506"/>
      <c r="J276" s="395">
        <v>1</v>
      </c>
      <c r="K276" s="397" t="s">
        <v>193</v>
      </c>
      <c r="L276" s="395"/>
      <c r="N276" s="395"/>
      <c r="O276" s="395"/>
      <c r="P276" s="395"/>
      <c r="Q276" s="395"/>
      <c r="R276" s="395"/>
      <c r="S276" s="395"/>
      <c r="T276" s="395"/>
      <c r="U276" s="395"/>
    </row>
    <row r="277" spans="1:21" s="407" customFormat="1" ht="12" hidden="1" customHeight="1" outlineLevel="2">
      <c r="A277" s="508"/>
      <c r="B277" s="503"/>
      <c r="C277" s="504"/>
      <c r="D277" s="531" t="s">
        <v>1557</v>
      </c>
      <c r="E277" s="505" t="s">
        <v>1558</v>
      </c>
      <c r="F277" s="503" t="s">
        <v>48</v>
      </c>
      <c r="G277" s="400" t="str">
        <f t="shared" si="18"/>
        <v>BB01-2</v>
      </c>
      <c r="H277" s="507">
        <v>2</v>
      </c>
      <c r="I277" s="506"/>
      <c r="J277" s="395">
        <v>1</v>
      </c>
      <c r="K277" s="397" t="s">
        <v>193</v>
      </c>
      <c r="L277" s="395"/>
      <c r="N277" s="395"/>
      <c r="O277" s="395"/>
      <c r="P277" s="395"/>
      <c r="Q277" s="395"/>
      <c r="R277" s="395"/>
      <c r="S277" s="395"/>
      <c r="T277" s="395"/>
      <c r="U277" s="395"/>
    </row>
    <row r="278" spans="1:21" s="407" customFormat="1" ht="12" hidden="1" customHeight="1" outlineLevel="2">
      <c r="A278" s="508"/>
      <c r="B278" s="503"/>
      <c r="C278" s="504"/>
      <c r="D278" s="531" t="s">
        <v>1559</v>
      </c>
      <c r="E278" s="505" t="s">
        <v>1560</v>
      </c>
      <c r="F278" s="503" t="s">
        <v>48</v>
      </c>
      <c r="G278" s="400" t="str">
        <f t="shared" si="18"/>
        <v>BB01-2</v>
      </c>
      <c r="H278" s="507">
        <v>2</v>
      </c>
      <c r="I278" s="506"/>
      <c r="J278" s="395">
        <v>1</v>
      </c>
      <c r="K278" s="397" t="s">
        <v>193</v>
      </c>
      <c r="L278" s="395"/>
      <c r="N278" s="395"/>
      <c r="O278" s="395"/>
      <c r="P278" s="395"/>
      <c r="Q278" s="395"/>
      <c r="R278" s="395"/>
      <c r="S278" s="395"/>
      <c r="T278" s="395"/>
      <c r="U278" s="395"/>
    </row>
    <row r="279" spans="1:21" s="407" customFormat="1" ht="12" hidden="1" customHeight="1" outlineLevel="2">
      <c r="A279" s="508"/>
      <c r="B279" s="503"/>
      <c r="C279" s="504"/>
      <c r="D279" s="531" t="s">
        <v>1561</v>
      </c>
      <c r="E279" s="505" t="s">
        <v>1562</v>
      </c>
      <c r="F279" s="503" t="s">
        <v>48</v>
      </c>
      <c r="G279" s="400" t="str">
        <f t="shared" si="18"/>
        <v>BB01-2</v>
      </c>
      <c r="H279" s="507">
        <v>2</v>
      </c>
      <c r="I279" s="506"/>
      <c r="J279" s="395">
        <v>1</v>
      </c>
      <c r="K279" s="397" t="s">
        <v>610</v>
      </c>
      <c r="L279" s="395"/>
      <c r="N279" s="395"/>
      <c r="O279" s="395"/>
      <c r="P279" s="395"/>
      <c r="Q279" s="395"/>
      <c r="R279" s="395"/>
      <c r="S279" s="395"/>
      <c r="T279" s="395"/>
      <c r="U279" s="395"/>
    </row>
    <row r="280" spans="1:21" s="407" customFormat="1" ht="12" hidden="1" customHeight="1" outlineLevel="2">
      <c r="A280" s="508"/>
      <c r="B280" s="503"/>
      <c r="C280" s="504"/>
      <c r="D280" s="531" t="s">
        <v>1563</v>
      </c>
      <c r="E280" s="505" t="s">
        <v>1564</v>
      </c>
      <c r="F280" s="503" t="s">
        <v>48</v>
      </c>
      <c r="G280" s="400" t="str">
        <f t="shared" si="18"/>
        <v>BB01-2</v>
      </c>
      <c r="H280" s="507">
        <v>2</v>
      </c>
      <c r="I280" s="506"/>
      <c r="J280" s="395">
        <v>1</v>
      </c>
      <c r="K280" s="397" t="s">
        <v>610</v>
      </c>
      <c r="L280" s="395"/>
      <c r="N280" s="395"/>
      <c r="O280" s="395"/>
      <c r="P280" s="395"/>
      <c r="Q280" s="395"/>
      <c r="R280" s="395"/>
      <c r="S280" s="395"/>
      <c r="T280" s="395"/>
      <c r="U280" s="395"/>
    </row>
    <row r="281" spans="1:21" s="407" customFormat="1" ht="12" hidden="1" customHeight="1" outlineLevel="2">
      <c r="A281" s="508"/>
      <c r="B281" s="503"/>
      <c r="C281" s="504"/>
      <c r="D281" s="531" t="s">
        <v>1565</v>
      </c>
      <c r="E281" s="505" t="s">
        <v>1566</v>
      </c>
      <c r="F281" s="503" t="s">
        <v>48</v>
      </c>
      <c r="G281" s="400" t="str">
        <f t="shared" si="18"/>
        <v>BB01-2</v>
      </c>
      <c r="H281" s="507">
        <v>2</v>
      </c>
      <c r="I281" s="506"/>
      <c r="J281" s="395">
        <v>1</v>
      </c>
      <c r="K281" s="397" t="s">
        <v>1222</v>
      </c>
      <c r="L281" s="395"/>
      <c r="N281" s="395"/>
      <c r="O281" s="395"/>
      <c r="P281" s="395"/>
      <c r="Q281" s="395"/>
      <c r="R281" s="395"/>
      <c r="S281" s="395"/>
      <c r="T281" s="395"/>
      <c r="U281" s="395"/>
    </row>
    <row r="282" spans="1:21" s="407" customFormat="1" ht="12" hidden="1" customHeight="1" outlineLevel="2">
      <c r="A282" s="508"/>
      <c r="B282" s="503"/>
      <c r="C282" s="504"/>
      <c r="D282" s="531" t="s">
        <v>1567</v>
      </c>
      <c r="E282" s="505" t="s">
        <v>1568</v>
      </c>
      <c r="F282" s="503" t="s">
        <v>48</v>
      </c>
      <c r="G282" s="400" t="str">
        <f t="shared" si="18"/>
        <v>BB01-2</v>
      </c>
      <c r="H282" s="507">
        <v>2</v>
      </c>
      <c r="I282" s="506"/>
      <c r="J282" s="395">
        <v>1</v>
      </c>
      <c r="K282" s="397" t="s">
        <v>1222</v>
      </c>
      <c r="L282" s="395"/>
      <c r="N282" s="395"/>
      <c r="O282" s="395"/>
      <c r="P282" s="395"/>
      <c r="Q282" s="395"/>
      <c r="R282" s="395"/>
      <c r="S282" s="395"/>
      <c r="T282" s="395"/>
      <c r="U282" s="395"/>
    </row>
    <row r="283" spans="1:21" s="407" customFormat="1" ht="12" hidden="1" customHeight="1" outlineLevel="2">
      <c r="A283" s="508"/>
      <c r="B283" s="503"/>
      <c r="C283" s="504"/>
      <c r="D283" s="531" t="s">
        <v>1569</v>
      </c>
      <c r="E283" s="505" t="s">
        <v>1570</v>
      </c>
      <c r="F283" s="503" t="s">
        <v>48</v>
      </c>
      <c r="G283" s="400" t="str">
        <f t="shared" si="18"/>
        <v>BB01-2</v>
      </c>
      <c r="H283" s="507">
        <v>2</v>
      </c>
      <c r="I283" s="506"/>
      <c r="J283" s="395">
        <v>1</v>
      </c>
      <c r="K283" s="397" t="s">
        <v>610</v>
      </c>
      <c r="L283" s="395"/>
      <c r="N283" s="395"/>
      <c r="O283" s="395"/>
      <c r="P283" s="395"/>
      <c r="Q283" s="395"/>
      <c r="R283" s="395"/>
      <c r="S283" s="395"/>
      <c r="T283" s="395"/>
      <c r="U283" s="395"/>
    </row>
    <row r="284" spans="1:21" s="407" customFormat="1" ht="12" hidden="1" customHeight="1" outlineLevel="2">
      <c r="A284" s="508"/>
      <c r="B284" s="503"/>
      <c r="C284" s="504"/>
      <c r="D284" s="531" t="s">
        <v>1571</v>
      </c>
      <c r="E284" s="505" t="s">
        <v>1572</v>
      </c>
      <c r="F284" s="503" t="s">
        <v>48</v>
      </c>
      <c r="G284" s="400" t="str">
        <f t="shared" si="18"/>
        <v>BB01-2</v>
      </c>
      <c r="H284" s="507">
        <v>2</v>
      </c>
      <c r="I284" s="506"/>
      <c r="J284" s="395">
        <v>1</v>
      </c>
      <c r="K284" s="397" t="s">
        <v>1222</v>
      </c>
      <c r="L284" s="395"/>
      <c r="N284" s="395"/>
      <c r="O284" s="395"/>
      <c r="P284" s="395"/>
      <c r="Q284" s="395"/>
      <c r="R284" s="395"/>
      <c r="S284" s="395"/>
      <c r="T284" s="395"/>
      <c r="U284" s="395"/>
    </row>
    <row r="285" spans="1:21" s="407" customFormat="1" ht="12" hidden="1" customHeight="1" outlineLevel="2">
      <c r="A285" s="508"/>
      <c r="B285" s="503"/>
      <c r="C285" s="504"/>
      <c r="D285" s="531" t="s">
        <v>1573</v>
      </c>
      <c r="E285" s="505" t="s">
        <v>1574</v>
      </c>
      <c r="F285" s="503" t="s">
        <v>48</v>
      </c>
      <c r="G285" s="400" t="str">
        <f t="shared" si="18"/>
        <v>BB01-2</v>
      </c>
      <c r="H285" s="507">
        <v>2</v>
      </c>
      <c r="I285" s="506"/>
      <c r="J285" s="395">
        <v>1</v>
      </c>
      <c r="K285" s="397" t="s">
        <v>1222</v>
      </c>
      <c r="L285" s="395"/>
      <c r="N285" s="395"/>
      <c r="O285" s="395"/>
      <c r="P285" s="395"/>
      <c r="Q285" s="395"/>
      <c r="R285" s="395"/>
      <c r="S285" s="395"/>
      <c r="T285" s="395"/>
      <c r="U285" s="395"/>
    </row>
    <row r="286" spans="1:21" s="407" customFormat="1" ht="12" hidden="1" customHeight="1" outlineLevel="2">
      <c r="A286" s="508"/>
      <c r="B286" s="503"/>
      <c r="C286" s="504"/>
      <c r="D286" s="531" t="s">
        <v>1575</v>
      </c>
      <c r="E286" s="505" t="s">
        <v>1576</v>
      </c>
      <c r="F286" s="503" t="s">
        <v>48</v>
      </c>
      <c r="G286" s="400" t="str">
        <f t="shared" si="18"/>
        <v>BB01-2</v>
      </c>
      <c r="H286" s="507">
        <v>2</v>
      </c>
      <c r="I286" s="506"/>
      <c r="J286" s="395">
        <v>1</v>
      </c>
      <c r="K286" s="397" t="s">
        <v>290</v>
      </c>
      <c r="L286" s="395"/>
      <c r="N286" s="395"/>
      <c r="O286" s="395"/>
      <c r="P286" s="395"/>
      <c r="Q286" s="395"/>
      <c r="R286" s="395"/>
      <c r="S286" s="395"/>
      <c r="T286" s="395"/>
      <c r="U286" s="395"/>
    </row>
    <row r="287" spans="1:21" s="407" customFormat="1" ht="12" hidden="1" customHeight="1" outlineLevel="2">
      <c r="A287" s="508"/>
      <c r="B287" s="503"/>
      <c r="C287" s="504"/>
      <c r="D287" s="531" t="s">
        <v>1577</v>
      </c>
      <c r="E287" s="505" t="s">
        <v>1578</v>
      </c>
      <c r="F287" s="503" t="s">
        <v>48</v>
      </c>
      <c r="G287" s="400" t="str">
        <f t="shared" si="18"/>
        <v>BB01-2</v>
      </c>
      <c r="H287" s="507">
        <v>2</v>
      </c>
      <c r="I287" s="506"/>
      <c r="J287" s="395">
        <v>1</v>
      </c>
      <c r="K287" s="397" t="s">
        <v>1222</v>
      </c>
      <c r="L287" s="395"/>
      <c r="N287" s="395"/>
      <c r="O287" s="395"/>
      <c r="P287" s="395"/>
      <c r="Q287" s="395"/>
      <c r="R287" s="395"/>
      <c r="S287" s="395"/>
      <c r="T287" s="395"/>
      <c r="U287" s="395"/>
    </row>
    <row r="288" spans="1:21" s="407" customFormat="1" ht="12" hidden="1" customHeight="1" outlineLevel="2">
      <c r="A288" s="508"/>
      <c r="B288" s="503"/>
      <c r="C288" s="504"/>
      <c r="D288" s="531" t="s">
        <v>1579</v>
      </c>
      <c r="E288" s="505" t="s">
        <v>1580</v>
      </c>
      <c r="F288" s="503" t="s">
        <v>48</v>
      </c>
      <c r="G288" s="400" t="str">
        <f t="shared" si="18"/>
        <v>BB01-2</v>
      </c>
      <c r="H288" s="507">
        <v>2</v>
      </c>
      <c r="I288" s="506"/>
      <c r="J288" s="395">
        <v>1</v>
      </c>
      <c r="K288" s="397" t="s">
        <v>1222</v>
      </c>
      <c r="L288" s="395"/>
      <c r="N288" s="395"/>
      <c r="O288" s="395"/>
      <c r="P288" s="395"/>
      <c r="Q288" s="395"/>
      <c r="R288" s="395"/>
      <c r="S288" s="395"/>
      <c r="T288" s="395"/>
      <c r="U288" s="395"/>
    </row>
    <row r="289" spans="1:21" s="407" customFormat="1" ht="12" hidden="1" customHeight="1" outlineLevel="2">
      <c r="A289" s="508"/>
      <c r="B289" s="503"/>
      <c r="C289" s="504"/>
      <c r="D289" s="531" t="s">
        <v>1581</v>
      </c>
      <c r="E289" s="505" t="s">
        <v>1582</v>
      </c>
      <c r="F289" s="503" t="s">
        <v>48</v>
      </c>
      <c r="G289" s="400" t="str">
        <f t="shared" si="18"/>
        <v>BB01-2</v>
      </c>
      <c r="H289" s="507">
        <v>2</v>
      </c>
      <c r="I289" s="506"/>
      <c r="J289" s="395">
        <v>1</v>
      </c>
      <c r="K289" s="397" t="s">
        <v>1222</v>
      </c>
      <c r="L289" s="395"/>
      <c r="N289" s="395"/>
      <c r="O289" s="395"/>
      <c r="P289" s="395"/>
      <c r="Q289" s="395"/>
      <c r="R289" s="395"/>
      <c r="S289" s="395"/>
      <c r="T289" s="395"/>
      <c r="U289" s="395"/>
    </row>
    <row r="290" spans="1:21" s="407" customFormat="1" ht="12" hidden="1" customHeight="1" outlineLevel="2">
      <c r="A290" s="508"/>
      <c r="B290" s="503"/>
      <c r="C290" s="504"/>
      <c r="D290" s="531" t="s">
        <v>1583</v>
      </c>
      <c r="E290" s="505" t="s">
        <v>1584</v>
      </c>
      <c r="F290" s="503" t="s">
        <v>48</v>
      </c>
      <c r="G290" s="400" t="str">
        <f t="shared" si="18"/>
        <v>BB01-2</v>
      </c>
      <c r="H290" s="507">
        <v>2</v>
      </c>
      <c r="I290" s="506"/>
      <c r="J290" s="395">
        <v>1</v>
      </c>
      <c r="K290" s="397" t="s">
        <v>1222</v>
      </c>
      <c r="L290" s="395"/>
      <c r="N290" s="395"/>
      <c r="O290" s="395"/>
      <c r="P290" s="395"/>
      <c r="Q290" s="395"/>
      <c r="R290" s="395"/>
      <c r="S290" s="395"/>
      <c r="T290" s="395"/>
      <c r="U290" s="395"/>
    </row>
    <row r="291" spans="1:21" s="407" customFormat="1" ht="12" hidden="1" customHeight="1" outlineLevel="2">
      <c r="A291" s="508"/>
      <c r="B291" s="503"/>
      <c r="C291" s="504"/>
      <c r="D291" s="531" t="s">
        <v>1585</v>
      </c>
      <c r="E291" s="505" t="s">
        <v>1586</v>
      </c>
      <c r="F291" s="503" t="s">
        <v>48</v>
      </c>
      <c r="G291" s="400" t="str">
        <f t="shared" si="18"/>
        <v>BB01-2</v>
      </c>
      <c r="H291" s="507">
        <v>2</v>
      </c>
      <c r="I291" s="506"/>
      <c r="J291" s="395">
        <v>1</v>
      </c>
      <c r="K291" s="397" t="s">
        <v>1222</v>
      </c>
      <c r="L291" s="395"/>
      <c r="N291" s="395"/>
      <c r="O291" s="395"/>
      <c r="P291" s="395"/>
      <c r="Q291" s="395"/>
      <c r="R291" s="395"/>
      <c r="S291" s="395"/>
      <c r="T291" s="395"/>
      <c r="U291" s="395"/>
    </row>
    <row r="292" spans="1:21" s="407" customFormat="1" ht="12" hidden="1" customHeight="1" outlineLevel="2">
      <c r="A292" s="508"/>
      <c r="B292" s="503"/>
      <c r="C292" s="504"/>
      <c r="D292" s="531" t="s">
        <v>1587</v>
      </c>
      <c r="E292" s="505" t="s">
        <v>1588</v>
      </c>
      <c r="F292" s="503" t="s">
        <v>48</v>
      </c>
      <c r="G292" s="400" t="str">
        <f t="shared" si="18"/>
        <v>BB01-2</v>
      </c>
      <c r="H292" s="507">
        <v>2</v>
      </c>
      <c r="I292" s="506"/>
      <c r="J292" s="395">
        <v>1</v>
      </c>
      <c r="K292" s="397" t="s">
        <v>1222</v>
      </c>
      <c r="L292" s="395"/>
      <c r="N292" s="395"/>
      <c r="O292" s="395"/>
      <c r="P292" s="395"/>
      <c r="Q292" s="395"/>
      <c r="R292" s="395"/>
      <c r="S292" s="395"/>
      <c r="T292" s="395"/>
      <c r="U292" s="395"/>
    </row>
    <row r="293" spans="1:21" s="407" customFormat="1" ht="12" hidden="1" customHeight="1" outlineLevel="2">
      <c r="A293" s="508"/>
      <c r="B293" s="503"/>
      <c r="C293" s="504"/>
      <c r="D293" s="531" t="s">
        <v>1589</v>
      </c>
      <c r="E293" s="505" t="s">
        <v>1590</v>
      </c>
      <c r="F293" s="503" t="s">
        <v>48</v>
      </c>
      <c r="G293" s="400" t="str">
        <f t="shared" si="18"/>
        <v>BB01-2</v>
      </c>
      <c r="H293" s="507">
        <v>2</v>
      </c>
      <c r="I293" s="506"/>
      <c r="J293" s="395">
        <v>1</v>
      </c>
      <c r="K293" s="397" t="s">
        <v>610</v>
      </c>
      <c r="L293" s="395"/>
      <c r="N293" s="395"/>
      <c r="O293" s="395"/>
      <c r="P293" s="395"/>
      <c r="Q293" s="395"/>
      <c r="R293" s="395"/>
      <c r="S293" s="395"/>
      <c r="T293" s="395"/>
      <c r="U293" s="395"/>
    </row>
    <row r="294" spans="1:21" s="407" customFormat="1" ht="12" hidden="1" customHeight="1" outlineLevel="2">
      <c r="A294" s="508"/>
      <c r="B294" s="503"/>
      <c r="C294" s="504"/>
      <c r="D294" s="531" t="s">
        <v>1591</v>
      </c>
      <c r="E294" s="505" t="s">
        <v>1592</v>
      </c>
      <c r="F294" s="503" t="s">
        <v>48</v>
      </c>
      <c r="G294" s="400" t="str">
        <f t="shared" si="18"/>
        <v>BB01-2</v>
      </c>
      <c r="H294" s="507">
        <v>2</v>
      </c>
      <c r="I294" s="506"/>
      <c r="J294" s="395">
        <v>1</v>
      </c>
      <c r="K294" s="397" t="s">
        <v>610</v>
      </c>
      <c r="L294" s="395"/>
      <c r="N294" s="395"/>
      <c r="O294" s="395"/>
      <c r="P294" s="395"/>
      <c r="Q294" s="395"/>
      <c r="R294" s="395"/>
      <c r="S294" s="395"/>
      <c r="T294" s="395"/>
      <c r="U294" s="395"/>
    </row>
    <row r="295" spans="1:21" s="407" customFormat="1" ht="12" hidden="1" customHeight="1" outlineLevel="2">
      <c r="A295" s="508"/>
      <c r="B295" s="503"/>
      <c r="C295" s="504"/>
      <c r="D295" s="531" t="s">
        <v>1593</v>
      </c>
      <c r="E295" s="505" t="s">
        <v>1594</v>
      </c>
      <c r="F295" s="503" t="s">
        <v>48</v>
      </c>
      <c r="G295" s="400" t="str">
        <f t="shared" si="18"/>
        <v>BB01-2</v>
      </c>
      <c r="H295" s="507">
        <v>2</v>
      </c>
      <c r="I295" s="506"/>
      <c r="J295" s="395">
        <v>1</v>
      </c>
      <c r="K295" s="397" t="s">
        <v>1222</v>
      </c>
      <c r="L295" s="395"/>
      <c r="N295" s="395"/>
      <c r="O295" s="395"/>
      <c r="P295" s="395"/>
      <c r="Q295" s="395"/>
      <c r="R295" s="395"/>
      <c r="S295" s="395"/>
      <c r="T295" s="395"/>
      <c r="U295" s="395"/>
    </row>
    <row r="296" spans="1:21" s="407" customFormat="1" ht="12" hidden="1" customHeight="1" outlineLevel="2">
      <c r="A296" s="508"/>
      <c r="B296" s="503"/>
      <c r="C296" s="504"/>
      <c r="D296" s="531" t="s">
        <v>1595</v>
      </c>
      <c r="E296" s="505" t="s">
        <v>1596</v>
      </c>
      <c r="F296" s="503" t="s">
        <v>48</v>
      </c>
      <c r="G296" s="400" t="str">
        <f t="shared" si="18"/>
        <v>BB01-2</v>
      </c>
      <c r="H296" s="507">
        <v>2</v>
      </c>
      <c r="I296" s="506"/>
      <c r="J296" s="395">
        <v>1</v>
      </c>
      <c r="K296" s="397" t="s">
        <v>610</v>
      </c>
      <c r="L296" s="395"/>
      <c r="N296" s="395"/>
      <c r="O296" s="395"/>
      <c r="P296" s="395"/>
      <c r="Q296" s="395"/>
      <c r="R296" s="395"/>
      <c r="S296" s="395"/>
      <c r="T296" s="395"/>
      <c r="U296" s="395"/>
    </row>
    <row r="297" spans="1:21" s="407" customFormat="1" ht="12" hidden="1" customHeight="1" outlineLevel="2">
      <c r="A297" s="508"/>
      <c r="B297" s="503"/>
      <c r="C297" s="504"/>
      <c r="D297" s="531" t="s">
        <v>1597</v>
      </c>
      <c r="E297" s="505" t="s">
        <v>1598</v>
      </c>
      <c r="F297" s="503" t="s">
        <v>48</v>
      </c>
      <c r="G297" s="400" t="str">
        <f t="shared" si="18"/>
        <v>BB01-2</v>
      </c>
      <c r="H297" s="507">
        <v>2</v>
      </c>
      <c r="I297" s="506"/>
      <c r="J297" s="395">
        <v>1</v>
      </c>
      <c r="K297" s="397" t="s">
        <v>1222</v>
      </c>
      <c r="L297" s="395"/>
      <c r="N297" s="395"/>
      <c r="O297" s="395"/>
      <c r="P297" s="395"/>
      <c r="Q297" s="395"/>
      <c r="R297" s="395"/>
      <c r="S297" s="395"/>
      <c r="T297" s="395"/>
      <c r="U297" s="395"/>
    </row>
    <row r="298" spans="1:21" s="407" customFormat="1" ht="12" hidden="1" customHeight="1" outlineLevel="2">
      <c r="A298" s="508"/>
      <c r="B298" s="503"/>
      <c r="C298" s="504"/>
      <c r="D298" s="531" t="s">
        <v>1599</v>
      </c>
      <c r="E298" s="505" t="s">
        <v>1600</v>
      </c>
      <c r="F298" s="503" t="s">
        <v>48</v>
      </c>
      <c r="G298" s="400" t="str">
        <f t="shared" si="18"/>
        <v>BB01-2</v>
      </c>
      <c r="H298" s="507">
        <v>2</v>
      </c>
      <c r="I298" s="506"/>
      <c r="J298" s="395">
        <v>1</v>
      </c>
      <c r="K298" s="397" t="s">
        <v>1222</v>
      </c>
      <c r="L298" s="395"/>
      <c r="N298" s="395"/>
      <c r="O298" s="395"/>
      <c r="P298" s="395"/>
      <c r="Q298" s="395"/>
      <c r="R298" s="395"/>
      <c r="S298" s="395"/>
      <c r="T298" s="395"/>
      <c r="U298" s="395"/>
    </row>
    <row r="299" spans="1:21" s="407" customFormat="1" ht="12" hidden="1" customHeight="1" outlineLevel="2">
      <c r="A299" s="508"/>
      <c r="B299" s="503"/>
      <c r="C299" s="504"/>
      <c r="D299" s="531" t="s">
        <v>1601</v>
      </c>
      <c r="E299" s="505" t="s">
        <v>1602</v>
      </c>
      <c r="F299" s="503" t="s">
        <v>48</v>
      </c>
      <c r="G299" s="400" t="str">
        <f t="shared" si="18"/>
        <v>BB01-2</v>
      </c>
      <c r="H299" s="507">
        <v>2</v>
      </c>
      <c r="I299" s="506"/>
      <c r="J299" s="395">
        <v>1</v>
      </c>
      <c r="K299" s="397" t="s">
        <v>1222</v>
      </c>
      <c r="L299" s="395"/>
      <c r="N299" s="395"/>
      <c r="O299" s="395"/>
      <c r="P299" s="395"/>
      <c r="Q299" s="395"/>
      <c r="R299" s="395"/>
      <c r="S299" s="395"/>
      <c r="T299" s="395"/>
      <c r="U299" s="395"/>
    </row>
    <row r="300" spans="1:21" s="407" customFormat="1" ht="12" hidden="1" customHeight="1" outlineLevel="2">
      <c r="A300" s="508"/>
      <c r="B300" s="503"/>
      <c r="C300" s="504"/>
      <c r="D300" s="531" t="s">
        <v>1603</v>
      </c>
      <c r="E300" s="505" t="s">
        <v>1604</v>
      </c>
      <c r="F300" s="503" t="s">
        <v>48</v>
      </c>
      <c r="G300" s="400" t="str">
        <f t="shared" si="18"/>
        <v>BB01-2</v>
      </c>
      <c r="H300" s="507">
        <v>2</v>
      </c>
      <c r="I300" s="506"/>
      <c r="J300" s="395">
        <v>1</v>
      </c>
      <c r="K300" s="397" t="s">
        <v>1222</v>
      </c>
      <c r="L300" s="395"/>
      <c r="N300" s="395"/>
      <c r="O300" s="395"/>
      <c r="P300" s="395"/>
      <c r="Q300" s="395"/>
      <c r="R300" s="395"/>
      <c r="S300" s="395"/>
      <c r="T300" s="395"/>
      <c r="U300" s="395"/>
    </row>
    <row r="301" spans="1:21" s="407" customFormat="1" ht="12" hidden="1" customHeight="1" outlineLevel="2">
      <c r="A301" s="508"/>
      <c r="B301" s="503"/>
      <c r="C301" s="504"/>
      <c r="D301" s="531" t="s">
        <v>1605</v>
      </c>
      <c r="E301" s="505" t="s">
        <v>1606</v>
      </c>
      <c r="F301" s="503" t="s">
        <v>48</v>
      </c>
      <c r="G301" s="400" t="str">
        <f t="shared" si="18"/>
        <v>BB01-2</v>
      </c>
      <c r="H301" s="507">
        <v>2</v>
      </c>
      <c r="I301" s="506"/>
      <c r="J301" s="395">
        <v>1</v>
      </c>
      <c r="K301" s="397" t="s">
        <v>1222</v>
      </c>
      <c r="L301" s="395"/>
      <c r="N301" s="395"/>
      <c r="O301" s="395"/>
      <c r="P301" s="395"/>
      <c r="Q301" s="395"/>
      <c r="R301" s="395"/>
      <c r="S301" s="395"/>
      <c r="T301" s="395"/>
      <c r="U301" s="395"/>
    </row>
    <row r="302" spans="1:21" s="407" customFormat="1" ht="12" hidden="1" customHeight="1" outlineLevel="2">
      <c r="A302" s="508"/>
      <c r="B302" s="503"/>
      <c r="C302" s="504"/>
      <c r="D302" s="531" t="s">
        <v>1607</v>
      </c>
      <c r="E302" s="505" t="s">
        <v>1608</v>
      </c>
      <c r="F302" s="503" t="s">
        <v>48</v>
      </c>
      <c r="G302" s="400" t="str">
        <f t="shared" si="18"/>
        <v>BB01-2</v>
      </c>
      <c r="H302" s="507">
        <v>2</v>
      </c>
      <c r="I302" s="506"/>
      <c r="J302" s="395">
        <v>1</v>
      </c>
      <c r="K302" s="397" t="s">
        <v>1222</v>
      </c>
      <c r="L302" s="395"/>
      <c r="N302" s="395"/>
      <c r="O302" s="395"/>
      <c r="P302" s="395"/>
      <c r="Q302" s="395"/>
      <c r="R302" s="395"/>
      <c r="S302" s="395"/>
      <c r="T302" s="395"/>
      <c r="U302" s="395"/>
    </row>
    <row r="303" spans="1:21" s="407" customFormat="1" ht="12" hidden="1" customHeight="1" outlineLevel="2">
      <c r="A303" s="508"/>
      <c r="B303" s="503"/>
      <c r="C303" s="504"/>
      <c r="D303" s="531" t="s">
        <v>1609</v>
      </c>
      <c r="E303" s="505" t="s">
        <v>1610</v>
      </c>
      <c r="F303" s="503" t="s">
        <v>48</v>
      </c>
      <c r="G303" s="400" t="str">
        <f t="shared" si="18"/>
        <v>BB01-2</v>
      </c>
      <c r="H303" s="507">
        <v>2</v>
      </c>
      <c r="I303" s="506"/>
      <c r="J303" s="395">
        <v>1</v>
      </c>
      <c r="K303" s="397" t="s">
        <v>1222</v>
      </c>
      <c r="L303" s="395"/>
      <c r="N303" s="395"/>
      <c r="O303" s="395"/>
      <c r="P303" s="395"/>
      <c r="Q303" s="395"/>
      <c r="R303" s="395"/>
      <c r="S303" s="395"/>
      <c r="T303" s="395"/>
      <c r="U303" s="395"/>
    </row>
    <row r="304" spans="1:21" s="407" customFormat="1" ht="12" hidden="1" customHeight="1" outlineLevel="2">
      <c r="A304" s="508"/>
      <c r="B304" s="503"/>
      <c r="C304" s="504"/>
      <c r="D304" s="531" t="s">
        <v>1611</v>
      </c>
      <c r="E304" s="505" t="s">
        <v>1612</v>
      </c>
      <c r="F304" s="503" t="s">
        <v>48</v>
      </c>
      <c r="G304" s="400" t="str">
        <f t="shared" si="18"/>
        <v>BB01-2</v>
      </c>
      <c r="H304" s="507">
        <v>2</v>
      </c>
      <c r="I304" s="506"/>
      <c r="J304" s="395">
        <v>1</v>
      </c>
      <c r="K304" s="397" t="s">
        <v>610</v>
      </c>
      <c r="L304" s="395"/>
      <c r="N304" s="395"/>
      <c r="O304" s="395"/>
      <c r="P304" s="395"/>
      <c r="Q304" s="395"/>
      <c r="R304" s="395"/>
      <c r="S304" s="395"/>
      <c r="T304" s="395"/>
      <c r="U304" s="395"/>
    </row>
    <row r="305" spans="1:21" s="407" customFormat="1" ht="12" hidden="1" customHeight="1" outlineLevel="2">
      <c r="A305" s="508"/>
      <c r="B305" s="503"/>
      <c r="C305" s="504"/>
      <c r="D305" s="531" t="s">
        <v>1613</v>
      </c>
      <c r="E305" s="505" t="s">
        <v>1614</v>
      </c>
      <c r="F305" s="503" t="s">
        <v>48</v>
      </c>
      <c r="G305" s="400" t="str">
        <f t="shared" si="18"/>
        <v>BB01-2</v>
      </c>
      <c r="H305" s="507">
        <v>2</v>
      </c>
      <c r="I305" s="506"/>
      <c r="J305" s="395">
        <v>1</v>
      </c>
      <c r="K305" s="397" t="s">
        <v>610</v>
      </c>
      <c r="L305" s="395"/>
      <c r="N305" s="395"/>
      <c r="O305" s="395"/>
      <c r="P305" s="395"/>
      <c r="Q305" s="395"/>
      <c r="R305" s="395"/>
      <c r="S305" s="395"/>
      <c r="T305" s="395"/>
      <c r="U305" s="395"/>
    </row>
    <row r="306" spans="1:21" s="407" customFormat="1" ht="12" hidden="1" customHeight="1" outlineLevel="2">
      <c r="A306" s="508"/>
      <c r="B306" s="503"/>
      <c r="C306" s="504"/>
      <c r="D306" s="531" t="s">
        <v>1615</v>
      </c>
      <c r="E306" s="505" t="s">
        <v>1616</v>
      </c>
      <c r="F306" s="503" t="s">
        <v>48</v>
      </c>
      <c r="G306" s="400" t="str">
        <f t="shared" si="18"/>
        <v>BB01-2</v>
      </c>
      <c r="H306" s="507">
        <v>2</v>
      </c>
      <c r="I306" s="506"/>
      <c r="J306" s="395">
        <v>1</v>
      </c>
      <c r="K306" s="397" t="s">
        <v>193</v>
      </c>
      <c r="L306" s="395"/>
      <c r="N306" s="395"/>
      <c r="O306" s="395"/>
      <c r="P306" s="395"/>
      <c r="Q306" s="395"/>
      <c r="R306" s="395"/>
      <c r="S306" s="395"/>
      <c r="T306" s="395"/>
      <c r="U306" s="395"/>
    </row>
    <row r="307" spans="1:21" s="407" customFormat="1" ht="12" hidden="1" customHeight="1" outlineLevel="2">
      <c r="A307" s="508"/>
      <c r="B307" s="503"/>
      <c r="C307" s="504"/>
      <c r="D307" s="531" t="s">
        <v>1617</v>
      </c>
      <c r="E307" s="505" t="s">
        <v>1618</v>
      </c>
      <c r="F307" s="503" t="s">
        <v>48</v>
      </c>
      <c r="G307" s="400" t="str">
        <f t="shared" si="18"/>
        <v>BB01-2</v>
      </c>
      <c r="H307" s="507">
        <v>2</v>
      </c>
      <c r="I307" s="506"/>
      <c r="J307" s="395">
        <v>1</v>
      </c>
      <c r="K307" s="397" t="s">
        <v>1222</v>
      </c>
      <c r="L307" s="395"/>
      <c r="N307" s="395"/>
      <c r="O307" s="395"/>
      <c r="P307" s="395"/>
      <c r="Q307" s="395"/>
      <c r="R307" s="395"/>
      <c r="S307" s="395"/>
      <c r="T307" s="395"/>
      <c r="U307" s="395"/>
    </row>
    <row r="308" spans="1:21" s="407" customFormat="1" ht="12" hidden="1" customHeight="1" outlineLevel="2">
      <c r="A308" s="508"/>
      <c r="B308" s="503"/>
      <c r="C308" s="504"/>
      <c r="D308" s="531" t="s">
        <v>1619</v>
      </c>
      <c r="E308" s="505" t="s">
        <v>1620</v>
      </c>
      <c r="F308" s="503" t="s">
        <v>48</v>
      </c>
      <c r="G308" s="400" t="str">
        <f t="shared" si="18"/>
        <v>BB01-2</v>
      </c>
      <c r="H308" s="507">
        <v>2</v>
      </c>
      <c r="I308" s="506"/>
      <c r="J308" s="395">
        <v>1</v>
      </c>
      <c r="K308" s="397" t="s">
        <v>193</v>
      </c>
      <c r="L308" s="395"/>
      <c r="N308" s="395"/>
      <c r="O308" s="395"/>
      <c r="P308" s="395"/>
      <c r="Q308" s="395"/>
      <c r="R308" s="395"/>
      <c r="S308" s="395"/>
      <c r="T308" s="395"/>
      <c r="U308" s="395"/>
    </row>
    <row r="309" spans="1:21" s="407" customFormat="1" ht="12" hidden="1" customHeight="1" outlineLevel="2">
      <c r="A309" s="508"/>
      <c r="B309" s="503"/>
      <c r="C309" s="504"/>
      <c r="D309" s="531" t="s">
        <v>1621</v>
      </c>
      <c r="E309" s="505" t="s">
        <v>1622</v>
      </c>
      <c r="F309" s="503" t="s">
        <v>48</v>
      </c>
      <c r="G309" s="400" t="str">
        <f t="shared" si="18"/>
        <v>BB01-2</v>
      </c>
      <c r="H309" s="507">
        <v>2</v>
      </c>
      <c r="I309" s="506"/>
      <c r="J309" s="395">
        <v>1</v>
      </c>
      <c r="K309" s="397" t="s">
        <v>193</v>
      </c>
      <c r="L309" s="395"/>
      <c r="N309" s="395"/>
      <c r="O309" s="395"/>
      <c r="P309" s="395"/>
      <c r="Q309" s="395"/>
      <c r="R309" s="395"/>
      <c r="S309" s="395"/>
      <c r="T309" s="395"/>
      <c r="U309" s="395"/>
    </row>
    <row r="310" spans="1:21" s="407" customFormat="1" ht="12" hidden="1" customHeight="1" outlineLevel="2">
      <c r="A310" s="508"/>
      <c r="B310" s="503"/>
      <c r="C310" s="504"/>
      <c r="D310" s="531" t="s">
        <v>1623</v>
      </c>
      <c r="E310" s="505" t="s">
        <v>1624</v>
      </c>
      <c r="F310" s="503" t="s">
        <v>48</v>
      </c>
      <c r="G310" s="400" t="str">
        <f t="shared" si="18"/>
        <v>BB01-2</v>
      </c>
      <c r="H310" s="507">
        <v>2</v>
      </c>
      <c r="I310" s="506"/>
      <c r="J310" s="395">
        <v>1</v>
      </c>
      <c r="K310" s="397" t="s">
        <v>193</v>
      </c>
      <c r="L310" s="395"/>
      <c r="N310" s="395"/>
      <c r="O310" s="395"/>
      <c r="P310" s="395"/>
      <c r="Q310" s="395"/>
      <c r="R310" s="395"/>
      <c r="S310" s="395"/>
      <c r="T310" s="395"/>
      <c r="U310" s="395"/>
    </row>
    <row r="311" spans="1:21" s="407" customFormat="1" ht="12" hidden="1" customHeight="1" outlineLevel="2">
      <c r="A311" s="508"/>
      <c r="B311" s="503"/>
      <c r="C311" s="504"/>
      <c r="D311" s="531" t="s">
        <v>1625</v>
      </c>
      <c r="E311" s="505" t="s">
        <v>1626</v>
      </c>
      <c r="F311" s="503" t="s">
        <v>48</v>
      </c>
      <c r="G311" s="400" t="str">
        <f t="shared" si="18"/>
        <v>BB01-2</v>
      </c>
      <c r="H311" s="507">
        <v>2</v>
      </c>
      <c r="I311" s="506"/>
      <c r="J311" s="395">
        <v>1</v>
      </c>
      <c r="K311" s="397" t="s">
        <v>610</v>
      </c>
      <c r="L311" s="395"/>
      <c r="N311" s="395"/>
      <c r="O311" s="395"/>
      <c r="P311" s="395"/>
      <c r="Q311" s="395"/>
      <c r="R311" s="395"/>
      <c r="S311" s="395"/>
      <c r="T311" s="395"/>
      <c r="U311" s="395"/>
    </row>
    <row r="312" spans="1:21" s="407" customFormat="1" ht="12" hidden="1" customHeight="1" outlineLevel="2">
      <c r="A312" s="508"/>
      <c r="B312" s="503"/>
      <c r="C312" s="504"/>
      <c r="D312" s="531" t="s">
        <v>1627</v>
      </c>
      <c r="E312" s="505" t="s">
        <v>1628</v>
      </c>
      <c r="F312" s="503" t="s">
        <v>48</v>
      </c>
      <c r="G312" s="400" t="str">
        <f t="shared" si="18"/>
        <v>BB01-2</v>
      </c>
      <c r="H312" s="507">
        <v>2</v>
      </c>
      <c r="I312" s="506"/>
      <c r="J312" s="395">
        <v>1</v>
      </c>
      <c r="K312" s="397" t="s">
        <v>193</v>
      </c>
      <c r="L312" s="395"/>
      <c r="N312" s="395"/>
      <c r="O312" s="395"/>
      <c r="P312" s="395"/>
      <c r="Q312" s="395"/>
      <c r="R312" s="395"/>
      <c r="S312" s="395"/>
      <c r="T312" s="395"/>
      <c r="U312" s="395"/>
    </row>
    <row r="313" spans="1:21" s="407" customFormat="1" ht="12" hidden="1" customHeight="1" outlineLevel="2">
      <c r="A313" s="508"/>
      <c r="B313" s="503"/>
      <c r="C313" s="504"/>
      <c r="D313" s="531" t="s">
        <v>1629</v>
      </c>
      <c r="E313" s="505" t="s">
        <v>1630</v>
      </c>
      <c r="F313" s="503" t="s">
        <v>48</v>
      </c>
      <c r="G313" s="400" t="str">
        <f t="shared" si="18"/>
        <v>BB01-2</v>
      </c>
      <c r="H313" s="507">
        <v>2</v>
      </c>
      <c r="I313" s="506"/>
      <c r="J313" s="395">
        <v>1</v>
      </c>
      <c r="K313" s="397" t="s">
        <v>193</v>
      </c>
      <c r="L313" s="395"/>
      <c r="N313" s="395"/>
      <c r="O313" s="395"/>
      <c r="P313" s="395"/>
      <c r="Q313" s="395"/>
      <c r="R313" s="395"/>
      <c r="S313" s="395"/>
      <c r="T313" s="395"/>
      <c r="U313" s="395"/>
    </row>
    <row r="314" spans="1:21" s="407" customFormat="1" ht="12" hidden="1" customHeight="1" outlineLevel="2">
      <c r="A314" s="508"/>
      <c r="B314" s="503"/>
      <c r="C314" s="504"/>
      <c r="D314" s="531" t="s">
        <v>1631</v>
      </c>
      <c r="E314" s="505" t="s">
        <v>1632</v>
      </c>
      <c r="F314" s="503" t="s">
        <v>48</v>
      </c>
      <c r="G314" s="400" t="str">
        <f t="shared" si="18"/>
        <v>BB01-2</v>
      </c>
      <c r="H314" s="507">
        <v>2</v>
      </c>
      <c r="I314" s="506"/>
      <c r="J314" s="395">
        <v>1</v>
      </c>
      <c r="K314" s="397" t="s">
        <v>193</v>
      </c>
      <c r="L314" s="395"/>
      <c r="N314" s="395"/>
      <c r="O314" s="395"/>
      <c r="P314" s="395"/>
      <c r="Q314" s="395"/>
      <c r="R314" s="395"/>
      <c r="S314" s="395"/>
      <c r="T314" s="395"/>
      <c r="U314" s="395"/>
    </row>
    <row r="315" spans="1:21" s="407" customFormat="1" ht="12" hidden="1" customHeight="1" outlineLevel="2">
      <c r="A315" s="508"/>
      <c r="B315" s="503"/>
      <c r="C315" s="504"/>
      <c r="D315" s="531" t="s">
        <v>1633</v>
      </c>
      <c r="E315" s="505" t="s">
        <v>1634</v>
      </c>
      <c r="F315" s="503" t="s">
        <v>48</v>
      </c>
      <c r="G315" s="400" t="str">
        <f t="shared" si="18"/>
        <v>BB01-2</v>
      </c>
      <c r="H315" s="507">
        <v>2</v>
      </c>
      <c r="I315" s="506"/>
      <c r="J315" s="395">
        <v>1</v>
      </c>
      <c r="K315" s="397" t="s">
        <v>610</v>
      </c>
      <c r="L315" s="395"/>
      <c r="N315" s="395"/>
      <c r="O315" s="395"/>
      <c r="P315" s="395"/>
      <c r="Q315" s="395"/>
      <c r="R315" s="395"/>
      <c r="S315" s="395"/>
      <c r="T315" s="395"/>
      <c r="U315" s="395"/>
    </row>
    <row r="316" spans="1:21" s="407" customFormat="1" ht="12" hidden="1" customHeight="1" outlineLevel="2">
      <c r="A316" s="508"/>
      <c r="B316" s="503"/>
      <c r="C316" s="504"/>
      <c r="D316" s="531" t="s">
        <v>1635</v>
      </c>
      <c r="E316" s="505" t="s">
        <v>1636</v>
      </c>
      <c r="F316" s="503" t="s">
        <v>48</v>
      </c>
      <c r="G316" s="400" t="str">
        <f t="shared" si="18"/>
        <v>BB01-2</v>
      </c>
      <c r="H316" s="507">
        <v>2</v>
      </c>
      <c r="I316" s="506"/>
      <c r="J316" s="395">
        <v>1</v>
      </c>
      <c r="K316" s="397" t="s">
        <v>610</v>
      </c>
      <c r="L316" s="395"/>
      <c r="N316" s="395"/>
      <c r="O316" s="395"/>
      <c r="P316" s="395"/>
      <c r="Q316" s="395"/>
      <c r="R316" s="395"/>
      <c r="S316" s="395"/>
      <c r="T316" s="395"/>
      <c r="U316" s="395"/>
    </row>
    <row r="317" spans="1:21" s="407" customFormat="1" ht="12" hidden="1" customHeight="1" outlineLevel="2">
      <c r="A317" s="508"/>
      <c r="B317" s="503"/>
      <c r="C317" s="504"/>
      <c r="D317" s="531" t="s">
        <v>1637</v>
      </c>
      <c r="E317" s="505" t="s">
        <v>1638</v>
      </c>
      <c r="F317" s="503" t="s">
        <v>48</v>
      </c>
      <c r="G317" s="400" t="str">
        <f t="shared" si="18"/>
        <v>BB01-2</v>
      </c>
      <c r="H317" s="507">
        <v>2</v>
      </c>
      <c r="I317" s="506"/>
      <c r="J317" s="395">
        <v>1</v>
      </c>
      <c r="K317" s="397" t="s">
        <v>610</v>
      </c>
      <c r="L317" s="395"/>
      <c r="N317" s="395"/>
      <c r="O317" s="395"/>
      <c r="P317" s="395"/>
      <c r="Q317" s="395"/>
      <c r="R317" s="395"/>
      <c r="S317" s="395"/>
      <c r="T317" s="395"/>
      <c r="U317" s="395"/>
    </row>
    <row r="318" spans="1:21" s="407" customFormat="1" ht="12" hidden="1" customHeight="1" outlineLevel="2">
      <c r="A318" s="508"/>
      <c r="B318" s="503"/>
      <c r="C318" s="504"/>
      <c r="D318" s="531" t="s">
        <v>1639</v>
      </c>
      <c r="E318" s="505" t="s">
        <v>1640</v>
      </c>
      <c r="F318" s="503" t="s">
        <v>48</v>
      </c>
      <c r="G318" s="400" t="str">
        <f t="shared" si="18"/>
        <v>BB01-2</v>
      </c>
      <c r="H318" s="507">
        <v>2</v>
      </c>
      <c r="I318" s="506"/>
      <c r="J318" s="395">
        <v>1</v>
      </c>
      <c r="K318" s="397" t="s">
        <v>610</v>
      </c>
      <c r="L318" s="395"/>
      <c r="N318" s="395"/>
      <c r="O318" s="395"/>
      <c r="P318" s="395"/>
      <c r="Q318" s="395"/>
      <c r="R318" s="395"/>
      <c r="S318" s="395"/>
      <c r="T318" s="395"/>
      <c r="U318" s="395"/>
    </row>
    <row r="319" spans="1:21" s="407" customFormat="1" ht="12" hidden="1" customHeight="1" outlineLevel="2">
      <c r="A319" s="508"/>
      <c r="B319" s="503"/>
      <c r="C319" s="504"/>
      <c r="D319" s="531" t="s">
        <v>1641</v>
      </c>
      <c r="E319" s="505" t="s">
        <v>1642</v>
      </c>
      <c r="F319" s="503" t="s">
        <v>48</v>
      </c>
      <c r="G319" s="400" t="str">
        <f t="shared" si="18"/>
        <v>BB01-2</v>
      </c>
      <c r="H319" s="507">
        <v>2</v>
      </c>
      <c r="I319" s="506"/>
      <c r="J319" s="395">
        <v>1</v>
      </c>
      <c r="K319" s="397" t="s">
        <v>610</v>
      </c>
      <c r="L319" s="395"/>
      <c r="N319" s="395"/>
      <c r="O319" s="395"/>
      <c r="P319" s="395"/>
      <c r="Q319" s="395"/>
      <c r="R319" s="395"/>
      <c r="S319" s="395"/>
      <c r="T319" s="395"/>
      <c r="U319" s="395"/>
    </row>
    <row r="320" spans="1:21" s="407" customFormat="1" ht="12" hidden="1" customHeight="1" outlineLevel="2">
      <c r="A320" s="508"/>
      <c r="B320" s="503"/>
      <c r="C320" s="504"/>
      <c r="D320" s="531" t="s">
        <v>1643</v>
      </c>
      <c r="E320" s="505" t="s">
        <v>1632</v>
      </c>
      <c r="F320" s="503" t="s">
        <v>48</v>
      </c>
      <c r="G320" s="400" t="str">
        <f t="shared" si="18"/>
        <v>BB01-2</v>
      </c>
      <c r="H320" s="507">
        <v>2</v>
      </c>
      <c r="I320" s="506"/>
      <c r="J320" s="395">
        <v>1</v>
      </c>
      <c r="K320" s="397" t="s">
        <v>610</v>
      </c>
      <c r="L320" s="395"/>
      <c r="N320" s="395"/>
      <c r="O320" s="395"/>
      <c r="P320" s="395"/>
      <c r="Q320" s="395"/>
      <c r="R320" s="395"/>
      <c r="S320" s="395"/>
      <c r="T320" s="395"/>
      <c r="U320" s="395"/>
    </row>
    <row r="321" spans="1:21" s="407" customFormat="1" ht="12" hidden="1" customHeight="1" outlineLevel="2">
      <c r="A321" s="508"/>
      <c r="B321" s="503"/>
      <c r="C321" s="504"/>
      <c r="D321" s="531" t="s">
        <v>1644</v>
      </c>
      <c r="E321" s="505" t="s">
        <v>1645</v>
      </c>
      <c r="F321" s="503" t="s">
        <v>48</v>
      </c>
      <c r="G321" s="400" t="str">
        <f t="shared" si="18"/>
        <v>BB01-2</v>
      </c>
      <c r="H321" s="507">
        <v>2</v>
      </c>
      <c r="I321" s="506"/>
      <c r="J321" s="395">
        <v>1</v>
      </c>
      <c r="K321" s="397" t="s">
        <v>610</v>
      </c>
      <c r="L321" s="395"/>
      <c r="N321" s="395"/>
      <c r="O321" s="395"/>
      <c r="P321" s="395"/>
      <c r="Q321" s="395"/>
      <c r="R321" s="395"/>
      <c r="S321" s="395"/>
      <c r="T321" s="395"/>
      <c r="U321" s="395"/>
    </row>
    <row r="322" spans="1:21" s="407" customFormat="1" ht="12" hidden="1" customHeight="1" outlineLevel="2">
      <c r="A322" s="508"/>
      <c r="B322" s="503"/>
      <c r="C322" s="504"/>
      <c r="D322" s="531" t="s">
        <v>1646</v>
      </c>
      <c r="E322" s="505" t="s">
        <v>1647</v>
      </c>
      <c r="F322" s="503" t="s">
        <v>48</v>
      </c>
      <c r="G322" s="400" t="str">
        <f t="shared" si="18"/>
        <v>BB01-2</v>
      </c>
      <c r="H322" s="507">
        <v>2</v>
      </c>
      <c r="I322" s="506"/>
      <c r="J322" s="395">
        <v>1</v>
      </c>
      <c r="K322" s="397" t="s">
        <v>610</v>
      </c>
      <c r="L322" s="395"/>
      <c r="N322" s="395"/>
      <c r="O322" s="395"/>
      <c r="P322" s="395"/>
      <c r="Q322" s="395"/>
      <c r="R322" s="395"/>
      <c r="S322" s="395"/>
      <c r="T322" s="395"/>
      <c r="U322" s="395"/>
    </row>
    <row r="323" spans="1:21" s="407" customFormat="1" ht="12" hidden="1" customHeight="1" outlineLevel="2">
      <c r="A323" s="508"/>
      <c r="B323" s="503"/>
      <c r="C323" s="504"/>
      <c r="D323" s="531" t="s">
        <v>1648</v>
      </c>
      <c r="E323" s="505" t="s">
        <v>1649</v>
      </c>
      <c r="F323" s="503" t="s">
        <v>48</v>
      </c>
      <c r="G323" s="400" t="str">
        <f t="shared" si="18"/>
        <v>BB01-2</v>
      </c>
      <c r="H323" s="507">
        <v>2</v>
      </c>
      <c r="I323" s="506"/>
      <c r="J323" s="395">
        <v>1</v>
      </c>
      <c r="K323" s="397" t="s">
        <v>610</v>
      </c>
      <c r="L323" s="395"/>
      <c r="N323" s="395"/>
      <c r="O323" s="395"/>
      <c r="P323" s="395"/>
      <c r="Q323" s="395"/>
      <c r="R323" s="395"/>
      <c r="S323" s="395"/>
      <c r="T323" s="395"/>
      <c r="U323" s="395"/>
    </row>
    <row r="324" spans="1:21" s="407" customFormat="1" ht="12" hidden="1" customHeight="1" outlineLevel="2">
      <c r="A324" s="508"/>
      <c r="B324" s="503"/>
      <c r="C324" s="504"/>
      <c r="D324" s="531" t="s">
        <v>1650</v>
      </c>
      <c r="E324" s="505" t="s">
        <v>1651</v>
      </c>
      <c r="F324" s="503" t="s">
        <v>48</v>
      </c>
      <c r="G324" s="400" t="str">
        <f t="shared" si="18"/>
        <v>BB01-2</v>
      </c>
      <c r="H324" s="507">
        <v>2</v>
      </c>
      <c r="I324" s="506"/>
      <c r="J324" s="395">
        <v>1</v>
      </c>
      <c r="K324" s="397" t="s">
        <v>610</v>
      </c>
      <c r="L324" s="395"/>
      <c r="N324" s="395"/>
      <c r="O324" s="395"/>
      <c r="P324" s="395"/>
      <c r="Q324" s="395"/>
      <c r="R324" s="395"/>
      <c r="S324" s="395"/>
      <c r="T324" s="395"/>
      <c r="U324" s="395"/>
    </row>
    <row r="325" spans="1:21" s="407" customFormat="1" ht="12" hidden="1" customHeight="1" outlineLevel="2">
      <c r="A325" s="508"/>
      <c r="B325" s="503"/>
      <c r="C325" s="504"/>
      <c r="D325" s="531" t="s">
        <v>1652</v>
      </c>
      <c r="E325" s="505" t="s">
        <v>1653</v>
      </c>
      <c r="F325" s="503" t="s">
        <v>48</v>
      </c>
      <c r="G325" s="400" t="str">
        <f t="shared" si="18"/>
        <v>BB01-2</v>
      </c>
      <c r="H325" s="507">
        <v>2</v>
      </c>
      <c r="I325" s="506"/>
      <c r="J325" s="395">
        <v>1</v>
      </c>
      <c r="K325" s="397" t="s">
        <v>610</v>
      </c>
      <c r="L325" s="395"/>
      <c r="N325" s="395"/>
      <c r="O325" s="395"/>
      <c r="P325" s="395"/>
      <c r="Q325" s="395"/>
      <c r="R325" s="395"/>
      <c r="S325" s="395"/>
      <c r="T325" s="395"/>
      <c r="U325" s="395"/>
    </row>
    <row r="326" spans="1:21" s="407" customFormat="1" ht="12" hidden="1" customHeight="1" outlineLevel="2">
      <c r="A326" s="508"/>
      <c r="B326" s="503"/>
      <c r="C326" s="504"/>
      <c r="D326" s="531" t="s">
        <v>1654</v>
      </c>
      <c r="E326" s="505" t="s">
        <v>1655</v>
      </c>
      <c r="F326" s="503" t="s">
        <v>48</v>
      </c>
      <c r="G326" s="400" t="str">
        <f t="shared" si="18"/>
        <v>BB01-2</v>
      </c>
      <c r="H326" s="507">
        <v>2</v>
      </c>
      <c r="I326" s="506"/>
      <c r="J326" s="395">
        <v>1</v>
      </c>
      <c r="K326" s="397" t="s">
        <v>610</v>
      </c>
      <c r="L326" s="395"/>
      <c r="N326" s="395"/>
      <c r="O326" s="395"/>
      <c r="P326" s="395"/>
      <c r="Q326" s="395"/>
      <c r="R326" s="395"/>
      <c r="S326" s="395"/>
      <c r="T326" s="395"/>
      <c r="U326" s="395"/>
    </row>
    <row r="327" spans="1:21" s="407" customFormat="1" ht="12" hidden="1" customHeight="1" outlineLevel="2">
      <c r="A327" s="508"/>
      <c r="B327" s="503"/>
      <c r="C327" s="504"/>
      <c r="D327" s="531" t="s">
        <v>1656</v>
      </c>
      <c r="E327" s="505" t="s">
        <v>1657</v>
      </c>
      <c r="F327" s="503" t="s">
        <v>48</v>
      </c>
      <c r="G327" s="400" t="str">
        <f t="shared" si="18"/>
        <v>BB01-2</v>
      </c>
      <c r="H327" s="507">
        <v>2</v>
      </c>
      <c r="I327" s="506"/>
      <c r="J327" s="395">
        <v>1</v>
      </c>
      <c r="K327" s="397" t="s">
        <v>610</v>
      </c>
      <c r="L327" s="395"/>
      <c r="N327" s="395"/>
      <c r="O327" s="395"/>
      <c r="P327" s="395"/>
      <c r="Q327" s="395"/>
      <c r="R327" s="395"/>
      <c r="S327" s="395"/>
      <c r="T327" s="395"/>
      <c r="U327" s="395"/>
    </row>
    <row r="328" spans="1:21" s="407" customFormat="1" ht="12" hidden="1" customHeight="1" outlineLevel="2">
      <c r="A328" s="508"/>
      <c r="B328" s="503"/>
      <c r="C328" s="504"/>
      <c r="D328" s="531" t="s">
        <v>1658</v>
      </c>
      <c r="E328" s="505" t="s">
        <v>1659</v>
      </c>
      <c r="F328" s="503" t="s">
        <v>48</v>
      </c>
      <c r="G328" s="400" t="str">
        <f t="shared" si="18"/>
        <v>BB01-2</v>
      </c>
      <c r="H328" s="507">
        <v>2</v>
      </c>
      <c r="I328" s="506"/>
      <c r="J328" s="395">
        <v>1</v>
      </c>
      <c r="K328" s="397" t="s">
        <v>193</v>
      </c>
      <c r="L328" s="395"/>
      <c r="N328" s="395"/>
      <c r="O328" s="395"/>
      <c r="P328" s="395"/>
      <c r="Q328" s="395"/>
      <c r="R328" s="395"/>
      <c r="S328" s="395"/>
      <c r="T328" s="395"/>
      <c r="U328" s="395"/>
    </row>
    <row r="329" spans="1:21" s="407" customFormat="1" ht="12" hidden="1" customHeight="1" outlineLevel="2">
      <c r="A329" s="508"/>
      <c r="B329" s="503"/>
      <c r="C329" s="504"/>
      <c r="D329" s="531" t="s">
        <v>1660</v>
      </c>
      <c r="E329" s="505" t="s">
        <v>1661</v>
      </c>
      <c r="F329" s="503" t="s">
        <v>48</v>
      </c>
      <c r="G329" s="400" t="str">
        <f t="shared" si="18"/>
        <v>BB01-2</v>
      </c>
      <c r="H329" s="507">
        <v>2</v>
      </c>
      <c r="I329" s="506"/>
      <c r="J329" s="395">
        <v>1</v>
      </c>
      <c r="K329" s="397" t="s">
        <v>193</v>
      </c>
      <c r="L329" s="395"/>
      <c r="N329" s="395"/>
      <c r="O329" s="395"/>
      <c r="P329" s="395"/>
      <c r="Q329" s="395"/>
      <c r="R329" s="395"/>
      <c r="S329" s="395"/>
      <c r="T329" s="395"/>
      <c r="U329" s="395"/>
    </row>
    <row r="330" spans="1:21" s="407" customFormat="1" ht="12" hidden="1" customHeight="1" outlineLevel="2">
      <c r="A330" s="508"/>
      <c r="B330" s="503"/>
      <c r="C330" s="504"/>
      <c r="D330" s="531" t="s">
        <v>1662</v>
      </c>
      <c r="E330" s="505" t="s">
        <v>1663</v>
      </c>
      <c r="F330" s="503" t="s">
        <v>48</v>
      </c>
      <c r="G330" s="400" t="str">
        <f t="shared" si="18"/>
        <v>BB01-2</v>
      </c>
      <c r="H330" s="507">
        <v>2</v>
      </c>
      <c r="I330" s="506"/>
      <c r="J330" s="395">
        <v>1</v>
      </c>
      <c r="K330" s="397" t="s">
        <v>193</v>
      </c>
      <c r="L330" s="395"/>
      <c r="N330" s="395"/>
      <c r="O330" s="395"/>
      <c r="P330" s="395"/>
      <c r="Q330" s="395"/>
      <c r="R330" s="395"/>
      <c r="S330" s="395"/>
      <c r="T330" s="395"/>
      <c r="U330" s="395"/>
    </row>
    <row r="331" spans="1:21" s="407" customFormat="1" ht="12" hidden="1" customHeight="1" outlineLevel="2">
      <c r="A331" s="508"/>
      <c r="B331" s="503"/>
      <c r="C331" s="504"/>
      <c r="D331" s="531" t="s">
        <v>1664</v>
      </c>
      <c r="E331" s="505" t="s">
        <v>1665</v>
      </c>
      <c r="F331" s="503" t="s">
        <v>48</v>
      </c>
      <c r="G331" s="400" t="str">
        <f t="shared" ref="G331" si="19">CONCATENATE(F331,"-",H331)</f>
        <v>BB01-2</v>
      </c>
      <c r="H331" s="507">
        <v>2</v>
      </c>
      <c r="I331" s="506"/>
      <c r="J331" s="395">
        <v>1</v>
      </c>
      <c r="K331" s="397" t="s">
        <v>193</v>
      </c>
      <c r="L331" s="395"/>
      <c r="N331" s="395"/>
      <c r="O331" s="395"/>
      <c r="P331" s="395"/>
      <c r="Q331" s="395"/>
      <c r="R331" s="395"/>
      <c r="S331" s="395"/>
      <c r="T331" s="395"/>
      <c r="U331" s="395"/>
    </row>
    <row r="332" spans="1:21" s="407" customFormat="1" ht="12" hidden="1" customHeight="1" outlineLevel="2">
      <c r="A332" s="508"/>
      <c r="B332" s="503"/>
      <c r="C332" s="504"/>
      <c r="D332" s="531" t="s">
        <v>1666</v>
      </c>
      <c r="E332" s="505" t="s">
        <v>1632</v>
      </c>
      <c r="F332" s="503" t="s">
        <v>48</v>
      </c>
      <c r="G332" s="400" t="str">
        <f t="shared" si="18"/>
        <v>BB01-2</v>
      </c>
      <c r="H332" s="507">
        <v>2</v>
      </c>
      <c r="I332" s="506"/>
      <c r="J332" s="395">
        <v>1</v>
      </c>
      <c r="K332" s="397" t="s">
        <v>193</v>
      </c>
      <c r="L332" s="395"/>
      <c r="N332" s="395"/>
      <c r="O332" s="395"/>
      <c r="P332" s="395"/>
      <c r="Q332" s="395"/>
      <c r="R332" s="395"/>
      <c r="S332" s="395"/>
      <c r="T332" s="395"/>
      <c r="U332" s="395"/>
    </row>
    <row r="333" spans="1:21" s="407" customFormat="1" ht="12" hidden="1" customHeight="1" outlineLevel="2">
      <c r="A333" s="508"/>
      <c r="B333" s="503"/>
      <c r="C333" s="504"/>
      <c r="D333" s="531" t="s">
        <v>1667</v>
      </c>
      <c r="E333" s="505" t="s">
        <v>1668</v>
      </c>
      <c r="F333" s="503" t="s">
        <v>48</v>
      </c>
      <c r="G333" s="400" t="str">
        <f t="shared" ref="G333:G391" si="20">CONCATENATE(F333,"-",H333)</f>
        <v>BB01-2</v>
      </c>
      <c r="H333" s="507">
        <v>2</v>
      </c>
      <c r="I333" s="506"/>
      <c r="J333" s="395">
        <v>1</v>
      </c>
      <c r="K333" s="397" t="s">
        <v>193</v>
      </c>
      <c r="L333" s="395"/>
      <c r="N333" s="395"/>
      <c r="O333" s="395"/>
      <c r="P333" s="395"/>
      <c r="Q333" s="395"/>
      <c r="R333" s="395"/>
      <c r="S333" s="395"/>
      <c r="T333" s="395"/>
      <c r="U333" s="395"/>
    </row>
    <row r="334" spans="1:21" s="407" customFormat="1" ht="12" hidden="1" customHeight="1" outlineLevel="2">
      <c r="A334" s="508"/>
      <c r="B334" s="503"/>
      <c r="C334" s="504"/>
      <c r="D334" s="531" t="s">
        <v>1669</v>
      </c>
      <c r="E334" s="505" t="s">
        <v>1670</v>
      </c>
      <c r="F334" s="503" t="s">
        <v>48</v>
      </c>
      <c r="G334" s="400" t="str">
        <f t="shared" si="20"/>
        <v>BB01-2</v>
      </c>
      <c r="H334" s="507">
        <v>2</v>
      </c>
      <c r="I334" s="506"/>
      <c r="J334" s="395">
        <v>1</v>
      </c>
      <c r="K334" s="397" t="s">
        <v>193</v>
      </c>
      <c r="L334" s="395"/>
      <c r="N334" s="395"/>
      <c r="O334" s="395"/>
      <c r="P334" s="395"/>
      <c r="Q334" s="395"/>
      <c r="R334" s="395"/>
      <c r="S334" s="395"/>
      <c r="T334" s="395"/>
      <c r="U334" s="395"/>
    </row>
    <row r="335" spans="1:21" s="407" customFormat="1" ht="12" hidden="1" customHeight="1" outlineLevel="2">
      <c r="A335" s="508"/>
      <c r="B335" s="503"/>
      <c r="C335" s="504"/>
      <c r="D335" s="531" t="s">
        <v>1671</v>
      </c>
      <c r="E335" s="505" t="s">
        <v>1672</v>
      </c>
      <c r="F335" s="503" t="s">
        <v>48</v>
      </c>
      <c r="G335" s="400" t="str">
        <f t="shared" si="20"/>
        <v>BB01-2</v>
      </c>
      <c r="H335" s="507">
        <v>2</v>
      </c>
      <c r="I335" s="506"/>
      <c r="J335" s="395">
        <v>1</v>
      </c>
      <c r="K335" s="397" t="s">
        <v>193</v>
      </c>
      <c r="L335" s="395"/>
      <c r="N335" s="395"/>
      <c r="O335" s="395"/>
      <c r="P335" s="395"/>
      <c r="Q335" s="395"/>
      <c r="R335" s="395"/>
      <c r="S335" s="395"/>
      <c r="T335" s="395"/>
      <c r="U335" s="395"/>
    </row>
    <row r="336" spans="1:21" s="407" customFormat="1" ht="12" hidden="1" customHeight="1" outlineLevel="2">
      <c r="A336" s="508"/>
      <c r="B336" s="503"/>
      <c r="C336" s="504"/>
      <c r="D336" s="531" t="s">
        <v>1673</v>
      </c>
      <c r="E336" s="505" t="s">
        <v>1674</v>
      </c>
      <c r="F336" s="503" t="s">
        <v>48</v>
      </c>
      <c r="G336" s="400" t="str">
        <f t="shared" si="20"/>
        <v>BB01-2</v>
      </c>
      <c r="H336" s="507">
        <v>2</v>
      </c>
      <c r="I336" s="506"/>
      <c r="J336" s="395">
        <v>1</v>
      </c>
      <c r="K336" s="397" t="s">
        <v>193</v>
      </c>
      <c r="L336" s="395"/>
      <c r="N336" s="395"/>
      <c r="O336" s="395"/>
      <c r="P336" s="395"/>
      <c r="Q336" s="395"/>
      <c r="R336" s="395"/>
      <c r="S336" s="395"/>
      <c r="T336" s="395"/>
      <c r="U336" s="395"/>
    </row>
    <row r="337" spans="1:21" s="407" customFormat="1" ht="12" hidden="1" customHeight="1" outlineLevel="2">
      <c r="A337" s="508"/>
      <c r="B337" s="503"/>
      <c r="C337" s="504"/>
      <c r="D337" s="531" t="s">
        <v>1675</v>
      </c>
      <c r="E337" s="505" t="s">
        <v>1676</v>
      </c>
      <c r="F337" s="503" t="s">
        <v>48</v>
      </c>
      <c r="G337" s="400" t="str">
        <f t="shared" si="20"/>
        <v>BB01-2</v>
      </c>
      <c r="H337" s="507">
        <v>2</v>
      </c>
      <c r="I337" s="506"/>
      <c r="J337" s="395">
        <v>1</v>
      </c>
      <c r="K337" s="397" t="s">
        <v>193</v>
      </c>
      <c r="L337" s="395"/>
      <c r="N337" s="395"/>
      <c r="O337" s="395"/>
      <c r="P337" s="395"/>
      <c r="Q337" s="395"/>
      <c r="R337" s="395"/>
      <c r="S337" s="395"/>
      <c r="T337" s="395"/>
      <c r="U337" s="395"/>
    </row>
    <row r="338" spans="1:21" s="407" customFormat="1" ht="12" hidden="1" customHeight="1" outlineLevel="2">
      <c r="A338" s="508"/>
      <c r="B338" s="503"/>
      <c r="C338" s="504"/>
      <c r="D338" s="531" t="s">
        <v>1677</v>
      </c>
      <c r="E338" s="505" t="s">
        <v>1678</v>
      </c>
      <c r="F338" s="503" t="s">
        <v>48</v>
      </c>
      <c r="G338" s="400" t="str">
        <f t="shared" si="20"/>
        <v>BB01-2</v>
      </c>
      <c r="H338" s="507">
        <v>2</v>
      </c>
      <c r="I338" s="506"/>
      <c r="J338" s="395">
        <v>1</v>
      </c>
      <c r="K338" s="397" t="s">
        <v>193</v>
      </c>
      <c r="L338" s="395"/>
      <c r="N338" s="395"/>
      <c r="O338" s="395"/>
      <c r="P338" s="395"/>
      <c r="Q338" s="395"/>
      <c r="R338" s="395"/>
      <c r="S338" s="395"/>
      <c r="T338" s="395"/>
      <c r="U338" s="395"/>
    </row>
    <row r="339" spans="1:21" s="407" customFormat="1" ht="12" hidden="1" customHeight="1" outlineLevel="2">
      <c r="A339" s="508"/>
      <c r="B339" s="503"/>
      <c r="C339" s="504"/>
      <c r="D339" s="531" t="s">
        <v>1679</v>
      </c>
      <c r="E339" s="505" t="s">
        <v>1680</v>
      </c>
      <c r="F339" s="503" t="s">
        <v>48</v>
      </c>
      <c r="G339" s="400" t="str">
        <f t="shared" si="20"/>
        <v>BB01-2</v>
      </c>
      <c r="H339" s="507">
        <v>2</v>
      </c>
      <c r="I339" s="506"/>
      <c r="J339" s="395">
        <v>1</v>
      </c>
      <c r="K339" s="397" t="s">
        <v>193</v>
      </c>
      <c r="L339" s="395"/>
      <c r="N339" s="395"/>
      <c r="O339" s="395"/>
      <c r="P339" s="395"/>
      <c r="Q339" s="395"/>
      <c r="R339" s="395"/>
      <c r="S339" s="395"/>
      <c r="T339" s="395"/>
      <c r="U339" s="395"/>
    </row>
    <row r="340" spans="1:21" s="407" customFormat="1" ht="12" hidden="1" customHeight="1" outlineLevel="2">
      <c r="A340" s="508"/>
      <c r="B340" s="503"/>
      <c r="C340" s="504"/>
      <c r="D340" s="531" t="s">
        <v>1681</v>
      </c>
      <c r="E340" s="505" t="s">
        <v>1682</v>
      </c>
      <c r="F340" s="503" t="s">
        <v>48</v>
      </c>
      <c r="G340" s="400" t="str">
        <f t="shared" si="20"/>
        <v>BB01-2</v>
      </c>
      <c r="H340" s="507">
        <v>2</v>
      </c>
      <c r="I340" s="506"/>
      <c r="J340" s="395">
        <v>1</v>
      </c>
      <c r="K340" s="397" t="s">
        <v>193</v>
      </c>
      <c r="L340" s="395"/>
      <c r="N340" s="395"/>
      <c r="O340" s="395"/>
      <c r="P340" s="395"/>
      <c r="Q340" s="395"/>
      <c r="R340" s="395"/>
      <c r="S340" s="395"/>
      <c r="T340" s="395"/>
      <c r="U340" s="395"/>
    </row>
    <row r="341" spans="1:21" s="407" customFormat="1" ht="12" hidden="1" customHeight="1" outlineLevel="2">
      <c r="A341" s="508"/>
      <c r="B341" s="503"/>
      <c r="C341" s="504"/>
      <c r="D341" s="531" t="s">
        <v>1683</v>
      </c>
      <c r="E341" s="505" t="s">
        <v>1684</v>
      </c>
      <c r="F341" s="503" t="s">
        <v>48</v>
      </c>
      <c r="G341" s="400" t="str">
        <f t="shared" si="20"/>
        <v>BB01-2</v>
      </c>
      <c r="H341" s="507">
        <v>2</v>
      </c>
      <c r="I341" s="506"/>
      <c r="J341" s="395">
        <v>1</v>
      </c>
      <c r="K341" s="397" t="s">
        <v>193</v>
      </c>
      <c r="L341" s="395"/>
      <c r="N341" s="395"/>
      <c r="O341" s="395"/>
      <c r="P341" s="395"/>
      <c r="Q341" s="395"/>
      <c r="R341" s="395"/>
      <c r="S341" s="395"/>
      <c r="T341" s="395"/>
      <c r="U341" s="395"/>
    </row>
    <row r="342" spans="1:21" s="407" customFormat="1" ht="12" hidden="1" customHeight="1" outlineLevel="2">
      <c r="A342" s="508"/>
      <c r="B342" s="503"/>
      <c r="C342" s="504"/>
      <c r="D342" s="531" t="s">
        <v>1685</v>
      </c>
      <c r="E342" s="505" t="s">
        <v>1686</v>
      </c>
      <c r="F342" s="503" t="s">
        <v>48</v>
      </c>
      <c r="G342" s="400" t="str">
        <f t="shared" si="20"/>
        <v>BB01-2</v>
      </c>
      <c r="H342" s="507">
        <v>2</v>
      </c>
      <c r="I342" s="506"/>
      <c r="J342" s="395">
        <v>1</v>
      </c>
      <c r="K342" s="397" t="s">
        <v>193</v>
      </c>
      <c r="L342" s="395"/>
      <c r="N342" s="395"/>
      <c r="O342" s="395"/>
      <c r="P342" s="395"/>
      <c r="Q342" s="395"/>
      <c r="R342" s="395"/>
      <c r="S342" s="395"/>
      <c r="T342" s="395"/>
      <c r="U342" s="395"/>
    </row>
    <row r="343" spans="1:21" s="407" customFormat="1" ht="12" hidden="1" customHeight="1" outlineLevel="2">
      <c r="A343" s="508"/>
      <c r="B343" s="503"/>
      <c r="C343" s="504"/>
      <c r="D343" s="531" t="s">
        <v>1687</v>
      </c>
      <c r="E343" s="505" t="s">
        <v>1688</v>
      </c>
      <c r="F343" s="503" t="s">
        <v>48</v>
      </c>
      <c r="G343" s="400" t="str">
        <f t="shared" si="20"/>
        <v>BB01-2</v>
      </c>
      <c r="H343" s="507">
        <v>2</v>
      </c>
      <c r="I343" s="506"/>
      <c r="J343" s="395">
        <v>1</v>
      </c>
      <c r="K343" s="397" t="s">
        <v>193</v>
      </c>
      <c r="L343" s="395"/>
      <c r="N343" s="395"/>
      <c r="O343" s="395"/>
      <c r="P343" s="395"/>
      <c r="Q343" s="395"/>
      <c r="R343" s="395"/>
      <c r="S343" s="395"/>
      <c r="T343" s="395"/>
      <c r="U343" s="395"/>
    </row>
    <row r="344" spans="1:21" s="407" customFormat="1" ht="12" hidden="1" customHeight="1" outlineLevel="2">
      <c r="A344" s="508"/>
      <c r="B344" s="503"/>
      <c r="C344" s="504"/>
      <c r="D344" s="531" t="s">
        <v>1689</v>
      </c>
      <c r="E344" s="505" t="s">
        <v>1690</v>
      </c>
      <c r="F344" s="503" t="s">
        <v>48</v>
      </c>
      <c r="G344" s="400" t="str">
        <f t="shared" si="20"/>
        <v>BB01-2</v>
      </c>
      <c r="H344" s="507">
        <v>2</v>
      </c>
      <c r="I344" s="506"/>
      <c r="J344" s="395">
        <v>1</v>
      </c>
      <c r="K344" s="397" t="s">
        <v>193</v>
      </c>
      <c r="L344" s="395"/>
      <c r="N344" s="395"/>
      <c r="O344" s="395"/>
      <c r="P344" s="395"/>
      <c r="Q344" s="395"/>
      <c r="R344" s="395"/>
      <c r="S344" s="395"/>
      <c r="T344" s="395"/>
      <c r="U344" s="395"/>
    </row>
    <row r="345" spans="1:21" s="407" customFormat="1" ht="12" hidden="1" customHeight="1" outlineLevel="2">
      <c r="A345" s="508"/>
      <c r="B345" s="503"/>
      <c r="C345" s="504"/>
      <c r="D345" s="531" t="s">
        <v>1691</v>
      </c>
      <c r="E345" s="505" t="s">
        <v>1692</v>
      </c>
      <c r="F345" s="503" t="s">
        <v>48</v>
      </c>
      <c r="G345" s="400" t="str">
        <f t="shared" si="20"/>
        <v>BB01-2</v>
      </c>
      <c r="H345" s="507">
        <v>2</v>
      </c>
      <c r="I345" s="506"/>
      <c r="J345" s="395">
        <v>1</v>
      </c>
      <c r="K345" s="397" t="s">
        <v>193</v>
      </c>
      <c r="L345" s="395"/>
      <c r="N345" s="395"/>
      <c r="O345" s="395"/>
      <c r="P345" s="395"/>
      <c r="Q345" s="395"/>
      <c r="R345" s="395"/>
      <c r="S345" s="395"/>
      <c r="T345" s="395"/>
      <c r="U345" s="395"/>
    </row>
    <row r="346" spans="1:21" s="407" customFormat="1" ht="12" hidden="1" customHeight="1" outlineLevel="2">
      <c r="A346" s="508"/>
      <c r="B346" s="503"/>
      <c r="C346" s="504"/>
      <c r="D346" s="531" t="s">
        <v>1693</v>
      </c>
      <c r="E346" s="505" t="s">
        <v>1694</v>
      </c>
      <c r="F346" s="503" t="s">
        <v>48</v>
      </c>
      <c r="G346" s="400" t="str">
        <f t="shared" si="20"/>
        <v>BB01-2</v>
      </c>
      <c r="H346" s="507">
        <v>2</v>
      </c>
      <c r="I346" s="506"/>
      <c r="J346" s="395">
        <v>1</v>
      </c>
      <c r="K346" s="397" t="s">
        <v>193</v>
      </c>
      <c r="L346" s="395"/>
      <c r="N346" s="395"/>
      <c r="O346" s="395"/>
      <c r="P346" s="395"/>
      <c r="Q346" s="395"/>
      <c r="R346" s="395"/>
      <c r="S346" s="395"/>
      <c r="T346" s="395"/>
      <c r="U346" s="395"/>
    </row>
    <row r="347" spans="1:21" s="407" customFormat="1" ht="12" hidden="1" customHeight="1" outlineLevel="2">
      <c r="A347" s="508"/>
      <c r="B347" s="503"/>
      <c r="C347" s="504"/>
      <c r="D347" s="531" t="s">
        <v>1695</v>
      </c>
      <c r="E347" s="505" t="s">
        <v>1696</v>
      </c>
      <c r="F347" s="503" t="s">
        <v>48</v>
      </c>
      <c r="G347" s="400" t="str">
        <f t="shared" si="20"/>
        <v>BB01-2</v>
      </c>
      <c r="H347" s="507">
        <v>2</v>
      </c>
      <c r="I347" s="506"/>
      <c r="J347" s="395">
        <v>1</v>
      </c>
      <c r="K347" s="397" t="s">
        <v>193</v>
      </c>
      <c r="L347" s="395"/>
      <c r="N347" s="395"/>
      <c r="O347" s="395"/>
      <c r="P347" s="395"/>
      <c r="Q347" s="395"/>
      <c r="R347" s="395"/>
      <c r="S347" s="395"/>
      <c r="T347" s="395"/>
      <c r="U347" s="395"/>
    </row>
    <row r="348" spans="1:21" s="407" customFormat="1" ht="12" hidden="1" customHeight="1" outlineLevel="2">
      <c r="A348" s="508"/>
      <c r="B348" s="503"/>
      <c r="C348" s="504"/>
      <c r="D348" s="531" t="s">
        <v>1697</v>
      </c>
      <c r="E348" s="505" t="s">
        <v>1698</v>
      </c>
      <c r="F348" s="503" t="s">
        <v>48</v>
      </c>
      <c r="G348" s="400" t="str">
        <f t="shared" si="20"/>
        <v>BB01-2</v>
      </c>
      <c r="H348" s="507">
        <v>2</v>
      </c>
      <c r="I348" s="506"/>
      <c r="J348" s="395">
        <v>1</v>
      </c>
      <c r="K348" s="397" t="s">
        <v>193</v>
      </c>
      <c r="L348" s="395"/>
      <c r="N348" s="395"/>
      <c r="O348" s="395"/>
      <c r="P348" s="395"/>
      <c r="Q348" s="395"/>
      <c r="R348" s="395"/>
      <c r="S348" s="395"/>
      <c r="T348" s="395"/>
      <c r="U348" s="395"/>
    </row>
    <row r="349" spans="1:21" s="407" customFormat="1" ht="12" hidden="1" customHeight="1" outlineLevel="2">
      <c r="A349" s="508"/>
      <c r="B349" s="503"/>
      <c r="C349" s="504"/>
      <c r="D349" s="531" t="s">
        <v>1699</v>
      </c>
      <c r="E349" s="505" t="s">
        <v>1700</v>
      </c>
      <c r="F349" s="503" t="s">
        <v>48</v>
      </c>
      <c r="G349" s="400" t="str">
        <f t="shared" si="20"/>
        <v>BB01-2</v>
      </c>
      <c r="H349" s="507">
        <v>2</v>
      </c>
      <c r="I349" s="506"/>
      <c r="J349" s="395">
        <v>1</v>
      </c>
      <c r="K349" s="397" t="s">
        <v>193</v>
      </c>
      <c r="L349" s="395"/>
      <c r="N349" s="395"/>
      <c r="O349" s="395"/>
      <c r="P349" s="395"/>
      <c r="Q349" s="395"/>
      <c r="R349" s="395"/>
      <c r="S349" s="395"/>
      <c r="T349" s="395"/>
      <c r="U349" s="395"/>
    </row>
    <row r="350" spans="1:21" s="407" customFormat="1" ht="12" hidden="1" customHeight="1" outlineLevel="2">
      <c r="A350" s="508"/>
      <c r="B350" s="503"/>
      <c r="C350" s="504"/>
      <c r="D350" s="531" t="s">
        <v>1701</v>
      </c>
      <c r="E350" s="505" t="s">
        <v>1702</v>
      </c>
      <c r="F350" s="503" t="s">
        <v>48</v>
      </c>
      <c r="G350" s="400" t="str">
        <f t="shared" si="20"/>
        <v>BB01-2</v>
      </c>
      <c r="H350" s="507">
        <v>2</v>
      </c>
      <c r="I350" s="506"/>
      <c r="J350" s="395">
        <v>1</v>
      </c>
      <c r="K350" s="397" t="s">
        <v>193</v>
      </c>
      <c r="L350" s="395"/>
      <c r="N350" s="395"/>
      <c r="O350" s="395"/>
      <c r="P350" s="395"/>
      <c r="Q350" s="395"/>
      <c r="R350" s="395"/>
      <c r="S350" s="395"/>
      <c r="T350" s="395"/>
      <c r="U350" s="395"/>
    </row>
    <row r="351" spans="1:21" s="407" customFormat="1" ht="12" hidden="1" customHeight="1" outlineLevel="2">
      <c r="A351" s="508"/>
      <c r="B351" s="503"/>
      <c r="C351" s="504"/>
      <c r="D351" s="531" t="s">
        <v>1703</v>
      </c>
      <c r="E351" s="505" t="s">
        <v>1704</v>
      </c>
      <c r="F351" s="503" t="s">
        <v>48</v>
      </c>
      <c r="G351" s="400" t="str">
        <f t="shared" si="20"/>
        <v>BB01-2</v>
      </c>
      <c r="H351" s="507">
        <v>2</v>
      </c>
      <c r="I351" s="506"/>
      <c r="J351" s="395">
        <v>1</v>
      </c>
      <c r="K351" s="397" t="s">
        <v>193</v>
      </c>
      <c r="L351" s="395"/>
      <c r="N351" s="395"/>
      <c r="O351" s="395"/>
      <c r="P351" s="395"/>
      <c r="Q351" s="395"/>
      <c r="R351" s="395"/>
      <c r="S351" s="395"/>
      <c r="T351" s="395"/>
      <c r="U351" s="395"/>
    </row>
    <row r="352" spans="1:21" s="407" customFormat="1" ht="12" hidden="1" customHeight="1" outlineLevel="2">
      <c r="A352" s="508"/>
      <c r="B352" s="503"/>
      <c r="C352" s="504"/>
      <c r="D352" s="531" t="s">
        <v>1705</v>
      </c>
      <c r="E352" s="505" t="s">
        <v>1706</v>
      </c>
      <c r="F352" s="503" t="s">
        <v>48</v>
      </c>
      <c r="G352" s="400" t="str">
        <f t="shared" si="20"/>
        <v>BB01-2</v>
      </c>
      <c r="H352" s="507">
        <v>2</v>
      </c>
      <c r="I352" s="506"/>
      <c r="J352" s="395">
        <v>1</v>
      </c>
      <c r="K352" s="397" t="s">
        <v>193</v>
      </c>
      <c r="L352" s="395"/>
      <c r="N352" s="395"/>
      <c r="O352" s="395"/>
      <c r="P352" s="395"/>
      <c r="Q352" s="395"/>
      <c r="R352" s="395"/>
      <c r="S352" s="395"/>
      <c r="T352" s="395"/>
      <c r="U352" s="395"/>
    </row>
    <row r="353" spans="1:21" s="407" customFormat="1" ht="12" hidden="1" customHeight="1" outlineLevel="2">
      <c r="A353" s="508"/>
      <c r="B353" s="503"/>
      <c r="C353" s="504"/>
      <c r="D353" s="531" t="s">
        <v>1707</v>
      </c>
      <c r="E353" s="505" t="s">
        <v>1708</v>
      </c>
      <c r="F353" s="503" t="s">
        <v>48</v>
      </c>
      <c r="G353" s="400" t="str">
        <f t="shared" si="20"/>
        <v>BB01-2</v>
      </c>
      <c r="H353" s="507">
        <v>2</v>
      </c>
      <c r="I353" s="506"/>
      <c r="J353" s="395">
        <v>1</v>
      </c>
      <c r="K353" s="397" t="s">
        <v>193</v>
      </c>
      <c r="L353" s="395"/>
      <c r="N353" s="395"/>
      <c r="O353" s="395"/>
      <c r="P353" s="395"/>
      <c r="Q353" s="395"/>
      <c r="R353" s="395"/>
      <c r="S353" s="395"/>
      <c r="T353" s="395"/>
      <c r="U353" s="395"/>
    </row>
    <row r="354" spans="1:21" s="407" customFormat="1" ht="12" hidden="1" customHeight="1" outlineLevel="2">
      <c r="A354" s="508"/>
      <c r="B354" s="503"/>
      <c r="C354" s="504"/>
      <c r="D354" s="531" t="s">
        <v>1709</v>
      </c>
      <c r="E354" s="505" t="s">
        <v>1710</v>
      </c>
      <c r="F354" s="503" t="s">
        <v>48</v>
      </c>
      <c r="G354" s="400" t="str">
        <f t="shared" si="20"/>
        <v>BB01-2</v>
      </c>
      <c r="H354" s="507">
        <v>2</v>
      </c>
      <c r="I354" s="506"/>
      <c r="J354" s="395">
        <v>1</v>
      </c>
      <c r="K354" s="397" t="s">
        <v>193</v>
      </c>
      <c r="L354" s="395"/>
      <c r="N354" s="395"/>
      <c r="O354" s="395"/>
      <c r="P354" s="395"/>
      <c r="Q354" s="395"/>
      <c r="R354" s="395"/>
      <c r="S354" s="395"/>
      <c r="T354" s="395"/>
      <c r="U354" s="395"/>
    </row>
    <row r="355" spans="1:21" s="407" customFormat="1" ht="12" hidden="1" customHeight="1" outlineLevel="2">
      <c r="A355" s="508"/>
      <c r="B355" s="503"/>
      <c r="C355" s="504"/>
      <c r="D355" s="531" t="s">
        <v>1711</v>
      </c>
      <c r="E355" s="505" t="s">
        <v>1712</v>
      </c>
      <c r="F355" s="503" t="s">
        <v>48</v>
      </c>
      <c r="G355" s="400" t="str">
        <f t="shared" si="20"/>
        <v>BB01-2</v>
      </c>
      <c r="H355" s="507">
        <v>2</v>
      </c>
      <c r="I355" s="506"/>
      <c r="J355" s="395">
        <v>1</v>
      </c>
      <c r="K355" s="397" t="s">
        <v>193</v>
      </c>
      <c r="L355" s="395"/>
      <c r="N355" s="395"/>
      <c r="O355" s="395"/>
      <c r="P355" s="395"/>
      <c r="Q355" s="395"/>
      <c r="R355" s="395"/>
      <c r="S355" s="395"/>
      <c r="T355" s="395"/>
      <c r="U355" s="395"/>
    </row>
    <row r="356" spans="1:21" s="407" customFormat="1" ht="12" hidden="1" customHeight="1" outlineLevel="2">
      <c r="A356" s="508"/>
      <c r="B356" s="503"/>
      <c r="C356" s="504"/>
      <c r="D356" s="531" t="s">
        <v>1713</v>
      </c>
      <c r="E356" s="505" t="s">
        <v>1714</v>
      </c>
      <c r="F356" s="503" t="s">
        <v>48</v>
      </c>
      <c r="G356" s="400" t="str">
        <f t="shared" si="20"/>
        <v>BB01-2</v>
      </c>
      <c r="H356" s="507">
        <v>2</v>
      </c>
      <c r="I356" s="506"/>
      <c r="J356" s="395">
        <v>1</v>
      </c>
      <c r="K356" s="397" t="s">
        <v>193</v>
      </c>
      <c r="L356" s="395"/>
      <c r="N356" s="395"/>
      <c r="O356" s="395"/>
      <c r="P356" s="395"/>
      <c r="Q356" s="395"/>
      <c r="R356" s="395"/>
      <c r="S356" s="395"/>
      <c r="T356" s="395"/>
      <c r="U356" s="395"/>
    </row>
    <row r="357" spans="1:21" s="407" customFormat="1" ht="12" hidden="1" customHeight="1" outlineLevel="2">
      <c r="A357" s="508"/>
      <c r="B357" s="503"/>
      <c r="C357" s="504"/>
      <c r="D357" s="531" t="s">
        <v>1715</v>
      </c>
      <c r="E357" s="505" t="s">
        <v>1716</v>
      </c>
      <c r="F357" s="503" t="s">
        <v>48</v>
      </c>
      <c r="G357" s="400" t="str">
        <f t="shared" si="20"/>
        <v>BB01-2</v>
      </c>
      <c r="H357" s="507">
        <v>2</v>
      </c>
      <c r="I357" s="506"/>
      <c r="J357" s="395">
        <v>1</v>
      </c>
      <c r="K357" s="397" t="s">
        <v>193</v>
      </c>
      <c r="L357" s="395"/>
      <c r="N357" s="395"/>
      <c r="O357" s="395"/>
      <c r="P357" s="395"/>
      <c r="Q357" s="395"/>
      <c r="R357" s="395"/>
      <c r="S357" s="395"/>
      <c r="T357" s="395"/>
      <c r="U357" s="395"/>
    </row>
    <row r="358" spans="1:21" s="407" customFormat="1" ht="12" hidden="1" customHeight="1" outlineLevel="2">
      <c r="A358" s="508"/>
      <c r="B358" s="503"/>
      <c r="C358" s="504"/>
      <c r="D358" s="531" t="s">
        <v>1717</v>
      </c>
      <c r="E358" s="505" t="s">
        <v>1718</v>
      </c>
      <c r="F358" s="503" t="s">
        <v>48</v>
      </c>
      <c r="G358" s="400" t="str">
        <f t="shared" si="20"/>
        <v>BB01-2</v>
      </c>
      <c r="H358" s="507">
        <v>2</v>
      </c>
      <c r="I358" s="506"/>
      <c r="J358" s="395">
        <v>1</v>
      </c>
      <c r="K358" s="397" t="s">
        <v>193</v>
      </c>
      <c r="L358" s="395"/>
      <c r="N358" s="395"/>
      <c r="O358" s="395"/>
      <c r="P358" s="395"/>
      <c r="Q358" s="395"/>
      <c r="R358" s="395"/>
      <c r="S358" s="395"/>
      <c r="T358" s="395"/>
      <c r="U358" s="395"/>
    </row>
    <row r="359" spans="1:21" s="407" customFormat="1" ht="12" hidden="1" customHeight="1" outlineLevel="2">
      <c r="A359" s="508"/>
      <c r="B359" s="503"/>
      <c r="C359" s="504"/>
      <c r="D359" s="531" t="s">
        <v>1719</v>
      </c>
      <c r="E359" s="505" t="s">
        <v>1720</v>
      </c>
      <c r="F359" s="503" t="s">
        <v>48</v>
      </c>
      <c r="G359" s="400" t="str">
        <f t="shared" si="20"/>
        <v>BB01-2</v>
      </c>
      <c r="H359" s="507">
        <v>2</v>
      </c>
      <c r="I359" s="506"/>
      <c r="J359" s="395">
        <v>1</v>
      </c>
      <c r="K359" s="397" t="s">
        <v>193</v>
      </c>
      <c r="L359" s="395"/>
      <c r="N359" s="395"/>
      <c r="O359" s="395"/>
      <c r="P359" s="395"/>
      <c r="Q359" s="395"/>
      <c r="R359" s="395"/>
      <c r="S359" s="395"/>
      <c r="T359" s="395"/>
      <c r="U359" s="395"/>
    </row>
    <row r="360" spans="1:21" s="407" customFormat="1" ht="12" hidden="1" customHeight="1" outlineLevel="2">
      <c r="A360" s="508"/>
      <c r="B360" s="503"/>
      <c r="C360" s="504"/>
      <c r="D360" s="531" t="s">
        <v>1721</v>
      </c>
      <c r="E360" s="505" t="s">
        <v>1722</v>
      </c>
      <c r="F360" s="503" t="s">
        <v>48</v>
      </c>
      <c r="G360" s="400" t="str">
        <f t="shared" si="20"/>
        <v>BB01-2</v>
      </c>
      <c r="H360" s="507">
        <v>2</v>
      </c>
      <c r="I360" s="506"/>
      <c r="J360" s="395">
        <v>1</v>
      </c>
      <c r="K360" s="397" t="s">
        <v>193</v>
      </c>
      <c r="L360" s="395"/>
      <c r="N360" s="395"/>
      <c r="O360" s="395"/>
      <c r="P360" s="395"/>
      <c r="Q360" s="395"/>
      <c r="R360" s="395"/>
      <c r="S360" s="395"/>
      <c r="T360" s="395"/>
      <c r="U360" s="395"/>
    </row>
    <row r="361" spans="1:21" s="407" customFormat="1" ht="12" hidden="1" customHeight="1" outlineLevel="2">
      <c r="A361" s="508"/>
      <c r="B361" s="503"/>
      <c r="C361" s="504"/>
      <c r="D361" s="531" t="s">
        <v>1723</v>
      </c>
      <c r="E361" s="505" t="s">
        <v>1724</v>
      </c>
      <c r="F361" s="503" t="s">
        <v>48</v>
      </c>
      <c r="G361" s="400" t="str">
        <f t="shared" si="20"/>
        <v>BB01-2</v>
      </c>
      <c r="H361" s="507">
        <v>2</v>
      </c>
      <c r="I361" s="506"/>
      <c r="J361" s="395">
        <v>1</v>
      </c>
      <c r="K361" s="397" t="s">
        <v>193</v>
      </c>
      <c r="L361" s="395"/>
      <c r="N361" s="395"/>
      <c r="O361" s="395"/>
      <c r="P361" s="395"/>
      <c r="Q361" s="395"/>
      <c r="R361" s="395"/>
      <c r="S361" s="395"/>
      <c r="T361" s="395"/>
      <c r="U361" s="395"/>
    </row>
    <row r="362" spans="1:21" s="407" customFormat="1" ht="12" hidden="1" customHeight="1" outlineLevel="2">
      <c r="A362" s="508"/>
      <c r="B362" s="503"/>
      <c r="C362" s="504"/>
      <c r="D362" s="531" t="s">
        <v>1725</v>
      </c>
      <c r="E362" s="505" t="s">
        <v>1726</v>
      </c>
      <c r="F362" s="503" t="s">
        <v>48</v>
      </c>
      <c r="G362" s="400" t="str">
        <f t="shared" si="20"/>
        <v>BB01-2</v>
      </c>
      <c r="H362" s="507">
        <v>2</v>
      </c>
      <c r="I362" s="506"/>
      <c r="J362" s="395">
        <v>1</v>
      </c>
      <c r="K362" s="397" t="s">
        <v>193</v>
      </c>
      <c r="L362" s="395"/>
      <c r="N362" s="395"/>
      <c r="O362" s="395"/>
      <c r="P362" s="395"/>
      <c r="Q362" s="395"/>
      <c r="R362" s="395"/>
      <c r="S362" s="395"/>
      <c r="T362" s="395"/>
      <c r="U362" s="395"/>
    </row>
    <row r="363" spans="1:21" s="407" customFormat="1" ht="12" hidden="1" customHeight="1" outlineLevel="2">
      <c r="A363" s="508"/>
      <c r="B363" s="503"/>
      <c r="C363" s="504"/>
      <c r="D363" s="531" t="s">
        <v>1727</v>
      </c>
      <c r="E363" s="505" t="s">
        <v>1728</v>
      </c>
      <c r="F363" s="503" t="s">
        <v>48</v>
      </c>
      <c r="G363" s="400" t="str">
        <f t="shared" si="20"/>
        <v>BB01-2</v>
      </c>
      <c r="H363" s="507">
        <v>2</v>
      </c>
      <c r="I363" s="506"/>
      <c r="J363" s="395">
        <v>1</v>
      </c>
      <c r="K363" s="397" t="s">
        <v>193</v>
      </c>
      <c r="L363" s="395"/>
      <c r="N363" s="395"/>
      <c r="O363" s="395"/>
      <c r="P363" s="395"/>
      <c r="Q363" s="395"/>
      <c r="R363" s="395"/>
      <c r="S363" s="395"/>
      <c r="T363" s="395"/>
      <c r="U363" s="395"/>
    </row>
    <row r="364" spans="1:21" s="407" customFormat="1" ht="12" hidden="1" customHeight="1" outlineLevel="2">
      <c r="A364" s="508"/>
      <c r="B364" s="503"/>
      <c r="C364" s="504"/>
      <c r="D364" s="531" t="s">
        <v>1729</v>
      </c>
      <c r="E364" s="505" t="s">
        <v>1730</v>
      </c>
      <c r="F364" s="503" t="s">
        <v>48</v>
      </c>
      <c r="G364" s="400" t="str">
        <f t="shared" si="20"/>
        <v>BB01-2</v>
      </c>
      <c r="H364" s="507">
        <v>2</v>
      </c>
      <c r="I364" s="506"/>
      <c r="J364" s="395">
        <v>1</v>
      </c>
      <c r="K364" s="397" t="s">
        <v>193</v>
      </c>
      <c r="L364" s="395"/>
      <c r="N364" s="395"/>
      <c r="O364" s="395"/>
      <c r="P364" s="395"/>
      <c r="Q364" s="395"/>
      <c r="R364" s="395"/>
      <c r="S364" s="395"/>
      <c r="T364" s="395"/>
      <c r="U364" s="395"/>
    </row>
    <row r="365" spans="1:21" s="407" customFormat="1" ht="12" hidden="1" customHeight="1" outlineLevel="2">
      <c r="A365" s="508"/>
      <c r="B365" s="503"/>
      <c r="C365" s="504"/>
      <c r="D365" s="531" t="s">
        <v>1731</v>
      </c>
      <c r="E365" s="505" t="s">
        <v>1732</v>
      </c>
      <c r="F365" s="503" t="s">
        <v>48</v>
      </c>
      <c r="G365" s="400" t="str">
        <f t="shared" si="20"/>
        <v>BB01-2</v>
      </c>
      <c r="H365" s="507">
        <v>2</v>
      </c>
      <c r="I365" s="506"/>
      <c r="J365" s="395">
        <v>1</v>
      </c>
      <c r="K365" s="397" t="s">
        <v>193</v>
      </c>
      <c r="L365" s="395"/>
      <c r="N365" s="395"/>
      <c r="O365" s="395"/>
      <c r="P365" s="395"/>
      <c r="Q365" s="395"/>
      <c r="R365" s="395"/>
      <c r="S365" s="395"/>
      <c r="T365" s="395"/>
      <c r="U365" s="395"/>
    </row>
    <row r="366" spans="1:21" s="407" customFormat="1" ht="12" hidden="1" customHeight="1" outlineLevel="2">
      <c r="A366" s="508"/>
      <c r="B366" s="503"/>
      <c r="C366" s="504"/>
      <c r="D366" s="531" t="s">
        <v>1733</v>
      </c>
      <c r="E366" s="505" t="s">
        <v>1734</v>
      </c>
      <c r="F366" s="503" t="s">
        <v>48</v>
      </c>
      <c r="G366" s="400" t="str">
        <f t="shared" si="20"/>
        <v>BB01-2</v>
      </c>
      <c r="H366" s="507">
        <v>2</v>
      </c>
      <c r="I366" s="506"/>
      <c r="J366" s="395">
        <v>1</v>
      </c>
      <c r="K366" s="397" t="s">
        <v>193</v>
      </c>
      <c r="L366" s="395"/>
      <c r="N366" s="395"/>
      <c r="O366" s="395"/>
      <c r="P366" s="395"/>
      <c r="Q366" s="395"/>
      <c r="R366" s="395"/>
      <c r="S366" s="395"/>
      <c r="T366" s="395"/>
      <c r="U366" s="395"/>
    </row>
    <row r="367" spans="1:21" s="407" customFormat="1" ht="12" hidden="1" customHeight="1" outlineLevel="2">
      <c r="A367" s="508"/>
      <c r="B367" s="503"/>
      <c r="C367" s="504"/>
      <c r="D367" s="531" t="s">
        <v>1735</v>
      </c>
      <c r="E367" s="505" t="s">
        <v>1736</v>
      </c>
      <c r="F367" s="503" t="s">
        <v>48</v>
      </c>
      <c r="G367" s="400" t="str">
        <f t="shared" si="20"/>
        <v>BB01-2</v>
      </c>
      <c r="H367" s="507">
        <v>2</v>
      </c>
      <c r="I367" s="506"/>
      <c r="J367" s="395">
        <v>1</v>
      </c>
      <c r="K367" s="397" t="s">
        <v>193</v>
      </c>
      <c r="L367" s="395"/>
      <c r="N367" s="395"/>
      <c r="O367" s="395"/>
      <c r="P367" s="395"/>
      <c r="Q367" s="395"/>
      <c r="R367" s="395"/>
      <c r="S367" s="395"/>
      <c r="T367" s="395"/>
      <c r="U367" s="395"/>
    </row>
    <row r="368" spans="1:21" s="407" customFormat="1" ht="12" hidden="1" customHeight="1" outlineLevel="2">
      <c r="A368" s="508"/>
      <c r="B368" s="503"/>
      <c r="C368" s="504"/>
      <c r="D368" s="531" t="s">
        <v>1737</v>
      </c>
      <c r="E368" s="505" t="s">
        <v>1738</v>
      </c>
      <c r="F368" s="503" t="s">
        <v>48</v>
      </c>
      <c r="G368" s="400" t="str">
        <f t="shared" si="20"/>
        <v>BB01-2</v>
      </c>
      <c r="H368" s="507">
        <v>2</v>
      </c>
      <c r="I368" s="506"/>
      <c r="J368" s="395">
        <v>1</v>
      </c>
      <c r="K368" s="397" t="s">
        <v>193</v>
      </c>
      <c r="L368" s="395"/>
      <c r="N368" s="395"/>
      <c r="O368" s="395"/>
      <c r="P368" s="395"/>
      <c r="Q368" s="395"/>
      <c r="R368" s="395"/>
      <c r="S368" s="395"/>
      <c r="T368" s="395"/>
      <c r="U368" s="395"/>
    </row>
    <row r="369" spans="1:21" s="407" customFormat="1" ht="12" hidden="1" customHeight="1" outlineLevel="2">
      <c r="A369" s="508"/>
      <c r="B369" s="503"/>
      <c r="C369" s="504"/>
      <c r="D369" s="531" t="s">
        <v>1739</v>
      </c>
      <c r="E369" s="505" t="s">
        <v>1740</v>
      </c>
      <c r="F369" s="503" t="s">
        <v>48</v>
      </c>
      <c r="G369" s="400" t="str">
        <f t="shared" si="20"/>
        <v>BB01-2</v>
      </c>
      <c r="H369" s="507">
        <v>2</v>
      </c>
      <c r="I369" s="506"/>
      <c r="J369" s="395">
        <v>1</v>
      </c>
      <c r="K369" s="397" t="s">
        <v>193</v>
      </c>
      <c r="L369" s="395"/>
      <c r="N369" s="395"/>
      <c r="O369" s="395"/>
      <c r="P369" s="395"/>
      <c r="Q369" s="395"/>
      <c r="R369" s="395"/>
      <c r="S369" s="395"/>
      <c r="T369" s="395"/>
      <c r="U369" s="395"/>
    </row>
    <row r="370" spans="1:21" s="407" customFormat="1" ht="12" hidden="1" customHeight="1" outlineLevel="2">
      <c r="A370" s="508"/>
      <c r="B370" s="503"/>
      <c r="C370" s="504"/>
      <c r="D370" s="531" t="s">
        <v>1741</v>
      </c>
      <c r="E370" s="505" t="s">
        <v>1742</v>
      </c>
      <c r="F370" s="503" t="s">
        <v>48</v>
      </c>
      <c r="G370" s="400" t="str">
        <f t="shared" si="20"/>
        <v>BB01-2</v>
      </c>
      <c r="H370" s="507">
        <v>2</v>
      </c>
      <c r="I370" s="506"/>
      <c r="J370" s="395">
        <v>1</v>
      </c>
      <c r="K370" s="397" t="s">
        <v>193</v>
      </c>
      <c r="L370" s="395"/>
      <c r="N370" s="395"/>
      <c r="O370" s="395"/>
      <c r="P370" s="395"/>
      <c r="Q370" s="395"/>
      <c r="R370" s="395"/>
      <c r="S370" s="395"/>
      <c r="T370" s="395"/>
      <c r="U370" s="395"/>
    </row>
    <row r="371" spans="1:21" s="407" customFormat="1" ht="12" hidden="1" customHeight="1" outlineLevel="2">
      <c r="A371" s="508"/>
      <c r="B371" s="503"/>
      <c r="C371" s="504"/>
      <c r="D371" s="531" t="s">
        <v>1743</v>
      </c>
      <c r="E371" s="505" t="s">
        <v>1744</v>
      </c>
      <c r="F371" s="503" t="s">
        <v>48</v>
      </c>
      <c r="G371" s="400" t="str">
        <f t="shared" si="20"/>
        <v>BB01-2</v>
      </c>
      <c r="H371" s="507">
        <v>2</v>
      </c>
      <c r="I371" s="506"/>
      <c r="J371" s="395">
        <v>1</v>
      </c>
      <c r="K371" s="397" t="s">
        <v>193</v>
      </c>
      <c r="L371" s="395"/>
      <c r="N371" s="395"/>
      <c r="O371" s="395"/>
      <c r="P371" s="395"/>
      <c r="Q371" s="395"/>
      <c r="R371" s="395"/>
      <c r="S371" s="395"/>
      <c r="T371" s="395"/>
      <c r="U371" s="395"/>
    </row>
    <row r="372" spans="1:21" s="407" customFormat="1" ht="12" hidden="1" customHeight="1" outlineLevel="2">
      <c r="A372" s="508"/>
      <c r="B372" s="503"/>
      <c r="C372" s="504"/>
      <c r="D372" s="531" t="s">
        <v>1745</v>
      </c>
      <c r="E372" s="505" t="s">
        <v>1746</v>
      </c>
      <c r="F372" s="503" t="s">
        <v>48</v>
      </c>
      <c r="G372" s="400" t="str">
        <f t="shared" si="20"/>
        <v>BB01-2</v>
      </c>
      <c r="H372" s="507">
        <v>2</v>
      </c>
      <c r="I372" s="506"/>
      <c r="J372" s="395">
        <v>1</v>
      </c>
      <c r="K372" s="397" t="s">
        <v>193</v>
      </c>
      <c r="L372" s="395"/>
      <c r="N372" s="395"/>
      <c r="O372" s="395"/>
      <c r="P372" s="395"/>
      <c r="Q372" s="395"/>
      <c r="R372" s="395"/>
      <c r="S372" s="395"/>
      <c r="T372" s="395"/>
      <c r="U372" s="395"/>
    </row>
    <row r="373" spans="1:21" s="407" customFormat="1" ht="12" hidden="1" customHeight="1" outlineLevel="2">
      <c r="A373" s="508"/>
      <c r="B373" s="503"/>
      <c r="C373" s="504"/>
      <c r="D373" s="531" t="s">
        <v>1747</v>
      </c>
      <c r="E373" s="505" t="s">
        <v>1748</v>
      </c>
      <c r="F373" s="503" t="s">
        <v>48</v>
      </c>
      <c r="G373" s="400" t="str">
        <f t="shared" si="20"/>
        <v>BB01-2</v>
      </c>
      <c r="H373" s="507">
        <v>2</v>
      </c>
      <c r="I373" s="506"/>
      <c r="J373" s="395">
        <v>1</v>
      </c>
      <c r="K373" s="397" t="s">
        <v>193</v>
      </c>
      <c r="L373" s="395"/>
      <c r="N373" s="395"/>
      <c r="O373" s="395"/>
      <c r="P373" s="395"/>
      <c r="Q373" s="395"/>
      <c r="R373" s="395"/>
      <c r="S373" s="395"/>
      <c r="T373" s="395"/>
      <c r="U373" s="395"/>
    </row>
    <row r="374" spans="1:21" s="407" customFormat="1" ht="12" hidden="1" customHeight="1" outlineLevel="2">
      <c r="A374" s="508"/>
      <c r="B374" s="503"/>
      <c r="C374" s="504"/>
      <c r="D374" s="531" t="s">
        <v>1749</v>
      </c>
      <c r="E374" s="505" t="s">
        <v>1750</v>
      </c>
      <c r="F374" s="503" t="s">
        <v>48</v>
      </c>
      <c r="G374" s="400" t="str">
        <f t="shared" si="20"/>
        <v>BB01-2</v>
      </c>
      <c r="H374" s="507">
        <v>2</v>
      </c>
      <c r="I374" s="506"/>
      <c r="J374" s="395">
        <v>1</v>
      </c>
      <c r="K374" s="397" t="s">
        <v>193</v>
      </c>
      <c r="L374" s="395"/>
      <c r="N374" s="395"/>
      <c r="O374" s="395"/>
      <c r="P374" s="395"/>
      <c r="Q374" s="395"/>
      <c r="R374" s="395"/>
      <c r="S374" s="395"/>
      <c r="T374" s="395"/>
      <c r="U374" s="395"/>
    </row>
    <row r="375" spans="1:21" s="407" customFormat="1" ht="12" hidden="1" customHeight="1" outlineLevel="2">
      <c r="A375" s="508"/>
      <c r="B375" s="503"/>
      <c r="C375" s="504"/>
      <c r="D375" s="531" t="s">
        <v>1751</v>
      </c>
      <c r="E375" s="505" t="s">
        <v>1752</v>
      </c>
      <c r="F375" s="503" t="s">
        <v>48</v>
      </c>
      <c r="G375" s="400" t="str">
        <f t="shared" si="20"/>
        <v>BB01-2</v>
      </c>
      <c r="H375" s="507">
        <v>2</v>
      </c>
      <c r="I375" s="506"/>
      <c r="J375" s="395">
        <v>1</v>
      </c>
      <c r="K375" s="397" t="s">
        <v>1222</v>
      </c>
      <c r="L375" s="395"/>
      <c r="N375" s="395"/>
      <c r="O375" s="395"/>
      <c r="P375" s="395"/>
      <c r="Q375" s="395"/>
      <c r="R375" s="395"/>
      <c r="S375" s="395"/>
      <c r="T375" s="395"/>
      <c r="U375" s="395"/>
    </row>
    <row r="376" spans="1:21" s="407" customFormat="1" ht="12" hidden="1" customHeight="1" outlineLevel="2">
      <c r="A376" s="508"/>
      <c r="B376" s="503"/>
      <c r="C376" s="504"/>
      <c r="D376" s="531" t="s">
        <v>1753</v>
      </c>
      <c r="E376" s="505" t="s">
        <v>1754</v>
      </c>
      <c r="F376" s="503" t="s">
        <v>48</v>
      </c>
      <c r="G376" s="400" t="str">
        <f t="shared" si="20"/>
        <v>BB01-2</v>
      </c>
      <c r="H376" s="507">
        <v>2</v>
      </c>
      <c r="I376" s="506"/>
      <c r="J376" s="395">
        <v>1</v>
      </c>
      <c r="K376" s="397" t="s">
        <v>1222</v>
      </c>
      <c r="L376" s="395"/>
      <c r="N376" s="395"/>
      <c r="O376" s="395"/>
      <c r="P376" s="395"/>
      <c r="Q376" s="395"/>
      <c r="R376" s="395"/>
      <c r="S376" s="395"/>
      <c r="T376" s="395"/>
      <c r="U376" s="395"/>
    </row>
    <row r="377" spans="1:21" s="407" customFormat="1" ht="12" hidden="1" customHeight="1" outlineLevel="2">
      <c r="A377" s="508"/>
      <c r="B377" s="503"/>
      <c r="C377" s="504"/>
      <c r="D377" s="531" t="s">
        <v>1755</v>
      </c>
      <c r="E377" s="505" t="s">
        <v>1756</v>
      </c>
      <c r="F377" s="503" t="s">
        <v>48</v>
      </c>
      <c r="G377" s="400" t="str">
        <f t="shared" si="20"/>
        <v>BB01-2</v>
      </c>
      <c r="H377" s="507">
        <v>2</v>
      </c>
      <c r="I377" s="506"/>
      <c r="J377" s="395">
        <v>1</v>
      </c>
      <c r="K377" s="397" t="s">
        <v>1222</v>
      </c>
      <c r="L377" s="395"/>
      <c r="N377" s="395"/>
      <c r="O377" s="395"/>
      <c r="P377" s="395"/>
      <c r="Q377" s="395"/>
      <c r="R377" s="395"/>
      <c r="S377" s="395"/>
      <c r="T377" s="395"/>
      <c r="U377" s="395"/>
    </row>
    <row r="378" spans="1:21" s="407" customFormat="1" ht="12" hidden="1" customHeight="1" outlineLevel="2">
      <c r="A378" s="508"/>
      <c r="B378" s="503"/>
      <c r="C378" s="504"/>
      <c r="D378" s="531" t="s">
        <v>1757</v>
      </c>
      <c r="E378" s="505" t="s">
        <v>1758</v>
      </c>
      <c r="F378" s="503" t="s">
        <v>48</v>
      </c>
      <c r="G378" s="400" t="str">
        <f t="shared" si="20"/>
        <v>BB01-2</v>
      </c>
      <c r="H378" s="507">
        <v>2</v>
      </c>
      <c r="I378" s="506"/>
      <c r="J378" s="395">
        <v>1</v>
      </c>
      <c r="K378" s="397" t="s">
        <v>1222</v>
      </c>
      <c r="L378" s="395"/>
      <c r="N378" s="395"/>
      <c r="O378" s="395"/>
      <c r="P378" s="395"/>
      <c r="Q378" s="395"/>
      <c r="R378" s="395"/>
      <c r="S378" s="395"/>
      <c r="T378" s="395"/>
      <c r="U378" s="395"/>
    </row>
    <row r="379" spans="1:21" s="407" customFormat="1" ht="12" hidden="1" customHeight="1" outlineLevel="2">
      <c r="A379" s="508"/>
      <c r="B379" s="503"/>
      <c r="C379" s="504"/>
      <c r="D379" s="531" t="s">
        <v>1759</v>
      </c>
      <c r="E379" s="505" t="s">
        <v>1760</v>
      </c>
      <c r="F379" s="503" t="s">
        <v>48</v>
      </c>
      <c r="G379" s="400" t="str">
        <f t="shared" si="20"/>
        <v>BB01-2</v>
      </c>
      <c r="H379" s="507">
        <v>2</v>
      </c>
      <c r="I379" s="506"/>
      <c r="J379" s="395">
        <v>1</v>
      </c>
      <c r="K379" s="397" t="s">
        <v>1222</v>
      </c>
      <c r="L379" s="395"/>
      <c r="N379" s="395"/>
      <c r="O379" s="395"/>
      <c r="P379" s="395"/>
      <c r="Q379" s="395"/>
      <c r="R379" s="395"/>
      <c r="S379" s="395"/>
      <c r="T379" s="395"/>
      <c r="U379" s="395"/>
    </row>
    <row r="380" spans="1:21" s="407" customFormat="1" ht="12" hidden="1" customHeight="1" outlineLevel="2">
      <c r="A380" s="508"/>
      <c r="B380" s="503"/>
      <c r="C380" s="504"/>
      <c r="D380" s="531" t="s">
        <v>1761</v>
      </c>
      <c r="E380" s="505" t="s">
        <v>1762</v>
      </c>
      <c r="F380" s="503" t="s">
        <v>48</v>
      </c>
      <c r="G380" s="400" t="str">
        <f t="shared" si="20"/>
        <v>BB01-2</v>
      </c>
      <c r="H380" s="507">
        <v>2</v>
      </c>
      <c r="I380" s="506"/>
      <c r="J380" s="395">
        <v>1</v>
      </c>
      <c r="K380" s="397" t="s">
        <v>290</v>
      </c>
      <c r="L380" s="395"/>
      <c r="N380" s="395"/>
      <c r="O380" s="395"/>
      <c r="P380" s="395"/>
      <c r="Q380" s="395"/>
      <c r="R380" s="395"/>
      <c r="S380" s="395"/>
      <c r="T380" s="395"/>
      <c r="U380" s="395"/>
    </row>
    <row r="381" spans="1:21" s="407" customFormat="1" ht="12" hidden="1" customHeight="1" outlineLevel="2">
      <c r="A381" s="508"/>
      <c r="B381" s="503"/>
      <c r="C381" s="504"/>
      <c r="D381" s="531" t="s">
        <v>1763</v>
      </c>
      <c r="E381" s="505" t="s">
        <v>1764</v>
      </c>
      <c r="F381" s="503" t="s">
        <v>48</v>
      </c>
      <c r="G381" s="400" t="str">
        <f t="shared" si="20"/>
        <v>BB01-2</v>
      </c>
      <c r="H381" s="507">
        <v>2</v>
      </c>
      <c r="I381" s="506"/>
      <c r="J381" s="395">
        <v>1</v>
      </c>
      <c r="K381" s="397" t="s">
        <v>290</v>
      </c>
      <c r="L381" s="395"/>
      <c r="N381" s="395"/>
      <c r="O381" s="395"/>
      <c r="P381" s="395"/>
      <c r="Q381" s="395"/>
      <c r="R381" s="395"/>
      <c r="S381" s="395"/>
      <c r="T381" s="395"/>
      <c r="U381" s="395"/>
    </row>
    <row r="382" spans="1:21" s="407" customFormat="1" ht="12" hidden="1" customHeight="1" outlineLevel="2">
      <c r="A382" s="508"/>
      <c r="B382" s="503"/>
      <c r="C382" s="504"/>
      <c r="D382" s="531" t="s">
        <v>1765</v>
      </c>
      <c r="E382" s="505" t="s">
        <v>1766</v>
      </c>
      <c r="F382" s="503" t="s">
        <v>48</v>
      </c>
      <c r="G382" s="400" t="str">
        <f t="shared" si="20"/>
        <v>BB01-2</v>
      </c>
      <c r="H382" s="507">
        <v>2</v>
      </c>
      <c r="I382" s="506"/>
      <c r="J382" s="395">
        <v>1</v>
      </c>
      <c r="K382" s="397" t="s">
        <v>290</v>
      </c>
      <c r="L382" s="395"/>
      <c r="N382" s="395"/>
      <c r="O382" s="395"/>
      <c r="P382" s="395"/>
      <c r="Q382" s="395"/>
      <c r="R382" s="395"/>
      <c r="S382" s="395"/>
      <c r="T382" s="395"/>
      <c r="U382" s="395"/>
    </row>
    <row r="383" spans="1:21" s="407" customFormat="1" ht="12" hidden="1" customHeight="1" outlineLevel="2">
      <c r="A383" s="508"/>
      <c r="B383" s="503"/>
      <c r="C383" s="504"/>
      <c r="D383" s="531" t="s">
        <v>1767</v>
      </c>
      <c r="E383" s="505" t="s">
        <v>1768</v>
      </c>
      <c r="F383" s="503" t="s">
        <v>48</v>
      </c>
      <c r="G383" s="400" t="str">
        <f t="shared" si="20"/>
        <v>BB01-2</v>
      </c>
      <c r="H383" s="507">
        <v>2</v>
      </c>
      <c r="I383" s="506"/>
      <c r="J383" s="395">
        <v>1</v>
      </c>
      <c r="K383" s="397" t="s">
        <v>290</v>
      </c>
      <c r="L383" s="395"/>
      <c r="N383" s="395"/>
      <c r="O383" s="395"/>
      <c r="P383" s="395"/>
      <c r="Q383" s="395"/>
      <c r="R383" s="395"/>
      <c r="S383" s="395"/>
      <c r="T383" s="395"/>
      <c r="U383" s="395"/>
    </row>
    <row r="384" spans="1:21" s="407" customFormat="1" ht="12" hidden="1" customHeight="1" outlineLevel="2">
      <c r="A384" s="508"/>
      <c r="B384" s="503"/>
      <c r="C384" s="504"/>
      <c r="D384" s="531" t="s">
        <v>1769</v>
      </c>
      <c r="E384" s="505" t="s">
        <v>1770</v>
      </c>
      <c r="F384" s="503" t="s">
        <v>48</v>
      </c>
      <c r="G384" s="400" t="str">
        <f t="shared" si="20"/>
        <v>BB01-2</v>
      </c>
      <c r="H384" s="507">
        <v>2</v>
      </c>
      <c r="I384" s="506"/>
      <c r="J384" s="395">
        <v>1</v>
      </c>
      <c r="K384" s="397" t="s">
        <v>290</v>
      </c>
      <c r="L384" s="395"/>
      <c r="N384" s="395"/>
      <c r="O384" s="395"/>
      <c r="P384" s="395"/>
      <c r="Q384" s="395"/>
      <c r="R384" s="395"/>
      <c r="S384" s="395"/>
      <c r="T384" s="395"/>
      <c r="U384" s="395"/>
    </row>
    <row r="385" spans="1:21" s="407" customFormat="1" ht="12" hidden="1" customHeight="1" outlineLevel="2">
      <c r="A385" s="508"/>
      <c r="B385" s="503"/>
      <c r="C385" s="504"/>
      <c r="D385" s="531" t="s">
        <v>1771</v>
      </c>
      <c r="E385" s="505" t="s">
        <v>1772</v>
      </c>
      <c r="F385" s="503" t="s">
        <v>48</v>
      </c>
      <c r="G385" s="400" t="str">
        <f t="shared" si="20"/>
        <v>BB01-2</v>
      </c>
      <c r="H385" s="507">
        <v>2</v>
      </c>
      <c r="I385" s="506"/>
      <c r="J385" s="395">
        <v>1</v>
      </c>
      <c r="K385" s="397" t="s">
        <v>1222</v>
      </c>
      <c r="L385" s="395"/>
      <c r="N385" s="395"/>
      <c r="O385" s="395"/>
      <c r="P385" s="395"/>
      <c r="Q385" s="395"/>
      <c r="R385" s="395"/>
      <c r="S385" s="395"/>
      <c r="T385" s="395"/>
      <c r="U385" s="395"/>
    </row>
    <row r="386" spans="1:21" s="407" customFormat="1" ht="12" hidden="1" customHeight="1" outlineLevel="2">
      <c r="A386" s="508"/>
      <c r="B386" s="503"/>
      <c r="C386" s="504"/>
      <c r="D386" s="531" t="s">
        <v>1773</v>
      </c>
      <c r="E386" s="505" t="s">
        <v>1774</v>
      </c>
      <c r="F386" s="503" t="s">
        <v>48</v>
      </c>
      <c r="G386" s="400" t="str">
        <f t="shared" si="20"/>
        <v>BB01-2</v>
      </c>
      <c r="H386" s="507">
        <v>2</v>
      </c>
      <c r="I386" s="506"/>
      <c r="J386" s="395">
        <v>1</v>
      </c>
      <c r="K386" s="397" t="s">
        <v>1222</v>
      </c>
      <c r="L386" s="395"/>
      <c r="N386" s="395"/>
      <c r="O386" s="395"/>
      <c r="P386" s="395"/>
      <c r="Q386" s="395"/>
      <c r="R386" s="395"/>
      <c r="S386" s="395"/>
      <c r="T386" s="395"/>
      <c r="U386" s="395"/>
    </row>
    <row r="387" spans="1:21" s="407" customFormat="1" ht="12" hidden="1" customHeight="1" outlineLevel="2">
      <c r="A387" s="508"/>
      <c r="B387" s="503"/>
      <c r="C387" s="504"/>
      <c r="D387" s="531" t="s">
        <v>1775</v>
      </c>
      <c r="E387" s="505" t="s">
        <v>1776</v>
      </c>
      <c r="F387" s="503" t="s">
        <v>48</v>
      </c>
      <c r="G387" s="400" t="str">
        <f t="shared" si="20"/>
        <v>BB01-2</v>
      </c>
      <c r="H387" s="507">
        <v>2</v>
      </c>
      <c r="I387" s="506"/>
      <c r="J387" s="395">
        <v>1</v>
      </c>
      <c r="K387" s="397" t="s">
        <v>610</v>
      </c>
      <c r="L387" s="395"/>
      <c r="N387" s="395"/>
      <c r="O387" s="395"/>
      <c r="P387" s="395"/>
      <c r="Q387" s="395"/>
      <c r="R387" s="395"/>
      <c r="S387" s="395"/>
      <c r="T387" s="395"/>
      <c r="U387" s="395"/>
    </row>
    <row r="388" spans="1:21" s="407" customFormat="1" ht="12" hidden="1" customHeight="1" outlineLevel="2">
      <c r="A388" s="508"/>
      <c r="B388" s="503"/>
      <c r="C388" s="504"/>
      <c r="D388" s="531" t="s">
        <v>1777</v>
      </c>
      <c r="E388" s="505" t="s">
        <v>1778</v>
      </c>
      <c r="F388" s="503" t="s">
        <v>48</v>
      </c>
      <c r="G388" s="400" t="str">
        <f t="shared" si="20"/>
        <v>BB01-2</v>
      </c>
      <c r="H388" s="507">
        <v>2</v>
      </c>
      <c r="I388" s="506"/>
      <c r="J388" s="395">
        <v>1</v>
      </c>
      <c r="K388" s="397" t="s">
        <v>610</v>
      </c>
      <c r="L388" s="395"/>
      <c r="N388" s="395"/>
      <c r="O388" s="395"/>
      <c r="P388" s="395"/>
      <c r="Q388" s="395"/>
      <c r="R388" s="395"/>
      <c r="S388" s="395"/>
      <c r="T388" s="395"/>
      <c r="U388" s="395"/>
    </row>
    <row r="389" spans="1:21" s="407" customFormat="1" ht="12" hidden="1" customHeight="1" outlineLevel="2">
      <c r="A389" s="508"/>
      <c r="B389" s="503"/>
      <c r="C389" s="504"/>
      <c r="D389" s="531" t="s">
        <v>1779</v>
      </c>
      <c r="E389" s="505" t="s">
        <v>1780</v>
      </c>
      <c r="F389" s="503" t="s">
        <v>48</v>
      </c>
      <c r="G389" s="400" t="str">
        <f t="shared" si="20"/>
        <v>BB01-2</v>
      </c>
      <c r="H389" s="507">
        <v>2</v>
      </c>
      <c r="I389" s="506"/>
      <c r="J389" s="395">
        <v>1</v>
      </c>
      <c r="K389" s="397" t="s">
        <v>610</v>
      </c>
      <c r="L389" s="395"/>
      <c r="N389" s="395"/>
      <c r="O389" s="395"/>
      <c r="P389" s="395"/>
      <c r="Q389" s="395"/>
      <c r="R389" s="395"/>
      <c r="S389" s="395"/>
      <c r="T389" s="395"/>
      <c r="U389" s="395"/>
    </row>
    <row r="390" spans="1:21" s="407" customFormat="1" ht="12" hidden="1" customHeight="1" outlineLevel="2">
      <c r="A390" s="508"/>
      <c r="B390" s="503"/>
      <c r="C390" s="504"/>
      <c r="D390" s="531" t="s">
        <v>1781</v>
      </c>
      <c r="E390" s="505" t="s">
        <v>1782</v>
      </c>
      <c r="F390" s="503" t="s">
        <v>48</v>
      </c>
      <c r="G390" s="400" t="str">
        <f t="shared" si="20"/>
        <v>BB01-2</v>
      </c>
      <c r="H390" s="507">
        <v>2</v>
      </c>
      <c r="I390" s="506"/>
      <c r="J390" s="395">
        <v>1</v>
      </c>
      <c r="K390" s="397" t="s">
        <v>193</v>
      </c>
      <c r="L390" s="395"/>
      <c r="N390" s="395"/>
      <c r="O390" s="395"/>
      <c r="P390" s="395"/>
      <c r="Q390" s="395"/>
      <c r="R390" s="395"/>
      <c r="S390" s="395"/>
      <c r="T390" s="395"/>
      <c r="U390" s="395"/>
    </row>
    <row r="391" spans="1:21" s="407" customFormat="1" ht="12" hidden="1" customHeight="1" outlineLevel="2">
      <c r="A391" s="508"/>
      <c r="B391" s="503"/>
      <c r="C391" s="504"/>
      <c r="D391" s="531" t="s">
        <v>1783</v>
      </c>
      <c r="E391" s="505" t="s">
        <v>1784</v>
      </c>
      <c r="F391" s="503" t="s">
        <v>48</v>
      </c>
      <c r="G391" s="400" t="str">
        <f t="shared" si="20"/>
        <v>BB01-2</v>
      </c>
      <c r="H391" s="507">
        <v>2</v>
      </c>
      <c r="I391" s="506"/>
      <c r="J391" s="395">
        <v>1</v>
      </c>
      <c r="K391" s="397" t="s">
        <v>193</v>
      </c>
      <c r="L391" s="395"/>
      <c r="N391" s="395"/>
      <c r="O391" s="395"/>
      <c r="P391" s="395"/>
      <c r="Q391" s="395"/>
      <c r="R391" s="395"/>
      <c r="S391" s="395"/>
      <c r="T391" s="395"/>
      <c r="U391" s="395"/>
    </row>
    <row r="392" spans="1:21" s="407" customFormat="1" ht="12" hidden="1" customHeight="1" outlineLevel="2">
      <c r="A392" s="508"/>
      <c r="B392" s="503"/>
      <c r="C392" s="504"/>
      <c r="D392" s="531" t="s">
        <v>1785</v>
      </c>
      <c r="E392" s="505" t="s">
        <v>1786</v>
      </c>
      <c r="F392" s="503" t="s">
        <v>48</v>
      </c>
      <c r="G392" s="400" t="str">
        <f t="shared" ref="G392:G407" si="21">CONCATENATE(F392,"-",H392)</f>
        <v>BB01-2</v>
      </c>
      <c r="H392" s="507">
        <v>2</v>
      </c>
      <c r="I392" s="506"/>
      <c r="J392" s="395">
        <v>1</v>
      </c>
      <c r="K392" s="397" t="s">
        <v>193</v>
      </c>
      <c r="L392" s="395"/>
      <c r="N392" s="395"/>
      <c r="O392" s="395"/>
      <c r="P392" s="395"/>
      <c r="Q392" s="395"/>
      <c r="R392" s="395"/>
      <c r="S392" s="395"/>
      <c r="T392" s="395"/>
      <c r="U392" s="395"/>
    </row>
    <row r="393" spans="1:21" s="407" customFormat="1" ht="12" hidden="1" customHeight="1" outlineLevel="2">
      <c r="A393" s="508"/>
      <c r="B393" s="503"/>
      <c r="C393" s="504"/>
      <c r="D393" s="531" t="s">
        <v>1787</v>
      </c>
      <c r="E393" s="505" t="s">
        <v>1788</v>
      </c>
      <c r="F393" s="503" t="s">
        <v>48</v>
      </c>
      <c r="G393" s="400" t="str">
        <f t="shared" si="21"/>
        <v>BB01-2</v>
      </c>
      <c r="H393" s="507">
        <v>2</v>
      </c>
      <c r="I393" s="506"/>
      <c r="J393" s="395">
        <v>1</v>
      </c>
      <c r="K393" s="397" t="s">
        <v>610</v>
      </c>
      <c r="L393" s="395"/>
      <c r="N393" s="395"/>
      <c r="O393" s="395"/>
      <c r="P393" s="395"/>
      <c r="Q393" s="395"/>
      <c r="R393" s="395"/>
      <c r="S393" s="395"/>
      <c r="T393" s="395"/>
      <c r="U393" s="395"/>
    </row>
    <row r="394" spans="1:21" s="407" customFormat="1" ht="12" hidden="1" customHeight="1" outlineLevel="2">
      <c r="A394" s="508"/>
      <c r="B394" s="503"/>
      <c r="C394" s="504"/>
      <c r="D394" s="531" t="s">
        <v>1789</v>
      </c>
      <c r="E394" s="505" t="s">
        <v>1790</v>
      </c>
      <c r="F394" s="503" t="s">
        <v>48</v>
      </c>
      <c r="G394" s="400" t="str">
        <f t="shared" si="21"/>
        <v>BB01-2</v>
      </c>
      <c r="H394" s="507">
        <v>2</v>
      </c>
      <c r="I394" s="506"/>
      <c r="J394" s="395">
        <v>1</v>
      </c>
      <c r="K394" s="397" t="s">
        <v>610</v>
      </c>
      <c r="L394" s="395"/>
      <c r="N394" s="395"/>
      <c r="O394" s="395"/>
      <c r="P394" s="395"/>
      <c r="Q394" s="395"/>
      <c r="R394" s="395"/>
      <c r="S394" s="395"/>
      <c r="T394" s="395"/>
      <c r="U394" s="395"/>
    </row>
    <row r="395" spans="1:21" s="407" customFormat="1" ht="12" hidden="1" customHeight="1" outlineLevel="2">
      <c r="A395" s="508"/>
      <c r="B395" s="503"/>
      <c r="C395" s="504"/>
      <c r="D395" s="531" t="s">
        <v>1791</v>
      </c>
      <c r="E395" s="505" t="s">
        <v>1792</v>
      </c>
      <c r="F395" s="503" t="s">
        <v>48</v>
      </c>
      <c r="G395" s="400" t="str">
        <f t="shared" si="21"/>
        <v>BB01-2</v>
      </c>
      <c r="H395" s="507">
        <v>2</v>
      </c>
      <c r="I395" s="506"/>
      <c r="J395" s="395">
        <v>1</v>
      </c>
      <c r="K395" s="397" t="s">
        <v>610</v>
      </c>
      <c r="L395" s="395"/>
      <c r="N395" s="395"/>
      <c r="O395" s="395"/>
      <c r="P395" s="395"/>
      <c r="Q395" s="395"/>
      <c r="R395" s="395"/>
      <c r="S395" s="395"/>
      <c r="T395" s="395"/>
      <c r="U395" s="395"/>
    </row>
    <row r="396" spans="1:21" s="407" customFormat="1" ht="12" hidden="1" customHeight="1" outlineLevel="2">
      <c r="A396" s="508"/>
      <c r="B396" s="503"/>
      <c r="C396" s="504"/>
      <c r="D396" s="531" t="s">
        <v>1793</v>
      </c>
      <c r="E396" s="505" t="s">
        <v>1794</v>
      </c>
      <c r="F396" s="503" t="s">
        <v>48</v>
      </c>
      <c r="G396" s="400" t="str">
        <f t="shared" si="21"/>
        <v>BB01-2</v>
      </c>
      <c r="H396" s="507">
        <v>2</v>
      </c>
      <c r="I396" s="506"/>
      <c r="J396" s="395">
        <v>1</v>
      </c>
      <c r="K396" s="397" t="s">
        <v>193</v>
      </c>
      <c r="L396" s="395"/>
      <c r="N396" s="395"/>
      <c r="O396" s="395"/>
      <c r="P396" s="395"/>
      <c r="Q396" s="395"/>
      <c r="R396" s="395"/>
      <c r="S396" s="395"/>
      <c r="T396" s="395"/>
      <c r="U396" s="395"/>
    </row>
    <row r="397" spans="1:21" s="407" customFormat="1" ht="12" hidden="1" customHeight="1" outlineLevel="2">
      <c r="A397" s="508"/>
      <c r="B397" s="503"/>
      <c r="C397" s="504"/>
      <c r="D397" s="531" t="s">
        <v>1795</v>
      </c>
      <c r="E397" s="505" t="s">
        <v>1796</v>
      </c>
      <c r="F397" s="503" t="s">
        <v>48</v>
      </c>
      <c r="G397" s="400" t="str">
        <f t="shared" si="21"/>
        <v>BB01-2</v>
      </c>
      <c r="H397" s="507">
        <v>2</v>
      </c>
      <c r="I397" s="506"/>
      <c r="J397" s="395">
        <v>1</v>
      </c>
      <c r="K397" s="397" t="s">
        <v>610</v>
      </c>
      <c r="L397" s="395"/>
      <c r="N397" s="395"/>
      <c r="O397" s="395"/>
      <c r="P397" s="395"/>
      <c r="Q397" s="395"/>
      <c r="R397" s="395"/>
      <c r="S397" s="395"/>
      <c r="T397" s="395"/>
      <c r="U397" s="395"/>
    </row>
    <row r="398" spans="1:21" s="407" customFormat="1" ht="12" hidden="1" customHeight="1" outlineLevel="2">
      <c r="A398" s="508"/>
      <c r="B398" s="503"/>
      <c r="C398" s="504"/>
      <c r="D398" s="531" t="s">
        <v>1797</v>
      </c>
      <c r="E398" s="505" t="s">
        <v>1798</v>
      </c>
      <c r="F398" s="503" t="s">
        <v>48</v>
      </c>
      <c r="G398" s="400" t="str">
        <f t="shared" si="21"/>
        <v>BB01-2</v>
      </c>
      <c r="H398" s="507">
        <v>2</v>
      </c>
      <c r="I398" s="506"/>
      <c r="J398" s="395">
        <v>1</v>
      </c>
      <c r="K398" s="397" t="s">
        <v>193</v>
      </c>
      <c r="L398" s="395"/>
      <c r="N398" s="395"/>
      <c r="O398" s="395"/>
      <c r="P398" s="395"/>
      <c r="Q398" s="395"/>
      <c r="R398" s="395"/>
      <c r="S398" s="395"/>
      <c r="T398" s="395"/>
      <c r="U398" s="395"/>
    </row>
    <row r="399" spans="1:21" s="407" customFormat="1" ht="12" hidden="1" customHeight="1" outlineLevel="2">
      <c r="A399" s="508"/>
      <c r="B399" s="503"/>
      <c r="C399" s="504"/>
      <c r="D399" s="531" t="s">
        <v>1799</v>
      </c>
      <c r="E399" s="505" t="s">
        <v>1800</v>
      </c>
      <c r="F399" s="503" t="s">
        <v>48</v>
      </c>
      <c r="G399" s="400" t="str">
        <f t="shared" si="21"/>
        <v>BB01-2</v>
      </c>
      <c r="H399" s="507">
        <v>2</v>
      </c>
      <c r="I399" s="506"/>
      <c r="J399" s="395">
        <v>1</v>
      </c>
      <c r="K399" s="397" t="s">
        <v>610</v>
      </c>
      <c r="L399" s="395"/>
      <c r="N399" s="395"/>
      <c r="O399" s="395"/>
      <c r="P399" s="395"/>
      <c r="Q399" s="395"/>
      <c r="R399" s="395"/>
      <c r="S399" s="395"/>
      <c r="T399" s="395"/>
      <c r="U399" s="395"/>
    </row>
    <row r="400" spans="1:21" s="407" customFormat="1" ht="12" hidden="1" customHeight="1" outlineLevel="2">
      <c r="A400" s="508"/>
      <c r="B400" s="503"/>
      <c r="C400" s="504"/>
      <c r="D400" s="531" t="s">
        <v>1801</v>
      </c>
      <c r="E400" s="505" t="s">
        <v>1802</v>
      </c>
      <c r="F400" s="503" t="s">
        <v>48</v>
      </c>
      <c r="G400" s="400" t="str">
        <f t="shared" si="21"/>
        <v>BB01-2</v>
      </c>
      <c r="H400" s="507">
        <v>2</v>
      </c>
      <c r="I400" s="506"/>
      <c r="J400" s="395">
        <v>1</v>
      </c>
      <c r="K400" s="397" t="s">
        <v>193</v>
      </c>
      <c r="L400" s="395"/>
      <c r="N400" s="395"/>
      <c r="O400" s="395"/>
      <c r="P400" s="395"/>
      <c r="Q400" s="395"/>
      <c r="R400" s="395"/>
      <c r="S400" s="395"/>
      <c r="T400" s="395"/>
      <c r="U400" s="395"/>
    </row>
    <row r="401" spans="1:21" s="407" customFormat="1" ht="12" hidden="1" customHeight="1" outlineLevel="2">
      <c r="A401" s="508"/>
      <c r="B401" s="503"/>
      <c r="C401" s="504"/>
      <c r="D401" s="531" t="s">
        <v>1803</v>
      </c>
      <c r="E401" s="505" t="s">
        <v>1804</v>
      </c>
      <c r="F401" s="503" t="s">
        <v>48</v>
      </c>
      <c r="G401" s="400" t="str">
        <f t="shared" si="21"/>
        <v>BB01-2</v>
      </c>
      <c r="H401" s="507">
        <v>2</v>
      </c>
      <c r="I401" s="506"/>
      <c r="J401" s="395">
        <v>1</v>
      </c>
      <c r="K401" s="397" t="s">
        <v>193</v>
      </c>
      <c r="L401" s="395"/>
      <c r="N401" s="395"/>
      <c r="O401" s="395"/>
      <c r="P401" s="395"/>
      <c r="Q401" s="395"/>
      <c r="R401" s="395"/>
      <c r="S401" s="395"/>
      <c r="T401" s="395"/>
      <c r="U401" s="395"/>
    </row>
    <row r="402" spans="1:21" s="407" customFormat="1" ht="12" hidden="1" customHeight="1" outlineLevel="2">
      <c r="A402" s="508"/>
      <c r="B402" s="503"/>
      <c r="C402" s="504"/>
      <c r="D402" s="531" t="s">
        <v>1805</v>
      </c>
      <c r="E402" s="505" t="s">
        <v>1806</v>
      </c>
      <c r="F402" s="503" t="s">
        <v>48</v>
      </c>
      <c r="G402" s="400" t="str">
        <f t="shared" si="21"/>
        <v>BB01-2</v>
      </c>
      <c r="H402" s="507">
        <v>2</v>
      </c>
      <c r="I402" s="506"/>
      <c r="J402" s="395">
        <v>1</v>
      </c>
      <c r="K402" s="397" t="s">
        <v>610</v>
      </c>
      <c r="L402" s="395"/>
      <c r="N402" s="395"/>
      <c r="O402" s="395"/>
      <c r="P402" s="395"/>
      <c r="Q402" s="395"/>
      <c r="R402" s="395"/>
      <c r="S402" s="395"/>
      <c r="T402" s="395"/>
      <c r="U402" s="395"/>
    </row>
    <row r="403" spans="1:21" s="407" customFormat="1" ht="12" hidden="1" customHeight="1" outlineLevel="2">
      <c r="A403" s="508"/>
      <c r="B403" s="503"/>
      <c r="C403" s="504"/>
      <c r="D403" s="531" t="s">
        <v>1807</v>
      </c>
      <c r="E403" s="505" t="s">
        <v>1808</v>
      </c>
      <c r="F403" s="503" t="s">
        <v>48</v>
      </c>
      <c r="G403" s="400" t="str">
        <f t="shared" si="21"/>
        <v>BB01-2</v>
      </c>
      <c r="H403" s="507">
        <v>2</v>
      </c>
      <c r="I403" s="506"/>
      <c r="J403" s="395">
        <v>1</v>
      </c>
      <c r="K403" s="397" t="s">
        <v>193</v>
      </c>
      <c r="L403" s="395"/>
      <c r="N403" s="395"/>
      <c r="O403" s="395"/>
      <c r="P403" s="395"/>
      <c r="Q403" s="395"/>
      <c r="R403" s="395"/>
      <c r="S403" s="395"/>
      <c r="T403" s="395"/>
      <c r="U403" s="395"/>
    </row>
    <row r="404" spans="1:21" s="407" customFormat="1" ht="12" hidden="1" customHeight="1" outlineLevel="2">
      <c r="A404" s="508"/>
      <c r="B404" s="503"/>
      <c r="C404" s="504"/>
      <c r="D404" s="531" t="s">
        <v>1809</v>
      </c>
      <c r="E404" s="505" t="s">
        <v>1810</v>
      </c>
      <c r="F404" s="503" t="s">
        <v>48</v>
      </c>
      <c r="G404" s="400" t="str">
        <f t="shared" si="21"/>
        <v>BB01-2</v>
      </c>
      <c r="H404" s="507">
        <v>2</v>
      </c>
      <c r="I404" s="506"/>
      <c r="J404" s="395">
        <v>1</v>
      </c>
      <c r="K404" s="397" t="s">
        <v>193</v>
      </c>
      <c r="L404" s="395"/>
      <c r="N404" s="395"/>
      <c r="O404" s="395"/>
      <c r="P404" s="395"/>
      <c r="Q404" s="395"/>
      <c r="R404" s="395"/>
      <c r="S404" s="395"/>
      <c r="T404" s="395"/>
      <c r="U404" s="395"/>
    </row>
    <row r="405" spans="1:21" s="407" customFormat="1" ht="12" hidden="1" customHeight="1" outlineLevel="2">
      <c r="A405" s="508"/>
      <c r="B405" s="503"/>
      <c r="C405" s="504"/>
      <c r="D405" s="531" t="s">
        <v>1811</v>
      </c>
      <c r="E405" s="505" t="s">
        <v>1812</v>
      </c>
      <c r="F405" s="503" t="s">
        <v>48</v>
      </c>
      <c r="G405" s="400" t="str">
        <f t="shared" si="21"/>
        <v>BB01-2</v>
      </c>
      <c r="H405" s="507">
        <v>2</v>
      </c>
      <c r="I405" s="506"/>
      <c r="J405" s="395">
        <v>1</v>
      </c>
      <c r="K405" s="397" t="s">
        <v>1222</v>
      </c>
      <c r="L405" s="395"/>
      <c r="N405" s="395"/>
      <c r="O405" s="395"/>
      <c r="P405" s="395"/>
      <c r="Q405" s="395"/>
      <c r="R405" s="395"/>
      <c r="S405" s="395"/>
      <c r="T405" s="395"/>
      <c r="U405" s="395"/>
    </row>
    <row r="406" spans="1:21" s="407" customFormat="1" ht="12" hidden="1" customHeight="1" outlineLevel="2">
      <c r="A406" s="508"/>
      <c r="B406" s="503"/>
      <c r="C406" s="504"/>
      <c r="D406" s="531" t="s">
        <v>1813</v>
      </c>
      <c r="E406" s="505" t="s">
        <v>1814</v>
      </c>
      <c r="F406" s="503" t="s">
        <v>48</v>
      </c>
      <c r="G406" s="400" t="str">
        <f t="shared" si="21"/>
        <v>BB01-2</v>
      </c>
      <c r="H406" s="507">
        <v>2</v>
      </c>
      <c r="I406" s="506"/>
      <c r="J406" s="395">
        <v>1</v>
      </c>
      <c r="K406" s="397" t="s">
        <v>1222</v>
      </c>
      <c r="L406" s="395"/>
      <c r="N406" s="395"/>
      <c r="O406" s="395"/>
      <c r="P406" s="395"/>
      <c r="Q406" s="395"/>
      <c r="R406" s="395"/>
      <c r="S406" s="395"/>
      <c r="T406" s="395"/>
      <c r="U406" s="395"/>
    </row>
    <row r="407" spans="1:21" s="407" customFormat="1" ht="12" hidden="1" customHeight="1" outlineLevel="2">
      <c r="A407" s="508"/>
      <c r="B407" s="503"/>
      <c r="C407" s="504"/>
      <c r="D407" s="531" t="s">
        <v>1815</v>
      </c>
      <c r="E407" s="505" t="s">
        <v>1816</v>
      </c>
      <c r="F407" s="503" t="s">
        <v>48</v>
      </c>
      <c r="G407" s="400" t="str">
        <f t="shared" si="21"/>
        <v>BB01-2</v>
      </c>
      <c r="H407" s="507">
        <v>2</v>
      </c>
      <c r="I407" s="506"/>
      <c r="J407" s="395">
        <v>1</v>
      </c>
      <c r="K407" s="397" t="s">
        <v>193</v>
      </c>
      <c r="L407" s="395"/>
      <c r="N407" s="395"/>
      <c r="O407" s="395"/>
      <c r="P407" s="395"/>
      <c r="Q407" s="395"/>
      <c r="R407" s="395"/>
      <c r="S407" s="395"/>
      <c r="T407" s="395"/>
      <c r="U407" s="395"/>
    </row>
    <row r="408" spans="1:21" s="407" customFormat="1" ht="12" hidden="1" customHeight="1" outlineLevel="2">
      <c r="A408" s="508"/>
      <c r="B408" s="503"/>
      <c r="C408" s="504"/>
      <c r="D408" s="531" t="s">
        <v>1817</v>
      </c>
      <c r="E408" s="505" t="s">
        <v>1818</v>
      </c>
      <c r="F408" s="503" t="s">
        <v>48</v>
      </c>
      <c r="G408" s="400" t="str">
        <f t="shared" ref="G408" si="22">CONCATENATE(F408,"-",H408)</f>
        <v>BB01-2</v>
      </c>
      <c r="H408" s="507">
        <v>2</v>
      </c>
      <c r="I408" s="506"/>
      <c r="J408" s="395">
        <v>1</v>
      </c>
      <c r="K408" s="397" t="s">
        <v>193</v>
      </c>
      <c r="L408" s="395"/>
      <c r="N408" s="395"/>
      <c r="O408" s="395"/>
      <c r="P408" s="395"/>
      <c r="Q408" s="395"/>
      <c r="R408" s="395"/>
      <c r="S408" s="395"/>
      <c r="T408" s="395"/>
      <c r="U408" s="395"/>
    </row>
    <row r="409" spans="1:21" s="407" customFormat="1" ht="12" hidden="1" customHeight="1" outlineLevel="2">
      <c r="A409" s="508"/>
      <c r="B409" s="503"/>
      <c r="C409" s="504"/>
      <c r="D409" s="531" t="s">
        <v>1819</v>
      </c>
      <c r="E409" s="505" t="s">
        <v>1820</v>
      </c>
      <c r="F409" s="503" t="s">
        <v>48</v>
      </c>
      <c r="G409" s="400" t="str">
        <f t="shared" ref="G409:G430" si="23">CONCATENATE(F409,"-",H409)</f>
        <v>BB01-2</v>
      </c>
      <c r="H409" s="507">
        <v>2</v>
      </c>
      <c r="I409" s="506"/>
      <c r="J409" s="395">
        <v>1</v>
      </c>
      <c r="K409" s="397" t="s">
        <v>290</v>
      </c>
      <c r="L409" s="395"/>
      <c r="N409" s="395"/>
      <c r="P409" s="395"/>
      <c r="Q409" s="395"/>
      <c r="S409" s="395"/>
      <c r="T409" s="395"/>
      <c r="U409" s="395"/>
    </row>
    <row r="410" spans="1:21" s="407" customFormat="1" ht="12" hidden="1" customHeight="1" outlineLevel="2">
      <c r="A410" s="508"/>
      <c r="B410" s="503"/>
      <c r="C410" s="504"/>
      <c r="D410" s="531" t="s">
        <v>1821</v>
      </c>
      <c r="E410" s="505" t="s">
        <v>1822</v>
      </c>
      <c r="F410" s="503" t="s">
        <v>48</v>
      </c>
      <c r="G410" s="400" t="str">
        <f t="shared" si="23"/>
        <v>BB01-2</v>
      </c>
      <c r="H410" s="507">
        <v>2</v>
      </c>
      <c r="I410" s="506"/>
      <c r="J410" s="395">
        <v>1</v>
      </c>
      <c r="K410" s="397" t="s">
        <v>610</v>
      </c>
      <c r="L410" s="395"/>
      <c r="N410" s="395"/>
      <c r="P410" s="395"/>
      <c r="Q410" s="395"/>
      <c r="S410" s="395"/>
      <c r="T410" s="395"/>
      <c r="U410" s="395"/>
    </row>
    <row r="411" spans="1:21" s="407" customFormat="1" ht="12" hidden="1" customHeight="1" outlineLevel="2">
      <c r="A411" s="508"/>
      <c r="B411" s="503"/>
      <c r="C411" s="504"/>
      <c r="D411" s="531" t="s">
        <v>1823</v>
      </c>
      <c r="E411" s="505" t="s">
        <v>1824</v>
      </c>
      <c r="F411" s="503" t="s">
        <v>48</v>
      </c>
      <c r="G411" s="400" t="str">
        <f t="shared" si="23"/>
        <v>BB01-2</v>
      </c>
      <c r="H411" s="507">
        <v>2</v>
      </c>
      <c r="I411" s="506"/>
      <c r="J411" s="395">
        <v>1</v>
      </c>
      <c r="K411" s="397" t="s">
        <v>610</v>
      </c>
      <c r="L411" s="395"/>
      <c r="N411" s="395"/>
      <c r="P411" s="395"/>
      <c r="Q411" s="395"/>
      <c r="S411" s="395"/>
      <c r="T411" s="395"/>
      <c r="U411" s="395"/>
    </row>
    <row r="412" spans="1:21" s="407" customFormat="1" ht="12" hidden="1" customHeight="1" outlineLevel="2">
      <c r="A412" s="508"/>
      <c r="B412" s="503"/>
      <c r="C412" s="504"/>
      <c r="D412" s="531" t="s">
        <v>1825</v>
      </c>
      <c r="E412" s="505" t="s">
        <v>1826</v>
      </c>
      <c r="F412" s="503" t="s">
        <v>48</v>
      </c>
      <c r="G412" s="400" t="str">
        <f t="shared" si="23"/>
        <v>BB01-2</v>
      </c>
      <c r="H412" s="507">
        <v>2</v>
      </c>
      <c r="I412" s="506"/>
      <c r="J412" s="395">
        <v>1</v>
      </c>
      <c r="K412" s="397" t="s">
        <v>610</v>
      </c>
      <c r="L412" s="395"/>
      <c r="N412" s="395"/>
      <c r="P412" s="395"/>
      <c r="Q412" s="395"/>
      <c r="S412" s="395"/>
      <c r="T412" s="395"/>
      <c r="U412" s="395"/>
    </row>
    <row r="413" spans="1:21" s="407" customFormat="1" ht="12" hidden="1" customHeight="1" outlineLevel="2">
      <c r="A413" s="508"/>
      <c r="B413" s="503"/>
      <c r="C413" s="504"/>
      <c r="D413" s="531" t="s">
        <v>1827</v>
      </c>
      <c r="E413" s="505" t="s">
        <v>1828</v>
      </c>
      <c r="F413" s="503" t="s">
        <v>48</v>
      </c>
      <c r="G413" s="400" t="str">
        <f t="shared" si="23"/>
        <v>BB01-2</v>
      </c>
      <c r="H413" s="507">
        <v>2</v>
      </c>
      <c r="I413" s="506"/>
      <c r="J413" s="395">
        <v>1</v>
      </c>
      <c r="K413" s="397" t="s">
        <v>610</v>
      </c>
      <c r="L413" s="395"/>
      <c r="N413" s="395"/>
      <c r="P413" s="395"/>
      <c r="Q413" s="395"/>
      <c r="S413" s="395"/>
      <c r="T413" s="395"/>
      <c r="U413" s="395"/>
    </row>
    <row r="414" spans="1:21" s="407" customFormat="1" ht="12" hidden="1" customHeight="1" outlineLevel="2">
      <c r="A414" s="508"/>
      <c r="B414" s="503"/>
      <c r="C414" s="504"/>
      <c r="D414" s="531" t="s">
        <v>1829</v>
      </c>
      <c r="E414" s="505" t="s">
        <v>1830</v>
      </c>
      <c r="F414" s="503" t="s">
        <v>48</v>
      </c>
      <c r="G414" s="400" t="str">
        <f t="shared" si="23"/>
        <v>BB01-2</v>
      </c>
      <c r="H414" s="507">
        <v>2</v>
      </c>
      <c r="I414" s="506"/>
      <c r="J414" s="395">
        <v>1</v>
      </c>
      <c r="K414" s="397" t="s">
        <v>610</v>
      </c>
      <c r="L414" s="395"/>
      <c r="N414" s="395"/>
      <c r="P414" s="395"/>
      <c r="Q414" s="395"/>
      <c r="S414" s="395"/>
      <c r="T414" s="395"/>
      <c r="U414" s="395"/>
    </row>
    <row r="415" spans="1:21" s="407" customFormat="1" ht="12" hidden="1" customHeight="1" outlineLevel="2">
      <c r="A415" s="508"/>
      <c r="B415" s="503"/>
      <c r="C415" s="504"/>
      <c r="D415" s="531" t="s">
        <v>1831</v>
      </c>
      <c r="E415" s="505" t="s">
        <v>1832</v>
      </c>
      <c r="F415" s="503" t="s">
        <v>48</v>
      </c>
      <c r="G415" s="400" t="str">
        <f t="shared" si="23"/>
        <v>BB01-2</v>
      </c>
      <c r="H415" s="507">
        <v>2</v>
      </c>
      <c r="I415" s="506"/>
      <c r="J415" s="395">
        <v>1</v>
      </c>
      <c r="K415" s="397" t="s">
        <v>610</v>
      </c>
      <c r="L415" s="395"/>
      <c r="N415" s="395"/>
      <c r="P415" s="395"/>
      <c r="Q415" s="395"/>
      <c r="S415" s="395"/>
      <c r="T415" s="395"/>
      <c r="U415" s="395"/>
    </row>
    <row r="416" spans="1:21" s="407" customFormat="1" ht="12" hidden="1" customHeight="1" outlineLevel="2">
      <c r="A416" s="508"/>
      <c r="B416" s="503"/>
      <c r="C416" s="504"/>
      <c r="D416" s="531" t="s">
        <v>1833</v>
      </c>
      <c r="E416" s="505" t="s">
        <v>1834</v>
      </c>
      <c r="F416" s="503" t="s">
        <v>48</v>
      </c>
      <c r="G416" s="400" t="str">
        <f t="shared" si="23"/>
        <v>BB01-2</v>
      </c>
      <c r="H416" s="507">
        <v>2</v>
      </c>
      <c r="I416" s="506"/>
      <c r="J416" s="395">
        <v>1</v>
      </c>
      <c r="K416" s="397" t="s">
        <v>610</v>
      </c>
      <c r="L416" s="395"/>
      <c r="N416" s="395"/>
      <c r="P416" s="395"/>
      <c r="Q416" s="395"/>
      <c r="S416" s="395"/>
      <c r="T416" s="395"/>
      <c r="U416" s="395"/>
    </row>
    <row r="417" spans="1:21" s="407" customFormat="1" ht="12" hidden="1" customHeight="1" outlineLevel="2">
      <c r="A417" s="508"/>
      <c r="B417" s="503"/>
      <c r="C417" s="504"/>
      <c r="D417" s="531" t="s">
        <v>1835</v>
      </c>
      <c r="E417" s="505" t="s">
        <v>1836</v>
      </c>
      <c r="F417" s="503" t="s">
        <v>48</v>
      </c>
      <c r="G417" s="400" t="str">
        <f t="shared" si="23"/>
        <v>BB01-2</v>
      </c>
      <c r="H417" s="507">
        <v>2</v>
      </c>
      <c r="I417" s="506"/>
      <c r="J417" s="395">
        <v>1</v>
      </c>
      <c r="K417" s="397" t="s">
        <v>610</v>
      </c>
      <c r="L417" s="395"/>
      <c r="N417" s="395"/>
      <c r="P417" s="395"/>
      <c r="Q417" s="395"/>
      <c r="S417" s="395"/>
      <c r="T417" s="395"/>
      <c r="U417" s="395"/>
    </row>
    <row r="418" spans="1:21" s="407" customFormat="1" ht="12" hidden="1" customHeight="1" outlineLevel="2">
      <c r="A418" s="508"/>
      <c r="B418" s="503"/>
      <c r="C418" s="504"/>
      <c r="D418" s="531" t="s">
        <v>1837</v>
      </c>
      <c r="E418" s="505" t="s">
        <v>1838</v>
      </c>
      <c r="F418" s="503" t="s">
        <v>48</v>
      </c>
      <c r="G418" s="400" t="str">
        <f t="shared" si="23"/>
        <v>BB01-2</v>
      </c>
      <c r="H418" s="507">
        <v>2</v>
      </c>
      <c r="I418" s="506"/>
      <c r="J418" s="395">
        <v>1</v>
      </c>
      <c r="K418" s="397" t="s">
        <v>610</v>
      </c>
      <c r="L418" s="395"/>
      <c r="N418" s="395"/>
      <c r="P418" s="395"/>
      <c r="Q418" s="395"/>
      <c r="S418" s="395"/>
      <c r="T418" s="395"/>
      <c r="U418" s="395"/>
    </row>
    <row r="419" spans="1:21" s="407" customFormat="1" ht="12" hidden="1" customHeight="1" outlineLevel="2">
      <c r="A419" s="508"/>
      <c r="B419" s="503"/>
      <c r="C419" s="504"/>
      <c r="D419" s="531" t="s">
        <v>1839</v>
      </c>
      <c r="E419" s="505" t="s">
        <v>1840</v>
      </c>
      <c r="F419" s="503" t="s">
        <v>48</v>
      </c>
      <c r="G419" s="400" t="str">
        <f t="shared" si="23"/>
        <v>BB01-2</v>
      </c>
      <c r="H419" s="507">
        <v>2</v>
      </c>
      <c r="I419" s="506"/>
      <c r="J419" s="395">
        <v>1</v>
      </c>
      <c r="K419" s="397" t="s">
        <v>610</v>
      </c>
      <c r="L419" s="395"/>
      <c r="N419" s="395"/>
      <c r="P419" s="395"/>
      <c r="Q419" s="395"/>
      <c r="S419" s="395"/>
      <c r="T419" s="395"/>
      <c r="U419" s="395"/>
    </row>
    <row r="420" spans="1:21" s="407" customFormat="1" ht="12" hidden="1" customHeight="1" outlineLevel="2">
      <c r="A420" s="508"/>
      <c r="B420" s="503"/>
      <c r="C420" s="504"/>
      <c r="D420" s="531" t="s">
        <v>1841</v>
      </c>
      <c r="E420" s="505" t="s">
        <v>1842</v>
      </c>
      <c r="F420" s="503" t="s">
        <v>48</v>
      </c>
      <c r="G420" s="400" t="str">
        <f t="shared" si="23"/>
        <v>BB01-2</v>
      </c>
      <c r="H420" s="507">
        <v>2</v>
      </c>
      <c r="I420" s="506"/>
      <c r="J420" s="395">
        <v>1</v>
      </c>
      <c r="K420" s="397" t="s">
        <v>610</v>
      </c>
      <c r="L420" s="395"/>
      <c r="N420" s="395"/>
      <c r="P420" s="395"/>
      <c r="Q420" s="395"/>
      <c r="S420" s="395"/>
      <c r="T420" s="395"/>
      <c r="U420" s="395"/>
    </row>
    <row r="421" spans="1:21" s="407" customFormat="1" ht="12" hidden="1" customHeight="1" outlineLevel="2">
      <c r="A421" s="508"/>
      <c r="B421" s="503"/>
      <c r="C421" s="504"/>
      <c r="D421" s="531" t="s">
        <v>1843</v>
      </c>
      <c r="E421" s="505" t="s">
        <v>1844</v>
      </c>
      <c r="F421" s="503" t="s">
        <v>48</v>
      </c>
      <c r="G421" s="400" t="str">
        <f t="shared" si="23"/>
        <v>BB01-2</v>
      </c>
      <c r="H421" s="507">
        <v>2</v>
      </c>
      <c r="I421" s="506"/>
      <c r="J421" s="395">
        <v>1</v>
      </c>
      <c r="K421" s="397" t="s">
        <v>610</v>
      </c>
      <c r="L421" s="395"/>
      <c r="N421" s="395"/>
      <c r="P421" s="395"/>
      <c r="Q421" s="395"/>
      <c r="S421" s="395"/>
      <c r="T421" s="395"/>
      <c r="U421" s="395"/>
    </row>
    <row r="422" spans="1:21" s="407" customFormat="1" ht="12" hidden="1" customHeight="1" outlineLevel="2">
      <c r="A422" s="508"/>
      <c r="B422" s="503"/>
      <c r="C422" s="504"/>
      <c r="D422" s="531" t="s">
        <v>1845</v>
      </c>
      <c r="E422" s="505" t="s">
        <v>1846</v>
      </c>
      <c r="F422" s="503" t="s">
        <v>48</v>
      </c>
      <c r="G422" s="400" t="str">
        <f t="shared" si="23"/>
        <v>BB01-2</v>
      </c>
      <c r="H422" s="507">
        <v>2</v>
      </c>
      <c r="I422" s="506"/>
      <c r="J422" s="395">
        <v>1</v>
      </c>
      <c r="K422" s="397" t="s">
        <v>193</v>
      </c>
      <c r="L422" s="395"/>
      <c r="N422" s="395"/>
      <c r="P422" s="395"/>
      <c r="Q422" s="395"/>
      <c r="S422" s="395"/>
      <c r="T422" s="395"/>
      <c r="U422" s="395"/>
    </row>
    <row r="423" spans="1:21" s="407" customFormat="1" ht="12" hidden="1" customHeight="1" outlineLevel="2">
      <c r="A423" s="508"/>
      <c r="B423" s="503"/>
      <c r="C423" s="504"/>
      <c r="D423" s="531" t="s">
        <v>1847</v>
      </c>
      <c r="E423" s="505" t="s">
        <v>1848</v>
      </c>
      <c r="F423" s="503" t="s">
        <v>48</v>
      </c>
      <c r="G423" s="400" t="str">
        <f t="shared" si="23"/>
        <v>BB01-2</v>
      </c>
      <c r="H423" s="507">
        <v>2</v>
      </c>
      <c r="I423" s="506"/>
      <c r="J423" s="395">
        <v>1</v>
      </c>
      <c r="K423" s="397" t="s">
        <v>193</v>
      </c>
      <c r="L423" s="395"/>
      <c r="N423" s="395"/>
      <c r="P423" s="395"/>
      <c r="Q423" s="395"/>
      <c r="S423" s="395"/>
      <c r="T423" s="395"/>
      <c r="U423" s="395"/>
    </row>
    <row r="424" spans="1:21" s="407" customFormat="1" ht="12" hidden="1" customHeight="1" outlineLevel="2">
      <c r="A424" s="508"/>
      <c r="B424" s="503"/>
      <c r="C424" s="504"/>
      <c r="D424" s="531" t="s">
        <v>1849</v>
      </c>
      <c r="E424" s="505" t="s">
        <v>1850</v>
      </c>
      <c r="F424" s="503" t="s">
        <v>48</v>
      </c>
      <c r="G424" s="400" t="str">
        <f t="shared" si="23"/>
        <v>BB01-2</v>
      </c>
      <c r="H424" s="507">
        <v>2</v>
      </c>
      <c r="I424" s="506"/>
      <c r="J424" s="395">
        <v>1</v>
      </c>
      <c r="K424" s="397" t="s">
        <v>193</v>
      </c>
      <c r="L424" s="395"/>
      <c r="N424" s="395"/>
      <c r="P424" s="395"/>
      <c r="Q424" s="395"/>
      <c r="S424" s="395"/>
      <c r="T424" s="395"/>
      <c r="U424" s="395"/>
    </row>
    <row r="425" spans="1:21" s="407" customFormat="1" ht="12" hidden="1" customHeight="1" outlineLevel="2">
      <c r="A425" s="508"/>
      <c r="B425" s="503"/>
      <c r="C425" s="504"/>
      <c r="D425" s="531" t="s">
        <v>1851</v>
      </c>
      <c r="E425" s="505" t="s">
        <v>1852</v>
      </c>
      <c r="F425" s="503" t="s">
        <v>48</v>
      </c>
      <c r="G425" s="400" t="str">
        <f t="shared" si="23"/>
        <v>BB01-2</v>
      </c>
      <c r="H425" s="507">
        <v>2</v>
      </c>
      <c r="I425" s="506"/>
      <c r="J425" s="395">
        <v>1</v>
      </c>
      <c r="K425" s="397" t="s">
        <v>193</v>
      </c>
      <c r="L425" s="395"/>
      <c r="N425" s="395"/>
      <c r="P425" s="395"/>
      <c r="Q425" s="395"/>
      <c r="S425" s="395"/>
      <c r="T425" s="395"/>
      <c r="U425" s="395"/>
    </row>
    <row r="426" spans="1:21" s="407" customFormat="1" ht="12" hidden="1" customHeight="1" outlineLevel="2">
      <c r="A426" s="508"/>
      <c r="B426" s="503"/>
      <c r="C426" s="504"/>
      <c r="D426" s="531" t="s">
        <v>1853</v>
      </c>
      <c r="E426" s="505" t="s">
        <v>1854</v>
      </c>
      <c r="F426" s="503" t="s">
        <v>48</v>
      </c>
      <c r="G426" s="400" t="str">
        <f t="shared" si="23"/>
        <v>BB01-2</v>
      </c>
      <c r="H426" s="507">
        <v>2</v>
      </c>
      <c r="I426" s="506"/>
      <c r="J426" s="395">
        <v>1</v>
      </c>
      <c r="K426" s="397" t="s">
        <v>193</v>
      </c>
      <c r="L426" s="395"/>
      <c r="N426" s="395"/>
      <c r="P426" s="395"/>
      <c r="Q426" s="395"/>
      <c r="S426" s="395"/>
      <c r="T426" s="395"/>
      <c r="U426" s="395"/>
    </row>
    <row r="427" spans="1:21" s="407" customFormat="1" ht="12" hidden="1" customHeight="1" outlineLevel="2">
      <c r="A427" s="508"/>
      <c r="B427" s="503"/>
      <c r="C427" s="504"/>
      <c r="D427" s="531" t="s">
        <v>1855</v>
      </c>
      <c r="E427" s="505" t="s">
        <v>1856</v>
      </c>
      <c r="F427" s="503" t="s">
        <v>48</v>
      </c>
      <c r="G427" s="400" t="str">
        <f t="shared" si="23"/>
        <v>BB01-2</v>
      </c>
      <c r="H427" s="507">
        <v>2</v>
      </c>
      <c r="I427" s="506"/>
      <c r="J427" s="395">
        <v>1</v>
      </c>
      <c r="K427" s="397" t="s">
        <v>193</v>
      </c>
      <c r="L427" s="395"/>
      <c r="N427" s="395"/>
      <c r="P427" s="395"/>
      <c r="Q427" s="395"/>
      <c r="S427" s="395"/>
      <c r="T427" s="395"/>
      <c r="U427" s="395"/>
    </row>
    <row r="428" spans="1:21" s="407" customFormat="1" ht="12" hidden="1" customHeight="1" outlineLevel="2">
      <c r="A428" s="508"/>
      <c r="B428" s="503"/>
      <c r="C428" s="504"/>
      <c r="D428" s="531" t="s">
        <v>1857</v>
      </c>
      <c r="E428" s="505" t="s">
        <v>1858</v>
      </c>
      <c r="F428" s="503" t="s">
        <v>48</v>
      </c>
      <c r="G428" s="400" t="str">
        <f t="shared" si="23"/>
        <v>BB01-2</v>
      </c>
      <c r="H428" s="507">
        <v>2</v>
      </c>
      <c r="I428" s="506"/>
      <c r="J428" s="395">
        <v>1</v>
      </c>
      <c r="K428" s="397" t="s">
        <v>193</v>
      </c>
      <c r="L428" s="395"/>
      <c r="N428" s="395"/>
      <c r="P428" s="395"/>
      <c r="Q428" s="395"/>
      <c r="S428" s="395"/>
      <c r="T428" s="395"/>
      <c r="U428" s="395"/>
    </row>
    <row r="429" spans="1:21" s="407" customFormat="1" ht="12" hidden="1" customHeight="1" outlineLevel="2">
      <c r="A429" s="508"/>
      <c r="B429" s="503"/>
      <c r="C429" s="504"/>
      <c r="D429" s="531" t="s">
        <v>1859</v>
      </c>
      <c r="E429" s="505" t="s">
        <v>1860</v>
      </c>
      <c r="F429" s="503" t="s">
        <v>48</v>
      </c>
      <c r="G429" s="400" t="str">
        <f t="shared" si="23"/>
        <v>BB01-2</v>
      </c>
      <c r="H429" s="507">
        <v>2</v>
      </c>
      <c r="I429" s="506"/>
      <c r="J429" s="395">
        <v>1</v>
      </c>
      <c r="K429" s="397" t="s">
        <v>193</v>
      </c>
      <c r="L429" s="395"/>
      <c r="N429" s="395"/>
      <c r="P429" s="395"/>
      <c r="Q429" s="395"/>
      <c r="S429" s="395"/>
      <c r="T429" s="395"/>
      <c r="U429" s="395"/>
    </row>
    <row r="430" spans="1:21" s="407" customFormat="1" ht="12" hidden="1" customHeight="1" outlineLevel="2">
      <c r="A430" s="508"/>
      <c r="B430" s="503"/>
      <c r="C430" s="504"/>
      <c r="D430" s="531" t="s">
        <v>1861</v>
      </c>
      <c r="E430" s="505" t="s">
        <v>1862</v>
      </c>
      <c r="F430" s="503" t="s">
        <v>48</v>
      </c>
      <c r="G430" s="400" t="str">
        <f t="shared" si="23"/>
        <v>BB01-2</v>
      </c>
      <c r="H430" s="507">
        <v>2</v>
      </c>
      <c r="I430" s="506"/>
      <c r="J430" s="395">
        <v>1</v>
      </c>
      <c r="K430" s="397" t="s">
        <v>193</v>
      </c>
      <c r="L430" s="395"/>
      <c r="N430" s="395"/>
      <c r="P430" s="395"/>
      <c r="Q430" s="395"/>
      <c r="S430" s="395"/>
      <c r="T430" s="395"/>
      <c r="U430" s="395"/>
    </row>
    <row r="431" spans="1:21" s="407" customFormat="1" ht="12" hidden="1" customHeight="1" outlineLevel="2">
      <c r="A431" s="508"/>
      <c r="B431" s="553"/>
      <c r="C431" s="554"/>
      <c r="D431" s="577" t="s">
        <v>1863</v>
      </c>
      <c r="E431" s="555" t="s">
        <v>1864</v>
      </c>
      <c r="F431" s="503" t="s">
        <v>48</v>
      </c>
      <c r="G431" s="400" t="str">
        <f t="shared" ref="G431:G439" si="24">CONCATENATE(F431,"-",H431)</f>
        <v>BB01-2</v>
      </c>
      <c r="H431" s="507">
        <v>2</v>
      </c>
      <c r="I431" s="506"/>
      <c r="J431" s="395">
        <v>1</v>
      </c>
      <c r="K431" s="397" t="s">
        <v>193</v>
      </c>
      <c r="L431" s="395"/>
      <c r="N431" s="395"/>
      <c r="P431" s="395"/>
      <c r="Q431" s="395"/>
      <c r="S431" s="395"/>
      <c r="T431" s="395"/>
      <c r="U431" s="395"/>
    </row>
    <row r="432" spans="1:21" s="407" customFormat="1" ht="12" hidden="1" customHeight="1" outlineLevel="2">
      <c r="A432" s="508"/>
      <c r="B432" s="553"/>
      <c r="C432" s="554"/>
      <c r="D432" s="577" t="s">
        <v>1865</v>
      </c>
      <c r="E432" s="555" t="s">
        <v>1866</v>
      </c>
      <c r="F432" s="503" t="s">
        <v>48</v>
      </c>
      <c r="G432" s="400" t="str">
        <f t="shared" si="24"/>
        <v>BB01-2</v>
      </c>
      <c r="H432" s="507">
        <v>2</v>
      </c>
      <c r="I432" s="506"/>
      <c r="J432" s="395">
        <v>1</v>
      </c>
      <c r="K432" s="397" t="s">
        <v>193</v>
      </c>
      <c r="L432" s="395"/>
      <c r="N432" s="395"/>
      <c r="P432" s="395"/>
      <c r="Q432" s="395"/>
      <c r="S432" s="395"/>
      <c r="T432" s="395"/>
      <c r="U432" s="395"/>
    </row>
    <row r="433" spans="1:21" s="407" customFormat="1" ht="12" hidden="1" customHeight="1" outlineLevel="2">
      <c r="A433" s="508"/>
      <c r="B433" s="553"/>
      <c r="C433" s="554"/>
      <c r="D433" s="577" t="s">
        <v>1867</v>
      </c>
      <c r="E433" s="555" t="s">
        <v>1868</v>
      </c>
      <c r="F433" s="503" t="s">
        <v>48</v>
      </c>
      <c r="G433" s="400" t="str">
        <f t="shared" si="24"/>
        <v>BB01-2</v>
      </c>
      <c r="H433" s="507">
        <v>2</v>
      </c>
      <c r="I433" s="506"/>
      <c r="J433" s="395">
        <v>1</v>
      </c>
      <c r="K433" s="397" t="s">
        <v>193</v>
      </c>
      <c r="L433" s="395"/>
      <c r="N433" s="395"/>
      <c r="P433" s="395"/>
      <c r="Q433" s="395"/>
      <c r="S433" s="395"/>
      <c r="T433" s="395"/>
      <c r="U433" s="395"/>
    </row>
    <row r="434" spans="1:21" s="407" customFormat="1" ht="12" hidden="1" customHeight="1" outlineLevel="2">
      <c r="A434" s="508"/>
      <c r="B434" s="553"/>
      <c r="C434" s="554"/>
      <c r="D434" s="577" t="s">
        <v>1869</v>
      </c>
      <c r="E434" s="555" t="s">
        <v>1870</v>
      </c>
      <c r="F434" s="503" t="s">
        <v>48</v>
      </c>
      <c r="G434" s="400" t="str">
        <f t="shared" si="24"/>
        <v>BB01-2</v>
      </c>
      <c r="H434" s="507">
        <v>2</v>
      </c>
      <c r="I434" s="506"/>
      <c r="J434" s="395">
        <v>1</v>
      </c>
      <c r="K434" s="397" t="s">
        <v>193</v>
      </c>
      <c r="L434" s="395"/>
      <c r="N434" s="395"/>
      <c r="P434" s="395"/>
      <c r="Q434" s="395"/>
      <c r="S434" s="395"/>
      <c r="T434" s="395"/>
      <c r="U434" s="395"/>
    </row>
    <row r="435" spans="1:21" s="407" customFormat="1" ht="12" hidden="1" customHeight="1" outlineLevel="2">
      <c r="A435" s="508"/>
      <c r="B435" s="553"/>
      <c r="C435" s="554"/>
      <c r="D435" s="577" t="s">
        <v>1871</v>
      </c>
      <c r="E435" s="555" t="s">
        <v>1872</v>
      </c>
      <c r="F435" s="503" t="s">
        <v>48</v>
      </c>
      <c r="G435" s="400" t="str">
        <f t="shared" si="24"/>
        <v>BB01-2</v>
      </c>
      <c r="H435" s="507">
        <v>2</v>
      </c>
      <c r="I435" s="506"/>
      <c r="J435" s="395">
        <v>1</v>
      </c>
      <c r="K435" s="397" t="s">
        <v>193</v>
      </c>
      <c r="L435" s="395"/>
      <c r="N435" s="395"/>
      <c r="P435" s="395"/>
      <c r="Q435" s="395"/>
      <c r="S435" s="395"/>
      <c r="T435" s="395"/>
      <c r="U435" s="395"/>
    </row>
    <row r="436" spans="1:21" s="407" customFormat="1" ht="12" hidden="1" customHeight="1" outlineLevel="2">
      <c r="A436" s="508"/>
      <c r="B436" s="553"/>
      <c r="C436" s="554"/>
      <c r="D436" s="577" t="s">
        <v>1873</v>
      </c>
      <c r="E436" s="555" t="s">
        <v>1874</v>
      </c>
      <c r="F436" s="503" t="s">
        <v>48</v>
      </c>
      <c r="G436" s="400" t="str">
        <f t="shared" si="24"/>
        <v>BB01-2</v>
      </c>
      <c r="H436" s="507">
        <v>2</v>
      </c>
      <c r="I436" s="506"/>
      <c r="J436" s="395">
        <v>1</v>
      </c>
      <c r="K436" s="397" t="s">
        <v>193</v>
      </c>
      <c r="L436" s="395"/>
      <c r="N436" s="395"/>
      <c r="P436" s="395"/>
      <c r="Q436" s="395"/>
      <c r="S436" s="395"/>
      <c r="T436" s="395"/>
      <c r="U436" s="395"/>
    </row>
    <row r="437" spans="1:21" s="407" customFormat="1" ht="12" hidden="1" customHeight="1" outlineLevel="2">
      <c r="A437" s="508"/>
      <c r="B437" s="553"/>
      <c r="C437" s="554"/>
      <c r="D437" s="577" t="s">
        <v>1875</v>
      </c>
      <c r="E437" s="555" t="s">
        <v>1876</v>
      </c>
      <c r="F437" s="503" t="s">
        <v>48</v>
      </c>
      <c r="G437" s="400" t="str">
        <f t="shared" si="24"/>
        <v>BB01-2</v>
      </c>
      <c r="H437" s="507">
        <v>2</v>
      </c>
      <c r="I437" s="506"/>
      <c r="J437" s="395">
        <v>1</v>
      </c>
      <c r="K437" s="397" t="s">
        <v>193</v>
      </c>
      <c r="L437" s="395"/>
      <c r="N437" s="395"/>
      <c r="P437" s="395"/>
      <c r="Q437" s="395"/>
      <c r="S437" s="395"/>
      <c r="T437" s="395"/>
      <c r="U437" s="395"/>
    </row>
    <row r="438" spans="1:21" s="407" customFormat="1" ht="12" hidden="1" customHeight="1" outlineLevel="2">
      <c r="A438" s="508"/>
      <c r="B438" s="553"/>
      <c r="C438" s="554"/>
      <c r="D438" s="577" t="s">
        <v>1877</v>
      </c>
      <c r="E438" s="555" t="s">
        <v>1878</v>
      </c>
      <c r="F438" s="503" t="s">
        <v>48</v>
      </c>
      <c r="G438" s="400" t="str">
        <f t="shared" si="24"/>
        <v>BB01-2</v>
      </c>
      <c r="H438" s="507">
        <v>2</v>
      </c>
      <c r="I438" s="506"/>
      <c r="J438" s="395">
        <v>1</v>
      </c>
      <c r="K438" s="397" t="s">
        <v>193</v>
      </c>
      <c r="L438" s="395"/>
      <c r="N438" s="395"/>
      <c r="P438" s="395"/>
      <c r="Q438" s="395"/>
      <c r="S438" s="395"/>
      <c r="T438" s="395"/>
      <c r="U438" s="395"/>
    </row>
    <row r="439" spans="1:21" s="407" customFormat="1" ht="12" hidden="1" customHeight="1" outlineLevel="2">
      <c r="A439" s="508"/>
      <c r="B439" s="553"/>
      <c r="C439" s="554"/>
      <c r="D439" s="577" t="s">
        <v>1879</v>
      </c>
      <c r="E439" s="555" t="s">
        <v>1880</v>
      </c>
      <c r="F439" s="503" t="s">
        <v>48</v>
      </c>
      <c r="G439" s="400" t="str">
        <f t="shared" si="24"/>
        <v>BB01-2</v>
      </c>
      <c r="H439" s="507">
        <v>2</v>
      </c>
      <c r="I439" s="506"/>
      <c r="J439" s="395">
        <v>1</v>
      </c>
      <c r="K439" s="397" t="s">
        <v>193</v>
      </c>
      <c r="L439" s="395"/>
      <c r="N439" s="395"/>
      <c r="P439" s="395"/>
      <c r="Q439" s="395"/>
      <c r="S439" s="395"/>
      <c r="T439" s="395"/>
      <c r="U439" s="395"/>
    </row>
    <row r="440" spans="1:21" s="407" customFormat="1" ht="12" hidden="1" customHeight="1" outlineLevel="2">
      <c r="A440" s="508"/>
      <c r="B440" s="553"/>
      <c r="C440" s="554"/>
      <c r="D440" s="577" t="s">
        <v>1881</v>
      </c>
      <c r="E440" s="555" t="s">
        <v>1882</v>
      </c>
      <c r="F440" s="503" t="s">
        <v>48</v>
      </c>
      <c r="G440" s="400" t="str">
        <f t="shared" ref="G440:G449" si="25">CONCATENATE(F440,"-",H440)</f>
        <v>BB01-2</v>
      </c>
      <c r="H440" s="507">
        <v>2</v>
      </c>
      <c r="I440" s="506"/>
      <c r="J440" s="395">
        <v>1</v>
      </c>
      <c r="K440" s="397" t="s">
        <v>193</v>
      </c>
      <c r="L440" s="395"/>
      <c r="N440" s="395"/>
      <c r="P440" s="395"/>
      <c r="Q440" s="395"/>
      <c r="S440" s="395"/>
      <c r="T440" s="395"/>
      <c r="U440" s="395"/>
    </row>
    <row r="441" spans="1:21" s="407" customFormat="1" ht="12" hidden="1" customHeight="1" outlineLevel="2">
      <c r="A441" s="508"/>
      <c r="B441" s="553"/>
      <c r="C441" s="554"/>
      <c r="D441" s="577" t="s">
        <v>1883</v>
      </c>
      <c r="E441" s="555" t="s">
        <v>1884</v>
      </c>
      <c r="F441" s="503" t="s">
        <v>48</v>
      </c>
      <c r="G441" s="400" t="str">
        <f t="shared" si="25"/>
        <v>BB01-2</v>
      </c>
      <c r="H441" s="507">
        <v>2</v>
      </c>
      <c r="I441" s="506"/>
      <c r="J441" s="395">
        <v>1</v>
      </c>
      <c r="K441" s="397" t="s">
        <v>193</v>
      </c>
      <c r="L441" s="395"/>
      <c r="N441" s="395"/>
      <c r="P441" s="395"/>
      <c r="Q441" s="395"/>
      <c r="S441" s="395"/>
      <c r="T441" s="395"/>
      <c r="U441" s="395"/>
    </row>
    <row r="442" spans="1:21" s="407" customFormat="1" ht="12" hidden="1" customHeight="1" outlineLevel="2">
      <c r="A442" s="508"/>
      <c r="B442" s="553"/>
      <c r="C442" s="554"/>
      <c r="D442" s="577" t="s">
        <v>1885</v>
      </c>
      <c r="E442" s="555" t="s">
        <v>1886</v>
      </c>
      <c r="F442" s="503" t="s">
        <v>48</v>
      </c>
      <c r="G442" s="400" t="str">
        <f t="shared" si="25"/>
        <v>BB01-2</v>
      </c>
      <c r="H442" s="507">
        <v>2</v>
      </c>
      <c r="I442" s="506"/>
      <c r="J442" s="395">
        <v>1</v>
      </c>
      <c r="K442" s="397" t="s">
        <v>193</v>
      </c>
      <c r="L442" s="395"/>
      <c r="N442" s="395"/>
      <c r="P442" s="395"/>
      <c r="Q442" s="395"/>
      <c r="S442" s="395"/>
      <c r="T442" s="395"/>
      <c r="U442" s="395"/>
    </row>
    <row r="443" spans="1:21" s="407" customFormat="1" ht="12" hidden="1" customHeight="1" outlineLevel="2">
      <c r="A443" s="508"/>
      <c r="B443" s="553"/>
      <c r="C443" s="554"/>
      <c r="D443" s="577" t="s">
        <v>1887</v>
      </c>
      <c r="E443" s="555" t="s">
        <v>1888</v>
      </c>
      <c r="F443" s="503" t="s">
        <v>48</v>
      </c>
      <c r="G443" s="400" t="str">
        <f t="shared" si="25"/>
        <v>BB01-2</v>
      </c>
      <c r="H443" s="507">
        <v>2</v>
      </c>
      <c r="I443" s="506"/>
      <c r="J443" s="395">
        <v>1</v>
      </c>
      <c r="K443" s="397" t="s">
        <v>193</v>
      </c>
      <c r="L443" s="395"/>
      <c r="N443" s="395"/>
      <c r="P443" s="395"/>
      <c r="Q443" s="395"/>
      <c r="S443" s="395"/>
      <c r="T443" s="395"/>
      <c r="U443" s="395"/>
    </row>
    <row r="444" spans="1:21" s="407" customFormat="1" ht="12" hidden="1" customHeight="1" outlineLevel="2">
      <c r="A444" s="508"/>
      <c r="B444" s="553"/>
      <c r="C444" s="554"/>
      <c r="D444" s="577" t="s">
        <v>1889</v>
      </c>
      <c r="E444" s="555" t="s">
        <v>1890</v>
      </c>
      <c r="F444" s="503" t="s">
        <v>48</v>
      </c>
      <c r="G444" s="400" t="str">
        <f t="shared" si="25"/>
        <v>BB01-2</v>
      </c>
      <c r="H444" s="507">
        <v>2</v>
      </c>
      <c r="I444" s="506"/>
      <c r="J444" s="395">
        <v>1</v>
      </c>
      <c r="K444" s="397" t="s">
        <v>193</v>
      </c>
      <c r="L444" s="395"/>
      <c r="N444" s="395"/>
      <c r="P444" s="395"/>
      <c r="Q444" s="395"/>
      <c r="S444" s="395"/>
      <c r="T444" s="395"/>
      <c r="U444" s="395"/>
    </row>
    <row r="445" spans="1:21" s="407" customFormat="1" ht="12" hidden="1" customHeight="1" outlineLevel="2">
      <c r="A445" s="508"/>
      <c r="B445" s="553"/>
      <c r="C445" s="554"/>
      <c r="D445" s="577" t="s">
        <v>1891</v>
      </c>
      <c r="E445" s="555" t="s">
        <v>1892</v>
      </c>
      <c r="F445" s="503" t="s">
        <v>48</v>
      </c>
      <c r="G445" s="400" t="str">
        <f t="shared" si="25"/>
        <v>BB01-2</v>
      </c>
      <c r="H445" s="507">
        <v>2</v>
      </c>
      <c r="I445" s="506"/>
      <c r="J445" s="395">
        <v>1</v>
      </c>
      <c r="K445" s="397" t="s">
        <v>193</v>
      </c>
      <c r="L445" s="395"/>
      <c r="N445" s="395"/>
      <c r="P445" s="395"/>
      <c r="Q445" s="395"/>
      <c r="S445" s="395"/>
      <c r="T445" s="395"/>
      <c r="U445" s="395"/>
    </row>
    <row r="446" spans="1:21" s="407" customFormat="1" ht="12" hidden="1" customHeight="1" outlineLevel="2">
      <c r="A446" s="508"/>
      <c r="B446" s="553"/>
      <c r="C446" s="554"/>
      <c r="D446" s="577" t="s">
        <v>1893</v>
      </c>
      <c r="E446" s="555" t="s">
        <v>1894</v>
      </c>
      <c r="F446" s="503" t="s">
        <v>48</v>
      </c>
      <c r="G446" s="400" t="str">
        <f t="shared" si="25"/>
        <v>BB01-2</v>
      </c>
      <c r="H446" s="507">
        <v>2</v>
      </c>
      <c r="I446" s="506"/>
      <c r="J446" s="395">
        <v>1</v>
      </c>
      <c r="K446" s="397" t="s">
        <v>193</v>
      </c>
      <c r="L446" s="395"/>
      <c r="N446" s="395"/>
      <c r="P446" s="395"/>
      <c r="Q446" s="395"/>
      <c r="S446" s="395"/>
      <c r="T446" s="395"/>
      <c r="U446" s="395"/>
    </row>
    <row r="447" spans="1:21" s="407" customFormat="1" ht="12" hidden="1" customHeight="1" outlineLevel="2">
      <c r="A447" s="508"/>
      <c r="B447" s="553"/>
      <c r="C447" s="554"/>
      <c r="D447" s="577" t="s">
        <v>1895</v>
      </c>
      <c r="E447" s="555" t="s">
        <v>1896</v>
      </c>
      <c r="F447" s="503" t="s">
        <v>48</v>
      </c>
      <c r="G447" s="400" t="str">
        <f t="shared" si="25"/>
        <v>BB01-2</v>
      </c>
      <c r="H447" s="507">
        <v>2</v>
      </c>
      <c r="I447" s="506"/>
      <c r="J447" s="395">
        <v>1</v>
      </c>
      <c r="K447" s="397" t="s">
        <v>193</v>
      </c>
      <c r="L447" s="395"/>
      <c r="N447" s="395"/>
      <c r="P447" s="395"/>
      <c r="Q447" s="395"/>
      <c r="S447" s="395"/>
      <c r="T447" s="395"/>
      <c r="U447" s="395"/>
    </row>
    <row r="448" spans="1:21" s="407" customFormat="1" ht="12" hidden="1" customHeight="1" outlineLevel="2">
      <c r="A448" s="508"/>
      <c r="B448" s="553"/>
      <c r="C448" s="554"/>
      <c r="D448" s="577" t="s">
        <v>1897</v>
      </c>
      <c r="E448" s="555" t="s">
        <v>1898</v>
      </c>
      <c r="F448" s="503" t="s">
        <v>48</v>
      </c>
      <c r="G448" s="400" t="str">
        <f t="shared" si="25"/>
        <v>BB01-2</v>
      </c>
      <c r="H448" s="507">
        <v>2</v>
      </c>
      <c r="I448" s="506"/>
      <c r="J448" s="395">
        <v>1</v>
      </c>
      <c r="K448" s="397" t="s">
        <v>193</v>
      </c>
      <c r="L448" s="395"/>
      <c r="N448" s="395"/>
      <c r="P448" s="395"/>
      <c r="Q448" s="395"/>
      <c r="S448" s="395"/>
      <c r="T448" s="395"/>
      <c r="U448" s="395"/>
    </row>
    <row r="449" spans="1:21" s="407" customFormat="1" ht="12" hidden="1" customHeight="1" outlineLevel="2">
      <c r="A449" s="508"/>
      <c r="B449" s="553"/>
      <c r="C449" s="554"/>
      <c r="D449" s="577" t="s">
        <v>1899</v>
      </c>
      <c r="E449" s="555" t="s">
        <v>1900</v>
      </c>
      <c r="F449" s="503" t="s">
        <v>48</v>
      </c>
      <c r="G449" s="400" t="str">
        <f t="shared" si="25"/>
        <v>BB01-2</v>
      </c>
      <c r="H449" s="507">
        <v>2</v>
      </c>
      <c r="I449" s="506"/>
      <c r="J449" s="395">
        <v>1</v>
      </c>
      <c r="K449" s="397" t="s">
        <v>193</v>
      </c>
      <c r="L449" s="395"/>
      <c r="N449" s="395"/>
      <c r="P449" s="395"/>
      <c r="Q449" s="395"/>
      <c r="S449" s="395"/>
      <c r="T449" s="395"/>
      <c r="U449" s="395"/>
    </row>
    <row r="450" spans="1:21" s="407" customFormat="1" ht="3" hidden="1" customHeight="1" outlineLevel="1">
      <c r="D450" s="576"/>
    </row>
    <row r="451" spans="1:21" s="407" customFormat="1" ht="12" hidden="1" customHeight="1" outlineLevel="1" collapsed="1">
      <c r="A451" s="460" t="s">
        <v>153</v>
      </c>
      <c r="B451" s="460" t="s">
        <v>154</v>
      </c>
      <c r="C451" s="460"/>
      <c r="D451" s="459"/>
      <c r="E451" s="460"/>
      <c r="F451" s="503"/>
      <c r="G451" s="400"/>
      <c r="H451" s="507"/>
      <c r="I451" s="506"/>
      <c r="J451" s="500"/>
      <c r="K451" s="397"/>
      <c r="L451" s="395"/>
      <c r="M451" s="395"/>
      <c r="N451" s="395"/>
      <c r="O451" s="395"/>
      <c r="P451" s="395"/>
      <c r="Q451" s="395"/>
      <c r="R451" s="395"/>
      <c r="S451" s="395"/>
      <c r="T451" s="395"/>
      <c r="U451" s="395"/>
    </row>
    <row r="452" spans="1:21" s="407" customFormat="1" ht="12" hidden="1" customHeight="1" outlineLevel="2">
      <c r="A452" s="508"/>
      <c r="B452" s="503"/>
      <c r="C452" s="504"/>
      <c r="D452" s="531" t="s">
        <v>1901</v>
      </c>
      <c r="E452" s="505" t="s">
        <v>1902</v>
      </c>
      <c r="F452" s="503" t="s">
        <v>48</v>
      </c>
      <c r="G452" s="400" t="str">
        <f t="shared" ref="G452:G464" si="26">CONCATENATE(F452,"-",H452)</f>
        <v>BB01-4</v>
      </c>
      <c r="H452" s="507">
        <v>4</v>
      </c>
      <c r="I452" s="506"/>
      <c r="J452" s="500">
        <v>1</v>
      </c>
      <c r="K452" s="397" t="s">
        <v>1222</v>
      </c>
      <c r="L452" s="395"/>
      <c r="M452" s="395"/>
      <c r="N452" s="395"/>
      <c r="O452" s="395"/>
      <c r="P452" s="395"/>
      <c r="Q452" s="395"/>
      <c r="R452" s="395"/>
      <c r="S452" s="395"/>
      <c r="T452" s="395"/>
      <c r="U452" s="395"/>
    </row>
    <row r="453" spans="1:21" s="407" customFormat="1" ht="12" hidden="1" customHeight="1" outlineLevel="2">
      <c r="A453" s="508"/>
      <c r="B453" s="503"/>
      <c r="C453" s="504"/>
      <c r="D453" s="531" t="s">
        <v>1903</v>
      </c>
      <c r="E453" s="505" t="s">
        <v>1904</v>
      </c>
      <c r="F453" s="503" t="s">
        <v>48</v>
      </c>
      <c r="G453" s="400" t="str">
        <f t="shared" si="26"/>
        <v>BB01-4</v>
      </c>
      <c r="H453" s="507">
        <v>4</v>
      </c>
      <c r="I453" s="506"/>
      <c r="J453" s="500">
        <v>1</v>
      </c>
      <c r="K453" s="397" t="s">
        <v>193</v>
      </c>
      <c r="L453" s="395"/>
      <c r="M453" s="395"/>
      <c r="N453" s="395"/>
      <c r="O453" s="395"/>
      <c r="P453" s="395"/>
      <c r="Q453" s="395"/>
      <c r="R453" s="395"/>
      <c r="S453" s="395"/>
      <c r="T453" s="395"/>
      <c r="U453" s="395"/>
    </row>
    <row r="454" spans="1:21" s="407" customFormat="1" ht="12" hidden="1" customHeight="1" outlineLevel="2">
      <c r="A454" s="508"/>
      <c r="B454" s="503"/>
      <c r="C454" s="504"/>
      <c r="D454" s="531" t="s">
        <v>1905</v>
      </c>
      <c r="E454" s="505" t="s">
        <v>1906</v>
      </c>
      <c r="F454" s="503" t="s">
        <v>48</v>
      </c>
      <c r="G454" s="400" t="str">
        <f t="shared" si="26"/>
        <v>BB01-4</v>
      </c>
      <c r="H454" s="507">
        <v>4</v>
      </c>
      <c r="I454" s="506"/>
      <c r="J454" s="500">
        <v>1</v>
      </c>
      <c r="K454" s="397" t="s">
        <v>193</v>
      </c>
      <c r="L454" s="395"/>
      <c r="M454" s="395"/>
      <c r="N454" s="395"/>
      <c r="O454" s="395"/>
      <c r="P454" s="395"/>
      <c r="Q454" s="395"/>
      <c r="R454" s="395"/>
      <c r="S454" s="395"/>
      <c r="T454" s="395"/>
      <c r="U454" s="395"/>
    </row>
    <row r="455" spans="1:21" s="407" customFormat="1" ht="12" hidden="1" customHeight="1" outlineLevel="2">
      <c r="A455" s="508"/>
      <c r="B455" s="503"/>
      <c r="C455" s="504"/>
      <c r="D455" s="531" t="s">
        <v>1907</v>
      </c>
      <c r="E455" s="505" t="s">
        <v>1908</v>
      </c>
      <c r="F455" s="503" t="s">
        <v>48</v>
      </c>
      <c r="G455" s="400" t="str">
        <f t="shared" si="26"/>
        <v>BB01-4</v>
      </c>
      <c r="H455" s="507">
        <v>4</v>
      </c>
      <c r="I455" s="506"/>
      <c r="J455" s="500">
        <v>1</v>
      </c>
      <c r="K455" s="397" t="s">
        <v>193</v>
      </c>
      <c r="L455" s="395"/>
      <c r="M455" s="395"/>
      <c r="N455" s="395"/>
      <c r="O455" s="395"/>
      <c r="P455" s="395"/>
      <c r="Q455" s="395"/>
      <c r="R455" s="395"/>
      <c r="S455" s="395"/>
      <c r="T455" s="395"/>
      <c r="U455" s="395"/>
    </row>
    <row r="456" spans="1:21" s="407" customFormat="1" ht="12" hidden="1" customHeight="1" outlineLevel="2">
      <c r="A456" s="508"/>
      <c r="B456" s="503"/>
      <c r="C456" s="504"/>
      <c r="D456" s="531" t="s">
        <v>1909</v>
      </c>
      <c r="E456" s="505" t="s">
        <v>1910</v>
      </c>
      <c r="F456" s="503" t="s">
        <v>48</v>
      </c>
      <c r="G456" s="400" t="str">
        <f t="shared" si="26"/>
        <v>BB01-4</v>
      </c>
      <c r="H456" s="507">
        <v>4</v>
      </c>
      <c r="I456" s="506"/>
      <c r="J456" s="500">
        <v>1</v>
      </c>
      <c r="K456" s="397" t="s">
        <v>193</v>
      </c>
      <c r="L456" s="395"/>
      <c r="M456" s="395"/>
      <c r="N456" s="395"/>
      <c r="O456" s="395"/>
      <c r="P456" s="395"/>
      <c r="Q456" s="395"/>
      <c r="R456" s="395"/>
      <c r="S456" s="395"/>
      <c r="T456" s="395"/>
      <c r="U456" s="395"/>
    </row>
    <row r="457" spans="1:21" s="407" customFormat="1" ht="12" hidden="1" customHeight="1" outlineLevel="2">
      <c r="A457" s="508"/>
      <c r="B457" s="503"/>
      <c r="C457" s="504"/>
      <c r="D457" s="531" t="s">
        <v>1911</v>
      </c>
      <c r="E457" s="505" t="s">
        <v>1912</v>
      </c>
      <c r="F457" s="503" t="s">
        <v>48</v>
      </c>
      <c r="G457" s="400" t="str">
        <f t="shared" si="26"/>
        <v>BB01-4</v>
      </c>
      <c r="H457" s="507">
        <v>4</v>
      </c>
      <c r="I457" s="506"/>
      <c r="J457" s="500">
        <v>1</v>
      </c>
      <c r="K457" s="397" t="s">
        <v>193</v>
      </c>
      <c r="L457" s="395"/>
      <c r="M457" s="395"/>
      <c r="N457" s="395"/>
      <c r="O457" s="395"/>
      <c r="P457" s="395"/>
      <c r="Q457" s="395"/>
      <c r="R457" s="395"/>
      <c r="S457" s="395"/>
      <c r="T457" s="395"/>
      <c r="U457" s="395"/>
    </row>
    <row r="458" spans="1:21" s="407" customFormat="1" ht="12" hidden="1" customHeight="1" outlineLevel="2">
      <c r="A458" s="508"/>
      <c r="B458" s="503"/>
      <c r="C458" s="504"/>
      <c r="D458" s="531" t="s">
        <v>1913</v>
      </c>
      <c r="E458" s="505" t="s">
        <v>1914</v>
      </c>
      <c r="F458" s="503" t="s">
        <v>48</v>
      </c>
      <c r="G458" s="400" t="str">
        <f t="shared" si="26"/>
        <v>BB01-4</v>
      </c>
      <c r="H458" s="507">
        <v>4</v>
      </c>
      <c r="I458" s="506"/>
      <c r="J458" s="500">
        <v>1</v>
      </c>
      <c r="K458" s="397" t="s">
        <v>193</v>
      </c>
      <c r="L458" s="395"/>
      <c r="M458" s="395"/>
      <c r="N458" s="395"/>
      <c r="O458" s="395"/>
      <c r="P458" s="395"/>
      <c r="Q458" s="395"/>
      <c r="R458" s="395"/>
      <c r="S458" s="395"/>
      <c r="T458" s="395"/>
      <c r="U458" s="395"/>
    </row>
    <row r="459" spans="1:21" s="407" customFormat="1" ht="12" hidden="1" customHeight="1" outlineLevel="2">
      <c r="A459" s="508"/>
      <c r="B459" s="503"/>
      <c r="C459" s="504"/>
      <c r="D459" s="531" t="s">
        <v>1915</v>
      </c>
      <c r="E459" s="505" t="s">
        <v>1916</v>
      </c>
      <c r="F459" s="503" t="s">
        <v>48</v>
      </c>
      <c r="G459" s="400" t="str">
        <f t="shared" si="26"/>
        <v>BB01-4</v>
      </c>
      <c r="H459" s="507">
        <v>4</v>
      </c>
      <c r="I459" s="506"/>
      <c r="J459" s="500">
        <v>1</v>
      </c>
      <c r="K459" s="397" t="s">
        <v>193</v>
      </c>
      <c r="L459" s="395"/>
      <c r="M459" s="395"/>
      <c r="N459" s="395"/>
      <c r="O459" s="395"/>
      <c r="P459" s="395"/>
      <c r="Q459" s="395"/>
      <c r="R459" s="395"/>
      <c r="S459" s="395"/>
      <c r="T459" s="395"/>
      <c r="U459" s="395"/>
    </row>
    <row r="460" spans="1:21" s="407" customFormat="1" ht="12" hidden="1" customHeight="1" outlineLevel="2">
      <c r="A460" s="508"/>
      <c r="B460" s="503"/>
      <c r="C460" s="504"/>
      <c r="D460" s="531" t="s">
        <v>1917</v>
      </c>
      <c r="E460" s="505" t="s">
        <v>1918</v>
      </c>
      <c r="F460" s="503" t="s">
        <v>48</v>
      </c>
      <c r="G460" s="400" t="str">
        <f t="shared" si="26"/>
        <v>BB01-4</v>
      </c>
      <c r="H460" s="507">
        <v>4</v>
      </c>
      <c r="I460" s="506"/>
      <c r="J460" s="500">
        <v>1</v>
      </c>
      <c r="K460" s="397" t="s">
        <v>193</v>
      </c>
      <c r="L460" s="395"/>
      <c r="M460" s="395"/>
      <c r="N460" s="395"/>
      <c r="O460" s="395"/>
      <c r="P460" s="395"/>
      <c r="Q460" s="395"/>
      <c r="R460" s="395"/>
      <c r="S460" s="395"/>
      <c r="T460" s="395"/>
      <c r="U460" s="395"/>
    </row>
    <row r="461" spans="1:21" s="407" customFormat="1" ht="12" hidden="1" customHeight="1" outlineLevel="2">
      <c r="A461" s="508"/>
      <c r="B461" s="503"/>
      <c r="C461" s="504"/>
      <c r="D461" s="531" t="s">
        <v>1919</v>
      </c>
      <c r="E461" s="505" t="s">
        <v>1920</v>
      </c>
      <c r="F461" s="503" t="s">
        <v>48</v>
      </c>
      <c r="G461" s="400" t="str">
        <f t="shared" si="26"/>
        <v>BB01-4</v>
      </c>
      <c r="H461" s="507">
        <v>4</v>
      </c>
      <c r="I461" s="506"/>
      <c r="J461" s="500">
        <v>1</v>
      </c>
      <c r="K461" s="397" t="s">
        <v>193</v>
      </c>
      <c r="L461" s="395"/>
      <c r="M461" s="395"/>
      <c r="N461" s="395"/>
      <c r="O461" s="395"/>
      <c r="P461" s="395"/>
      <c r="Q461" s="395"/>
      <c r="R461" s="395"/>
      <c r="S461" s="395"/>
      <c r="T461" s="395"/>
      <c r="U461" s="395"/>
    </row>
    <row r="462" spans="1:21" s="407" customFormat="1" ht="12" hidden="1" customHeight="1" outlineLevel="2">
      <c r="A462" s="508"/>
      <c r="B462" s="503"/>
      <c r="C462" s="504"/>
      <c r="D462" s="531" t="s">
        <v>1921</v>
      </c>
      <c r="E462" s="505" t="s">
        <v>1922</v>
      </c>
      <c r="F462" s="503" t="s">
        <v>48</v>
      </c>
      <c r="G462" s="400" t="str">
        <f t="shared" si="26"/>
        <v>BB01-4</v>
      </c>
      <c r="H462" s="507">
        <v>4</v>
      </c>
      <c r="I462" s="506"/>
      <c r="J462" s="500">
        <v>1</v>
      </c>
      <c r="K462" s="397" t="s">
        <v>193</v>
      </c>
      <c r="L462" s="395"/>
      <c r="M462" s="395"/>
      <c r="N462" s="395"/>
      <c r="O462" s="395"/>
      <c r="P462" s="395"/>
      <c r="Q462" s="395"/>
      <c r="R462" s="395"/>
      <c r="S462" s="395"/>
      <c r="T462" s="395"/>
      <c r="U462" s="395"/>
    </row>
    <row r="463" spans="1:21" s="407" customFormat="1" ht="12" hidden="1" customHeight="1" outlineLevel="2">
      <c r="A463" s="508"/>
      <c r="B463" s="503"/>
      <c r="C463" s="504"/>
      <c r="D463" s="531" t="s">
        <v>1923</v>
      </c>
      <c r="E463" s="505" t="s">
        <v>1924</v>
      </c>
      <c r="F463" s="503" t="s">
        <v>48</v>
      </c>
      <c r="G463" s="400" t="str">
        <f t="shared" si="26"/>
        <v>BB01-4</v>
      </c>
      <c r="H463" s="507">
        <v>4</v>
      </c>
      <c r="I463" s="506"/>
      <c r="J463" s="500">
        <v>1</v>
      </c>
      <c r="K463" s="397" t="s">
        <v>193</v>
      </c>
      <c r="L463" s="395"/>
      <c r="M463" s="395"/>
      <c r="N463" s="395"/>
      <c r="O463" s="395"/>
      <c r="P463" s="395"/>
      <c r="Q463" s="395"/>
      <c r="R463" s="395"/>
      <c r="S463" s="395"/>
      <c r="T463" s="395"/>
      <c r="U463" s="395"/>
    </row>
    <row r="464" spans="1:21" s="407" customFormat="1" ht="12" hidden="1" customHeight="1" outlineLevel="2">
      <c r="A464" s="508"/>
      <c r="B464" s="503"/>
      <c r="C464" s="504"/>
      <c r="D464" s="531" t="s">
        <v>1903</v>
      </c>
      <c r="E464" s="505" t="s">
        <v>1925</v>
      </c>
      <c r="F464" s="503" t="s">
        <v>48</v>
      </c>
      <c r="G464" s="400" t="str">
        <f t="shared" si="26"/>
        <v>BB01-4</v>
      </c>
      <c r="H464" s="507">
        <v>4</v>
      </c>
      <c r="I464" s="506"/>
      <c r="J464" s="500">
        <v>1</v>
      </c>
      <c r="K464" s="397" t="s">
        <v>610</v>
      </c>
      <c r="L464" s="395"/>
      <c r="M464" s="395"/>
      <c r="N464" s="395"/>
      <c r="O464" s="395"/>
      <c r="P464" s="395"/>
      <c r="Q464" s="395"/>
      <c r="R464" s="395"/>
      <c r="S464" s="395"/>
      <c r="T464" s="395"/>
      <c r="U464" s="395"/>
    </row>
    <row r="465" spans="1:21" s="407" customFormat="1" ht="12" hidden="1" customHeight="1" outlineLevel="2">
      <c r="A465" s="508"/>
      <c r="B465" s="503"/>
      <c r="C465" s="504"/>
      <c r="D465" s="531" t="s">
        <v>1926</v>
      </c>
      <c r="E465" s="505" t="s">
        <v>1927</v>
      </c>
      <c r="F465" s="503" t="s">
        <v>48</v>
      </c>
      <c r="G465" s="400" t="str">
        <f t="shared" ref="G465:G472" si="27">CONCATENATE(F465,"-",H465)</f>
        <v>BB01-4</v>
      </c>
      <c r="H465" s="507">
        <v>4</v>
      </c>
      <c r="I465" s="506"/>
      <c r="J465" s="395">
        <v>1</v>
      </c>
      <c r="K465" s="397" t="s">
        <v>193</v>
      </c>
      <c r="L465" s="395"/>
      <c r="N465" s="395"/>
      <c r="O465" s="395"/>
      <c r="P465" s="395"/>
      <c r="Q465" s="395"/>
      <c r="R465" s="395"/>
      <c r="S465" s="395"/>
      <c r="T465" s="395"/>
      <c r="U465" s="395"/>
    </row>
    <row r="466" spans="1:21" s="407" customFormat="1" ht="12" hidden="1" customHeight="1" outlineLevel="2">
      <c r="A466" s="508"/>
      <c r="B466" s="503"/>
      <c r="C466" s="504"/>
      <c r="D466" s="531" t="s">
        <v>1928</v>
      </c>
      <c r="E466" s="505" t="s">
        <v>1929</v>
      </c>
      <c r="F466" s="503" t="s">
        <v>48</v>
      </c>
      <c r="G466" s="400" t="str">
        <f t="shared" si="27"/>
        <v>BB01-4</v>
      </c>
      <c r="H466" s="507">
        <v>4</v>
      </c>
      <c r="I466" s="506"/>
      <c r="J466" s="395">
        <v>1</v>
      </c>
      <c r="K466" s="397" t="s">
        <v>610</v>
      </c>
      <c r="L466" s="395"/>
      <c r="N466" s="395"/>
      <c r="O466" s="395"/>
      <c r="P466" s="395"/>
      <c r="Q466" s="395"/>
      <c r="R466" s="395"/>
      <c r="S466" s="395"/>
      <c r="T466" s="395"/>
      <c r="U466" s="395"/>
    </row>
    <row r="467" spans="1:21" s="407" customFormat="1" ht="12" hidden="1" customHeight="1" outlineLevel="2">
      <c r="A467" s="508"/>
      <c r="B467" s="503"/>
      <c r="C467" s="504"/>
      <c r="D467" s="531" t="s">
        <v>1930</v>
      </c>
      <c r="E467" s="505" t="s">
        <v>1931</v>
      </c>
      <c r="F467" s="503" t="s">
        <v>48</v>
      </c>
      <c r="G467" s="400" t="str">
        <f t="shared" si="27"/>
        <v>BB01-4</v>
      </c>
      <c r="H467" s="507">
        <v>4</v>
      </c>
      <c r="I467" s="506"/>
      <c r="J467" s="395">
        <v>1</v>
      </c>
      <c r="K467" s="397" t="s">
        <v>610</v>
      </c>
      <c r="L467" s="395"/>
      <c r="N467" s="395"/>
      <c r="O467" s="395"/>
      <c r="P467" s="395"/>
      <c r="Q467" s="395"/>
      <c r="R467" s="395"/>
      <c r="S467" s="395"/>
      <c r="T467" s="395"/>
      <c r="U467" s="395"/>
    </row>
    <row r="468" spans="1:21" s="407" customFormat="1" ht="12" hidden="1" customHeight="1" outlineLevel="2">
      <c r="A468" s="508"/>
      <c r="B468" s="503"/>
      <c r="C468" s="504"/>
      <c r="D468" s="531" t="s">
        <v>1932</v>
      </c>
      <c r="E468" s="505" t="s">
        <v>1933</v>
      </c>
      <c r="F468" s="503" t="s">
        <v>48</v>
      </c>
      <c r="G468" s="400" t="str">
        <f t="shared" si="27"/>
        <v>BB01-4</v>
      </c>
      <c r="H468" s="507">
        <v>4</v>
      </c>
      <c r="I468" s="506"/>
      <c r="J468" s="395">
        <v>1</v>
      </c>
      <c r="K468" s="397" t="s">
        <v>610</v>
      </c>
      <c r="L468" s="395"/>
      <c r="N468" s="395"/>
      <c r="O468" s="395"/>
      <c r="P468" s="395"/>
      <c r="Q468" s="395"/>
      <c r="R468" s="395"/>
      <c r="S468" s="395"/>
      <c r="T468" s="395"/>
      <c r="U468" s="395"/>
    </row>
    <row r="469" spans="1:21" s="407" customFormat="1" ht="12" hidden="1" customHeight="1" outlineLevel="2">
      <c r="A469" s="508"/>
      <c r="B469" s="503"/>
      <c r="C469" s="504"/>
      <c r="D469" s="531" t="s">
        <v>1934</v>
      </c>
      <c r="E469" s="505" t="s">
        <v>1935</v>
      </c>
      <c r="F469" s="503" t="s">
        <v>48</v>
      </c>
      <c r="G469" s="400" t="str">
        <f t="shared" si="27"/>
        <v>BB01-4</v>
      </c>
      <c r="H469" s="507">
        <v>4</v>
      </c>
      <c r="I469" s="506"/>
      <c r="J469" s="395">
        <v>1</v>
      </c>
      <c r="K469" s="397" t="s">
        <v>610</v>
      </c>
      <c r="L469" s="395"/>
      <c r="N469" s="395"/>
      <c r="O469" s="395"/>
      <c r="P469" s="395"/>
      <c r="Q469" s="395"/>
      <c r="R469" s="395"/>
      <c r="S469" s="395"/>
      <c r="T469" s="395"/>
      <c r="U469" s="395"/>
    </row>
    <row r="470" spans="1:21" s="407" customFormat="1" ht="12" hidden="1" customHeight="1" outlineLevel="2">
      <c r="A470" s="508"/>
      <c r="B470" s="503"/>
      <c r="C470" s="504"/>
      <c r="D470" s="531" t="s">
        <v>1936</v>
      </c>
      <c r="E470" s="505" t="s">
        <v>1937</v>
      </c>
      <c r="F470" s="503" t="s">
        <v>48</v>
      </c>
      <c r="G470" s="400" t="str">
        <f t="shared" si="27"/>
        <v>BB01-4</v>
      </c>
      <c r="H470" s="507">
        <v>4</v>
      </c>
      <c r="I470" s="506"/>
      <c r="J470" s="395">
        <v>1</v>
      </c>
      <c r="K470" s="397" t="s">
        <v>193</v>
      </c>
      <c r="L470" s="395"/>
      <c r="N470" s="395"/>
      <c r="O470" s="395"/>
      <c r="P470" s="395"/>
      <c r="Q470" s="395"/>
      <c r="R470" s="395"/>
      <c r="S470" s="395"/>
      <c r="T470" s="395"/>
      <c r="U470" s="395"/>
    </row>
    <row r="471" spans="1:21" s="407" customFormat="1" ht="12" hidden="1" customHeight="1" outlineLevel="2">
      <c r="A471" s="508"/>
      <c r="B471" s="503"/>
      <c r="C471" s="504"/>
      <c r="D471" s="531" t="s">
        <v>1938</v>
      </c>
      <c r="E471" s="505" t="s">
        <v>1939</v>
      </c>
      <c r="F471" s="503" t="s">
        <v>48</v>
      </c>
      <c r="G471" s="400" t="str">
        <f t="shared" si="27"/>
        <v>BB01-4</v>
      </c>
      <c r="H471" s="507">
        <v>4</v>
      </c>
      <c r="I471" s="506"/>
      <c r="J471" s="395">
        <v>1</v>
      </c>
      <c r="K471" s="397" t="s">
        <v>193</v>
      </c>
      <c r="L471" s="395"/>
      <c r="N471" s="395"/>
      <c r="O471" s="395"/>
      <c r="P471" s="395"/>
      <c r="Q471" s="395"/>
      <c r="R471" s="395"/>
      <c r="S471" s="395"/>
      <c r="T471" s="395"/>
      <c r="U471" s="395"/>
    </row>
    <row r="472" spans="1:21" s="407" customFormat="1" ht="12" hidden="1" customHeight="1" outlineLevel="2">
      <c r="A472" s="508"/>
      <c r="B472" s="503"/>
      <c r="C472" s="504"/>
      <c r="D472" s="531" t="s">
        <v>1940</v>
      </c>
      <c r="E472" s="505" t="s">
        <v>1941</v>
      </c>
      <c r="F472" s="503" t="s">
        <v>48</v>
      </c>
      <c r="G472" s="400" t="str">
        <f t="shared" si="27"/>
        <v>BB01-4</v>
      </c>
      <c r="H472" s="507">
        <v>4</v>
      </c>
      <c r="I472" s="506"/>
      <c r="J472" s="395">
        <v>1</v>
      </c>
      <c r="K472" s="397" t="s">
        <v>193</v>
      </c>
      <c r="L472" s="395"/>
      <c r="N472" s="395"/>
      <c r="O472" s="395"/>
      <c r="P472" s="395"/>
      <c r="Q472" s="395"/>
      <c r="R472" s="395"/>
      <c r="S472" s="395"/>
      <c r="T472" s="395"/>
      <c r="U472" s="395"/>
    </row>
    <row r="473" spans="1:21" s="407" customFormat="1" ht="3" hidden="1" customHeight="1" outlineLevel="1">
      <c r="A473" s="369"/>
      <c r="B473" s="503"/>
      <c r="C473" s="504"/>
      <c r="D473" s="531"/>
      <c r="E473" s="505"/>
      <c r="F473" s="503"/>
      <c r="G473" s="400"/>
      <c r="H473" s="507"/>
      <c r="I473" s="506"/>
      <c r="J473" s="500"/>
      <c r="K473" s="397"/>
      <c r="L473" s="501"/>
      <c r="M473" s="395"/>
      <c r="N473" s="395"/>
      <c r="O473" s="395"/>
      <c r="P473" s="395"/>
      <c r="Q473" s="395"/>
      <c r="R473" s="395"/>
      <c r="S473" s="395"/>
      <c r="T473" s="395"/>
      <c r="U473" s="395"/>
    </row>
    <row r="474" spans="1:21" s="407" customFormat="1" ht="12" hidden="1" customHeight="1" outlineLevel="1" collapsed="1">
      <c r="A474" s="460" t="s">
        <v>155</v>
      </c>
      <c r="B474" s="460" t="s">
        <v>59</v>
      </c>
      <c r="C474" s="460"/>
      <c r="D474" s="459"/>
      <c r="E474" s="460"/>
      <c r="F474" s="503"/>
      <c r="G474" s="400"/>
      <c r="H474" s="507"/>
      <c r="I474" s="506"/>
      <c r="J474" s="500"/>
      <c r="K474" s="397"/>
      <c r="L474" s="395"/>
      <c r="M474" s="395"/>
      <c r="N474" s="395"/>
      <c r="O474" s="395"/>
      <c r="P474" s="395"/>
      <c r="Q474" s="395"/>
      <c r="R474" s="395"/>
      <c r="S474" s="395"/>
      <c r="T474" s="395"/>
      <c r="U474" s="395"/>
    </row>
    <row r="475" spans="1:21" s="407" customFormat="1" ht="12" hidden="1" customHeight="1" outlineLevel="2">
      <c r="A475" s="508"/>
      <c r="B475" s="553"/>
      <c r="C475" s="554"/>
      <c r="D475" s="577" t="s">
        <v>1942</v>
      </c>
      <c r="E475" s="555" t="s">
        <v>1943</v>
      </c>
      <c r="F475" s="553" t="s">
        <v>48</v>
      </c>
      <c r="G475" s="556" t="str">
        <f t="shared" ref="G475:G565" si="28">CONCATENATE(F475,"-",H475)</f>
        <v>BB01-5</v>
      </c>
      <c r="H475" s="557">
        <v>5</v>
      </c>
      <c r="I475" s="506"/>
      <c r="J475" s="395">
        <v>1</v>
      </c>
      <c r="K475" s="397" t="s">
        <v>610</v>
      </c>
      <c r="L475" s="395"/>
      <c r="M475" s="395"/>
      <c r="N475" s="395"/>
      <c r="O475" s="395"/>
      <c r="P475" s="395"/>
      <c r="Q475" s="395"/>
      <c r="R475" s="395"/>
      <c r="S475" s="395"/>
      <c r="T475" s="395"/>
      <c r="U475" s="395"/>
    </row>
    <row r="476" spans="1:21" s="407" customFormat="1" ht="12" hidden="1" customHeight="1" outlineLevel="2">
      <c r="A476" s="508"/>
      <c r="B476" s="553"/>
      <c r="C476" s="554"/>
      <c r="D476" s="577" t="s">
        <v>1699</v>
      </c>
      <c r="E476" s="555" t="s">
        <v>1944</v>
      </c>
      <c r="F476" s="553" t="s">
        <v>48</v>
      </c>
      <c r="G476" s="556" t="str">
        <f t="shared" ref="G476:G523" si="29">CONCATENATE(F476,"-",H476)</f>
        <v>BB01-5</v>
      </c>
      <c r="H476" s="557">
        <v>5</v>
      </c>
      <c r="I476" s="506"/>
      <c r="J476" s="395">
        <v>1</v>
      </c>
      <c r="K476" s="397" t="s">
        <v>610</v>
      </c>
      <c r="L476" s="395"/>
      <c r="M476" s="395"/>
      <c r="N476" s="395"/>
      <c r="O476" s="395"/>
      <c r="P476" s="395"/>
      <c r="Q476" s="395"/>
      <c r="R476" s="395"/>
      <c r="S476" s="395"/>
      <c r="T476" s="395"/>
      <c r="U476" s="395"/>
    </row>
    <row r="477" spans="1:21" s="407" customFormat="1" ht="12" hidden="1" customHeight="1" outlineLevel="2">
      <c r="A477" s="508"/>
      <c r="B477" s="553"/>
      <c r="C477" s="554"/>
      <c r="D477" s="577" t="s">
        <v>1701</v>
      </c>
      <c r="E477" s="555" t="s">
        <v>1945</v>
      </c>
      <c r="F477" s="553" t="s">
        <v>48</v>
      </c>
      <c r="G477" s="556" t="str">
        <f t="shared" si="29"/>
        <v>BB01-5</v>
      </c>
      <c r="H477" s="557">
        <v>5</v>
      </c>
      <c r="I477" s="506"/>
      <c r="J477" s="395">
        <v>1</v>
      </c>
      <c r="K477" s="397" t="s">
        <v>610</v>
      </c>
      <c r="L477" s="395"/>
      <c r="M477" s="395"/>
      <c r="N477" s="395"/>
      <c r="O477" s="395"/>
      <c r="P477" s="395"/>
      <c r="Q477" s="395"/>
      <c r="R477" s="395"/>
      <c r="S477" s="395"/>
      <c r="T477" s="395"/>
      <c r="U477" s="395"/>
    </row>
    <row r="478" spans="1:21" s="407" customFormat="1" ht="12" hidden="1" customHeight="1" outlineLevel="2">
      <c r="A478" s="508"/>
      <c r="B478" s="553"/>
      <c r="C478" s="554"/>
      <c r="D478" s="577" t="s">
        <v>1703</v>
      </c>
      <c r="E478" s="555" t="s">
        <v>1946</v>
      </c>
      <c r="F478" s="553" t="s">
        <v>48</v>
      </c>
      <c r="G478" s="556" t="str">
        <f t="shared" si="29"/>
        <v>BB01-5</v>
      </c>
      <c r="H478" s="557">
        <v>5</v>
      </c>
      <c r="I478" s="506"/>
      <c r="J478" s="395">
        <v>1</v>
      </c>
      <c r="K478" s="397" t="s">
        <v>610</v>
      </c>
      <c r="L478" s="395"/>
      <c r="M478" s="395"/>
      <c r="N478" s="395"/>
      <c r="O478" s="395"/>
      <c r="P478" s="395"/>
      <c r="Q478" s="395"/>
      <c r="R478" s="395"/>
      <c r="S478" s="395"/>
      <c r="T478" s="395"/>
      <c r="U478" s="395"/>
    </row>
    <row r="479" spans="1:21" s="407" customFormat="1" ht="12" hidden="1" customHeight="1" outlineLevel="2">
      <c r="A479" s="508"/>
      <c r="B479" s="553"/>
      <c r="C479" s="554"/>
      <c r="D479" s="577" t="s">
        <v>1705</v>
      </c>
      <c r="E479" s="555" t="s">
        <v>1947</v>
      </c>
      <c r="F479" s="553" t="s">
        <v>48</v>
      </c>
      <c r="G479" s="556" t="str">
        <f t="shared" si="29"/>
        <v>BB01-5</v>
      </c>
      <c r="H479" s="557">
        <v>5</v>
      </c>
      <c r="I479" s="506"/>
      <c r="J479" s="395">
        <v>1</v>
      </c>
      <c r="K479" s="397" t="s">
        <v>610</v>
      </c>
      <c r="L479" s="395"/>
      <c r="M479" s="395"/>
      <c r="N479" s="395"/>
      <c r="O479" s="395"/>
      <c r="P479" s="395"/>
      <c r="Q479" s="395"/>
      <c r="R479" s="395"/>
      <c r="S479" s="395"/>
      <c r="T479" s="395"/>
      <c r="U479" s="395"/>
    </row>
    <row r="480" spans="1:21" s="407" customFormat="1" ht="12" hidden="1" customHeight="1" outlineLevel="2">
      <c r="A480" s="508"/>
      <c r="B480" s="553"/>
      <c r="C480" s="554"/>
      <c r="D480" s="577" t="s">
        <v>1707</v>
      </c>
      <c r="E480" s="555" t="s">
        <v>1948</v>
      </c>
      <c r="F480" s="553" t="s">
        <v>48</v>
      </c>
      <c r="G480" s="556" t="str">
        <f t="shared" si="29"/>
        <v>BB01-5</v>
      </c>
      <c r="H480" s="557">
        <v>5</v>
      </c>
      <c r="I480" s="506"/>
      <c r="J480" s="395">
        <v>1</v>
      </c>
      <c r="K480" s="397" t="s">
        <v>610</v>
      </c>
      <c r="L480" s="395"/>
      <c r="M480" s="395"/>
      <c r="N480" s="395"/>
      <c r="O480" s="395"/>
      <c r="P480" s="395"/>
      <c r="Q480" s="395"/>
      <c r="R480" s="395"/>
      <c r="S480" s="395"/>
      <c r="T480" s="395"/>
      <c r="U480" s="395"/>
    </row>
    <row r="481" spans="1:21" s="407" customFormat="1" ht="12" hidden="1" customHeight="1" outlineLevel="2">
      <c r="A481" s="508"/>
      <c r="B481" s="553"/>
      <c r="C481" s="554"/>
      <c r="D481" s="577" t="s">
        <v>1709</v>
      </c>
      <c r="E481" s="555" t="s">
        <v>1949</v>
      </c>
      <c r="F481" s="553" t="s">
        <v>48</v>
      </c>
      <c r="G481" s="556" t="str">
        <f t="shared" si="29"/>
        <v>BB01-5</v>
      </c>
      <c r="H481" s="557">
        <v>5</v>
      </c>
      <c r="I481" s="506"/>
      <c r="J481" s="395">
        <v>1</v>
      </c>
      <c r="K481" s="397" t="s">
        <v>610</v>
      </c>
      <c r="L481" s="395"/>
      <c r="M481" s="395"/>
      <c r="N481" s="395"/>
      <c r="O481" s="395"/>
      <c r="P481" s="395"/>
      <c r="Q481" s="395"/>
      <c r="R481" s="395"/>
      <c r="S481" s="395"/>
      <c r="T481" s="395"/>
      <c r="U481" s="395"/>
    </row>
    <row r="482" spans="1:21" s="407" customFormat="1" ht="12" hidden="1" customHeight="1" outlineLevel="2">
      <c r="A482" s="508"/>
      <c r="B482" s="553"/>
      <c r="C482" s="554"/>
      <c r="D482" s="577" t="s">
        <v>1711</v>
      </c>
      <c r="E482" s="555" t="s">
        <v>1950</v>
      </c>
      <c r="F482" s="553" t="s">
        <v>48</v>
      </c>
      <c r="G482" s="556" t="str">
        <f t="shared" si="29"/>
        <v>BB01-5</v>
      </c>
      <c r="H482" s="557">
        <v>5</v>
      </c>
      <c r="I482" s="506"/>
      <c r="J482" s="395">
        <v>1</v>
      </c>
      <c r="K482" s="397" t="s">
        <v>610</v>
      </c>
      <c r="L482" s="395"/>
      <c r="M482" s="395"/>
      <c r="N482" s="395"/>
      <c r="O482" s="395"/>
      <c r="P482" s="395"/>
      <c r="Q482" s="395"/>
      <c r="R482" s="395"/>
      <c r="S482" s="395"/>
      <c r="T482" s="395"/>
      <c r="U482" s="395"/>
    </row>
    <row r="483" spans="1:21" s="407" customFormat="1" ht="12" hidden="1" customHeight="1" outlineLevel="2">
      <c r="A483" s="508"/>
      <c r="B483" s="553"/>
      <c r="C483" s="554"/>
      <c r="D483" s="577" t="s">
        <v>1713</v>
      </c>
      <c r="E483" s="555" t="s">
        <v>1951</v>
      </c>
      <c r="F483" s="553" t="s">
        <v>48</v>
      </c>
      <c r="G483" s="556" t="str">
        <f t="shared" si="29"/>
        <v>BB01-5</v>
      </c>
      <c r="H483" s="557">
        <v>5</v>
      </c>
      <c r="I483" s="506"/>
      <c r="J483" s="395">
        <v>1</v>
      </c>
      <c r="K483" s="397" t="s">
        <v>610</v>
      </c>
      <c r="L483" s="395"/>
      <c r="M483" s="395"/>
      <c r="N483" s="395"/>
      <c r="O483" s="395"/>
      <c r="P483" s="395"/>
      <c r="Q483" s="395"/>
      <c r="R483" s="395"/>
      <c r="S483" s="395"/>
      <c r="T483" s="395"/>
      <c r="U483" s="395"/>
    </row>
    <row r="484" spans="1:21" s="407" customFormat="1" ht="12" hidden="1" customHeight="1" outlineLevel="2">
      <c r="A484" s="508"/>
      <c r="B484" s="553"/>
      <c r="C484" s="554"/>
      <c r="D484" s="577" t="s">
        <v>1715</v>
      </c>
      <c r="E484" s="555" t="s">
        <v>1952</v>
      </c>
      <c r="F484" s="553" t="s">
        <v>48</v>
      </c>
      <c r="G484" s="556" t="str">
        <f t="shared" si="29"/>
        <v>BB01-5</v>
      </c>
      <c r="H484" s="557">
        <v>5</v>
      </c>
      <c r="I484" s="506"/>
      <c r="J484" s="395">
        <v>1</v>
      </c>
      <c r="K484" s="397" t="s">
        <v>610</v>
      </c>
      <c r="L484" s="395"/>
      <c r="M484" s="395"/>
      <c r="N484" s="395"/>
      <c r="O484" s="395"/>
      <c r="P484" s="395"/>
      <c r="Q484" s="395"/>
      <c r="R484" s="395"/>
      <c r="S484" s="395"/>
      <c r="T484" s="395"/>
      <c r="U484" s="395"/>
    </row>
    <row r="485" spans="1:21" s="407" customFormat="1" ht="12" hidden="1" customHeight="1" outlineLevel="2">
      <c r="A485" s="508"/>
      <c r="B485" s="553"/>
      <c r="C485" s="554"/>
      <c r="D485" s="577" t="s">
        <v>1717</v>
      </c>
      <c r="E485" s="555" t="s">
        <v>1953</v>
      </c>
      <c r="F485" s="553" t="s">
        <v>48</v>
      </c>
      <c r="G485" s="556" t="str">
        <f t="shared" si="29"/>
        <v>BB01-5</v>
      </c>
      <c r="H485" s="557">
        <v>5</v>
      </c>
      <c r="I485" s="506"/>
      <c r="J485" s="395">
        <v>1</v>
      </c>
      <c r="K485" s="397" t="s">
        <v>610</v>
      </c>
      <c r="L485" s="395"/>
      <c r="M485" s="395"/>
      <c r="N485" s="395"/>
      <c r="O485" s="395"/>
      <c r="P485" s="395"/>
      <c r="Q485" s="395"/>
      <c r="R485" s="395"/>
      <c r="S485" s="395"/>
      <c r="T485" s="395"/>
      <c r="U485" s="395"/>
    </row>
    <row r="486" spans="1:21" s="407" customFormat="1" ht="12" hidden="1" customHeight="1" outlineLevel="2">
      <c r="A486" s="508"/>
      <c r="B486" s="553"/>
      <c r="C486" s="554"/>
      <c r="D486" s="577" t="s">
        <v>1719</v>
      </c>
      <c r="E486" s="555" t="s">
        <v>1954</v>
      </c>
      <c r="F486" s="553" t="s">
        <v>48</v>
      </c>
      <c r="G486" s="556" t="str">
        <f t="shared" si="29"/>
        <v>BB01-5</v>
      </c>
      <c r="H486" s="557">
        <v>5</v>
      </c>
      <c r="I486" s="506"/>
      <c r="J486" s="395">
        <v>1</v>
      </c>
      <c r="K486" s="397" t="s">
        <v>610</v>
      </c>
      <c r="L486" s="395"/>
      <c r="M486" s="395"/>
      <c r="N486" s="395"/>
      <c r="O486" s="395"/>
      <c r="P486" s="395"/>
      <c r="Q486" s="395"/>
      <c r="R486" s="395"/>
      <c r="S486" s="395"/>
      <c r="T486" s="395"/>
      <c r="U486" s="395"/>
    </row>
    <row r="487" spans="1:21" s="407" customFormat="1" ht="12" hidden="1" customHeight="1" outlineLevel="2">
      <c r="A487" s="508"/>
      <c r="B487" s="553"/>
      <c r="C487" s="554"/>
      <c r="D487" s="577" t="s">
        <v>1721</v>
      </c>
      <c r="E487" s="555" t="s">
        <v>1955</v>
      </c>
      <c r="F487" s="553" t="s">
        <v>48</v>
      </c>
      <c r="G487" s="556" t="str">
        <f t="shared" si="29"/>
        <v>BB01-5</v>
      </c>
      <c r="H487" s="557">
        <v>5</v>
      </c>
      <c r="I487" s="506"/>
      <c r="J487" s="395">
        <v>1</v>
      </c>
      <c r="K487" s="397" t="s">
        <v>610</v>
      </c>
      <c r="L487" s="395"/>
      <c r="M487" s="395"/>
      <c r="N487" s="395"/>
      <c r="O487" s="395"/>
      <c r="P487" s="395"/>
      <c r="Q487" s="395"/>
      <c r="R487" s="395"/>
      <c r="S487" s="395"/>
      <c r="T487" s="395"/>
      <c r="U487" s="395"/>
    </row>
    <row r="488" spans="1:21" s="407" customFormat="1" ht="12" hidden="1" customHeight="1" outlineLevel="2">
      <c r="A488" s="508"/>
      <c r="B488" s="553"/>
      <c r="C488" s="554"/>
      <c r="D488" s="577" t="s">
        <v>1723</v>
      </c>
      <c r="E488" s="555" t="s">
        <v>1956</v>
      </c>
      <c r="F488" s="553" t="s">
        <v>48</v>
      </c>
      <c r="G488" s="556" t="str">
        <f t="shared" si="29"/>
        <v>BB01-5</v>
      </c>
      <c r="H488" s="557">
        <v>5</v>
      </c>
      <c r="I488" s="506"/>
      <c r="J488" s="395">
        <v>1</v>
      </c>
      <c r="K488" s="397" t="s">
        <v>610</v>
      </c>
      <c r="L488" s="395"/>
      <c r="M488" s="395"/>
      <c r="N488" s="395"/>
      <c r="O488" s="395"/>
      <c r="P488" s="395"/>
      <c r="Q488" s="395"/>
      <c r="R488" s="395"/>
      <c r="S488" s="395"/>
      <c r="T488" s="395"/>
      <c r="U488" s="395"/>
    </row>
    <row r="489" spans="1:21" s="407" customFormat="1" ht="12" hidden="1" customHeight="1" outlineLevel="2">
      <c r="A489" s="508"/>
      <c r="B489" s="553"/>
      <c r="C489" s="554"/>
      <c r="D489" s="577" t="s">
        <v>1725</v>
      </c>
      <c r="E489" s="555" t="s">
        <v>1957</v>
      </c>
      <c r="F489" s="553" t="s">
        <v>48</v>
      </c>
      <c r="G489" s="556" t="str">
        <f t="shared" si="29"/>
        <v>BB01-5</v>
      </c>
      <c r="H489" s="557">
        <v>5</v>
      </c>
      <c r="I489" s="506"/>
      <c r="J489" s="395">
        <v>1</v>
      </c>
      <c r="K489" s="397" t="s">
        <v>610</v>
      </c>
      <c r="L489" s="395"/>
      <c r="M489" s="395"/>
      <c r="N489" s="395"/>
      <c r="O489" s="395"/>
      <c r="P489" s="395"/>
      <c r="Q489" s="395"/>
      <c r="R489" s="395"/>
      <c r="S489" s="395"/>
      <c r="T489" s="395"/>
      <c r="U489" s="395"/>
    </row>
    <row r="490" spans="1:21" s="407" customFormat="1" ht="12" hidden="1" customHeight="1" outlineLevel="2">
      <c r="A490" s="508"/>
      <c r="B490" s="553"/>
      <c r="C490" s="554"/>
      <c r="D490" s="577" t="s">
        <v>1727</v>
      </c>
      <c r="E490" s="555" t="s">
        <v>1958</v>
      </c>
      <c r="F490" s="553" t="s">
        <v>48</v>
      </c>
      <c r="G490" s="556" t="str">
        <f t="shared" si="29"/>
        <v>BB01-5</v>
      </c>
      <c r="H490" s="557">
        <v>5</v>
      </c>
      <c r="I490" s="506"/>
      <c r="J490" s="395">
        <v>1</v>
      </c>
      <c r="K490" s="397" t="s">
        <v>610</v>
      </c>
      <c r="L490" s="395"/>
      <c r="M490" s="395"/>
      <c r="N490" s="395"/>
      <c r="O490" s="395"/>
      <c r="P490" s="395"/>
      <c r="Q490" s="395"/>
      <c r="R490" s="395"/>
      <c r="S490" s="395"/>
      <c r="T490" s="395"/>
      <c r="U490" s="395"/>
    </row>
    <row r="491" spans="1:21" s="407" customFormat="1" ht="12" hidden="1" customHeight="1" outlineLevel="2">
      <c r="A491" s="508"/>
      <c r="B491" s="553"/>
      <c r="C491" s="554"/>
      <c r="D491" s="577" t="s">
        <v>1729</v>
      </c>
      <c r="E491" s="555" t="s">
        <v>1959</v>
      </c>
      <c r="F491" s="553" t="s">
        <v>48</v>
      </c>
      <c r="G491" s="556" t="str">
        <f t="shared" si="29"/>
        <v>BB01-5</v>
      </c>
      <c r="H491" s="557">
        <v>5</v>
      </c>
      <c r="I491" s="506"/>
      <c r="J491" s="395">
        <v>1</v>
      </c>
      <c r="K491" s="397" t="s">
        <v>610</v>
      </c>
      <c r="L491" s="395"/>
      <c r="M491" s="395"/>
      <c r="N491" s="395"/>
      <c r="O491" s="395"/>
      <c r="P491" s="395"/>
      <c r="Q491" s="395"/>
      <c r="R491" s="395"/>
      <c r="S491" s="395"/>
      <c r="T491" s="395"/>
      <c r="U491" s="395"/>
    </row>
    <row r="492" spans="1:21" s="407" customFormat="1" ht="12" hidden="1" customHeight="1" outlineLevel="2">
      <c r="A492" s="508"/>
      <c r="B492" s="553"/>
      <c r="C492" s="554"/>
      <c r="D492" s="577" t="s">
        <v>1731</v>
      </c>
      <c r="E492" s="555" t="s">
        <v>1960</v>
      </c>
      <c r="F492" s="553" t="s">
        <v>48</v>
      </c>
      <c r="G492" s="556" t="str">
        <f t="shared" si="29"/>
        <v>BB01-5</v>
      </c>
      <c r="H492" s="557">
        <v>5</v>
      </c>
      <c r="I492" s="506"/>
      <c r="J492" s="395">
        <v>1</v>
      </c>
      <c r="K492" s="397" t="s">
        <v>610</v>
      </c>
      <c r="L492" s="395"/>
      <c r="M492" s="395"/>
      <c r="N492" s="395"/>
      <c r="O492" s="395"/>
      <c r="P492" s="395"/>
      <c r="Q492" s="395"/>
      <c r="R492" s="395"/>
      <c r="S492" s="395"/>
      <c r="T492" s="395"/>
      <c r="U492" s="395"/>
    </row>
    <row r="493" spans="1:21" s="407" customFormat="1" ht="12" hidden="1" customHeight="1" outlineLevel="2">
      <c r="A493" s="508"/>
      <c r="B493" s="553"/>
      <c r="C493" s="554"/>
      <c r="D493" s="577" t="s">
        <v>1733</v>
      </c>
      <c r="E493" s="555" t="s">
        <v>1961</v>
      </c>
      <c r="F493" s="553" t="s">
        <v>48</v>
      </c>
      <c r="G493" s="556" t="str">
        <f t="shared" si="29"/>
        <v>BB01-5</v>
      </c>
      <c r="H493" s="557">
        <v>5</v>
      </c>
      <c r="I493" s="506"/>
      <c r="J493" s="395">
        <v>1</v>
      </c>
      <c r="K493" s="397" t="s">
        <v>610</v>
      </c>
      <c r="L493" s="395"/>
      <c r="M493" s="395"/>
      <c r="N493" s="395"/>
      <c r="O493" s="395"/>
      <c r="P493" s="395"/>
      <c r="Q493" s="395"/>
      <c r="R493" s="395"/>
      <c r="S493" s="395"/>
      <c r="T493" s="395"/>
      <c r="U493" s="395"/>
    </row>
    <row r="494" spans="1:21" s="407" customFormat="1" ht="12" hidden="1" customHeight="1" outlineLevel="2">
      <c r="A494" s="508"/>
      <c r="B494" s="553"/>
      <c r="C494" s="554"/>
      <c r="D494" s="577" t="s">
        <v>1735</v>
      </c>
      <c r="E494" s="555" t="s">
        <v>1962</v>
      </c>
      <c r="F494" s="553" t="s">
        <v>48</v>
      </c>
      <c r="G494" s="556" t="str">
        <f t="shared" si="29"/>
        <v>BB01-5</v>
      </c>
      <c r="H494" s="557">
        <v>5</v>
      </c>
      <c r="I494" s="506"/>
      <c r="J494" s="395">
        <v>1</v>
      </c>
      <c r="K494" s="397" t="s">
        <v>610</v>
      </c>
      <c r="L494" s="395"/>
      <c r="M494" s="395"/>
      <c r="N494" s="395"/>
      <c r="O494" s="395"/>
      <c r="P494" s="395"/>
      <c r="Q494" s="395"/>
      <c r="R494" s="395"/>
      <c r="S494" s="395"/>
      <c r="T494" s="395"/>
      <c r="U494" s="395"/>
    </row>
    <row r="495" spans="1:21" s="407" customFormat="1" ht="12" hidden="1" customHeight="1" outlineLevel="2">
      <c r="A495" s="508"/>
      <c r="B495" s="553"/>
      <c r="C495" s="554"/>
      <c r="D495" s="577" t="s">
        <v>1737</v>
      </c>
      <c r="E495" s="555" t="s">
        <v>1963</v>
      </c>
      <c r="F495" s="553" t="s">
        <v>48</v>
      </c>
      <c r="G495" s="556" t="str">
        <f t="shared" si="29"/>
        <v>BB01-5</v>
      </c>
      <c r="H495" s="557">
        <v>5</v>
      </c>
      <c r="I495" s="506"/>
      <c r="J495" s="395">
        <v>1</v>
      </c>
      <c r="K495" s="397" t="s">
        <v>610</v>
      </c>
      <c r="L495" s="395"/>
      <c r="M495" s="395"/>
      <c r="N495" s="395"/>
      <c r="O495" s="395"/>
      <c r="P495" s="395"/>
      <c r="Q495" s="395"/>
      <c r="R495" s="395"/>
      <c r="S495" s="395"/>
      <c r="T495" s="395"/>
      <c r="U495" s="395"/>
    </row>
    <row r="496" spans="1:21" s="407" customFormat="1" ht="12" hidden="1" customHeight="1" outlineLevel="2">
      <c r="A496" s="508"/>
      <c r="B496" s="553"/>
      <c r="C496" s="554"/>
      <c r="D496" s="577" t="s">
        <v>1739</v>
      </c>
      <c r="E496" s="555" t="s">
        <v>1964</v>
      </c>
      <c r="F496" s="553" t="s">
        <v>48</v>
      </c>
      <c r="G496" s="556" t="str">
        <f t="shared" si="29"/>
        <v>BB01-5</v>
      </c>
      <c r="H496" s="557">
        <v>5</v>
      </c>
      <c r="I496" s="506"/>
      <c r="J496" s="395">
        <v>1</v>
      </c>
      <c r="K496" s="397" t="s">
        <v>610</v>
      </c>
      <c r="L496" s="395"/>
      <c r="M496" s="395"/>
      <c r="N496" s="395"/>
      <c r="O496" s="395"/>
      <c r="P496" s="395"/>
      <c r="Q496" s="395"/>
      <c r="R496" s="395"/>
      <c r="S496" s="395"/>
      <c r="T496" s="395"/>
      <c r="U496" s="395"/>
    </row>
    <row r="497" spans="1:21" s="407" customFormat="1" ht="12" hidden="1" customHeight="1" outlineLevel="2">
      <c r="A497" s="508"/>
      <c r="B497" s="553"/>
      <c r="C497" s="554"/>
      <c r="D497" s="577" t="s">
        <v>1965</v>
      </c>
      <c r="E497" s="555" t="s">
        <v>1966</v>
      </c>
      <c r="F497" s="553" t="s">
        <v>48</v>
      </c>
      <c r="G497" s="556" t="str">
        <f t="shared" si="29"/>
        <v>BB01-5</v>
      </c>
      <c r="H497" s="557">
        <v>5</v>
      </c>
      <c r="I497" s="506"/>
      <c r="J497" s="395">
        <v>1</v>
      </c>
      <c r="K497" s="397" t="s">
        <v>610</v>
      </c>
      <c r="L497" s="395"/>
      <c r="M497" s="395"/>
      <c r="N497" s="395"/>
      <c r="O497" s="395"/>
      <c r="P497" s="395"/>
      <c r="Q497" s="395"/>
      <c r="R497" s="395"/>
      <c r="S497" s="395"/>
      <c r="T497" s="395"/>
      <c r="U497" s="395"/>
    </row>
    <row r="498" spans="1:21" s="407" customFormat="1" ht="12" hidden="1" customHeight="1" outlineLevel="2">
      <c r="A498" s="508"/>
      <c r="B498" s="553"/>
      <c r="C498" s="554"/>
      <c r="D498" s="577" t="s">
        <v>1967</v>
      </c>
      <c r="E498" s="555" t="s">
        <v>1968</v>
      </c>
      <c r="F498" s="553" t="s">
        <v>48</v>
      </c>
      <c r="G498" s="556" t="str">
        <f t="shared" si="29"/>
        <v>BB01-5</v>
      </c>
      <c r="H498" s="557">
        <v>5</v>
      </c>
      <c r="I498" s="506"/>
      <c r="J498" s="395">
        <v>1</v>
      </c>
      <c r="K498" s="397" t="s">
        <v>610</v>
      </c>
      <c r="L498" s="395"/>
      <c r="M498" s="395"/>
      <c r="N498" s="395"/>
      <c r="O498" s="395"/>
      <c r="P498" s="395"/>
      <c r="Q498" s="395"/>
      <c r="R498" s="395"/>
      <c r="S498" s="395"/>
      <c r="T498" s="395"/>
      <c r="U498" s="395"/>
    </row>
    <row r="499" spans="1:21" s="407" customFormat="1" ht="12" hidden="1" customHeight="1" outlineLevel="2">
      <c r="A499" s="508"/>
      <c r="B499" s="553"/>
      <c r="C499" s="554"/>
      <c r="D499" s="577" t="s">
        <v>1969</v>
      </c>
      <c r="E499" s="555" t="s">
        <v>1970</v>
      </c>
      <c r="F499" s="553" t="s">
        <v>48</v>
      </c>
      <c r="G499" s="556" t="str">
        <f t="shared" si="29"/>
        <v>BB01-5</v>
      </c>
      <c r="H499" s="557">
        <v>5</v>
      </c>
      <c r="I499" s="506"/>
      <c r="J499" s="395">
        <v>1</v>
      </c>
      <c r="K499" s="397" t="s">
        <v>610</v>
      </c>
      <c r="L499" s="395"/>
      <c r="M499" s="395"/>
      <c r="N499" s="395"/>
      <c r="O499" s="395"/>
      <c r="P499" s="395"/>
      <c r="Q499" s="395"/>
      <c r="R499" s="395"/>
      <c r="S499" s="395"/>
      <c r="T499" s="395"/>
      <c r="U499" s="395"/>
    </row>
    <row r="500" spans="1:21" s="407" customFormat="1" ht="12" hidden="1" customHeight="1" outlineLevel="2">
      <c r="A500" s="508"/>
      <c r="B500" s="553"/>
      <c r="C500" s="554"/>
      <c r="D500" s="577" t="s">
        <v>1971</v>
      </c>
      <c r="E500" s="555" t="s">
        <v>1972</v>
      </c>
      <c r="F500" s="553" t="s">
        <v>48</v>
      </c>
      <c r="G500" s="556" t="str">
        <f t="shared" si="29"/>
        <v>BB01-5</v>
      </c>
      <c r="H500" s="557">
        <v>5</v>
      </c>
      <c r="I500" s="506"/>
      <c r="J500" s="395">
        <v>1</v>
      </c>
      <c r="K500" s="397" t="s">
        <v>610</v>
      </c>
      <c r="L500" s="395"/>
      <c r="M500" s="395"/>
      <c r="N500" s="395"/>
      <c r="O500" s="395"/>
      <c r="P500" s="395"/>
      <c r="Q500" s="395"/>
      <c r="R500" s="395"/>
      <c r="S500" s="395"/>
      <c r="T500" s="395"/>
      <c r="U500" s="395"/>
    </row>
    <row r="501" spans="1:21" s="407" customFormat="1" ht="12" hidden="1" customHeight="1" outlineLevel="2">
      <c r="A501" s="508"/>
      <c r="B501" s="553"/>
      <c r="C501" s="554"/>
      <c r="D501" s="577" t="s">
        <v>1973</v>
      </c>
      <c r="E501" s="555" t="s">
        <v>1974</v>
      </c>
      <c r="F501" s="553" t="s">
        <v>48</v>
      </c>
      <c r="G501" s="556" t="str">
        <f t="shared" si="29"/>
        <v>BB01-5</v>
      </c>
      <c r="H501" s="557">
        <v>5</v>
      </c>
      <c r="I501" s="506"/>
      <c r="J501" s="395">
        <v>1</v>
      </c>
      <c r="K501" s="397" t="s">
        <v>610</v>
      </c>
      <c r="L501" s="395"/>
      <c r="M501" s="395"/>
      <c r="N501" s="395"/>
      <c r="O501" s="395"/>
      <c r="P501" s="395"/>
      <c r="Q501" s="395"/>
      <c r="R501" s="395"/>
      <c r="S501" s="395"/>
      <c r="T501" s="395"/>
      <c r="U501" s="395"/>
    </row>
    <row r="502" spans="1:21" s="407" customFormat="1" ht="12" hidden="1" customHeight="1" outlineLevel="2">
      <c r="A502" s="508"/>
      <c r="B502" s="553"/>
      <c r="C502" s="554"/>
      <c r="D502" s="577" t="s">
        <v>1975</v>
      </c>
      <c r="E502" s="555" t="s">
        <v>1976</v>
      </c>
      <c r="F502" s="553" t="s">
        <v>48</v>
      </c>
      <c r="G502" s="556" t="str">
        <f t="shared" si="29"/>
        <v>BB01-5</v>
      </c>
      <c r="H502" s="557">
        <v>5</v>
      </c>
      <c r="I502" s="506"/>
      <c r="J502" s="395">
        <v>1</v>
      </c>
      <c r="K502" s="397" t="s">
        <v>610</v>
      </c>
      <c r="L502" s="395"/>
      <c r="M502" s="395"/>
      <c r="N502" s="395"/>
      <c r="O502" s="395"/>
      <c r="P502" s="395"/>
      <c r="Q502" s="395"/>
      <c r="R502" s="395"/>
      <c r="S502" s="395"/>
      <c r="T502" s="395"/>
      <c r="U502" s="395"/>
    </row>
    <row r="503" spans="1:21" s="407" customFormat="1" ht="12" hidden="1" customHeight="1" outlineLevel="2">
      <c r="A503" s="508"/>
      <c r="B503" s="553"/>
      <c r="C503" s="554"/>
      <c r="D503" s="577" t="s">
        <v>1977</v>
      </c>
      <c r="E503" s="555" t="s">
        <v>1978</v>
      </c>
      <c r="F503" s="553" t="s">
        <v>48</v>
      </c>
      <c r="G503" s="556" t="str">
        <f t="shared" si="29"/>
        <v>BB01-5</v>
      </c>
      <c r="H503" s="557">
        <v>5</v>
      </c>
      <c r="I503" s="506"/>
      <c r="J503" s="395">
        <v>1</v>
      </c>
      <c r="K503" s="397" t="s">
        <v>610</v>
      </c>
      <c r="L503" s="395"/>
      <c r="M503" s="395"/>
      <c r="N503" s="395"/>
      <c r="O503" s="395"/>
      <c r="P503" s="395"/>
      <c r="Q503" s="395"/>
      <c r="R503" s="395"/>
      <c r="S503" s="395"/>
      <c r="T503" s="395"/>
      <c r="U503" s="395"/>
    </row>
    <row r="504" spans="1:21" s="407" customFormat="1" ht="12" hidden="1" customHeight="1" outlineLevel="2">
      <c r="A504" s="508"/>
      <c r="B504" s="553"/>
      <c r="C504" s="554"/>
      <c r="D504" s="577" t="s">
        <v>1979</v>
      </c>
      <c r="E504" s="555" t="s">
        <v>1980</v>
      </c>
      <c r="F504" s="553" t="s">
        <v>48</v>
      </c>
      <c r="G504" s="556" t="str">
        <f t="shared" si="29"/>
        <v>BB01-5</v>
      </c>
      <c r="H504" s="557">
        <v>5</v>
      </c>
      <c r="I504" s="506"/>
      <c r="J504" s="395">
        <v>1</v>
      </c>
      <c r="K504" s="397" t="s">
        <v>610</v>
      </c>
      <c r="L504" s="395"/>
      <c r="M504" s="395"/>
      <c r="N504" s="395"/>
      <c r="O504" s="395"/>
      <c r="P504" s="395"/>
      <c r="Q504" s="395"/>
      <c r="R504" s="395"/>
      <c r="S504" s="395"/>
      <c r="T504" s="395"/>
      <c r="U504" s="395"/>
    </row>
    <row r="505" spans="1:21" s="407" customFormat="1" ht="12" hidden="1" customHeight="1" outlineLevel="2">
      <c r="A505" s="508"/>
      <c r="B505" s="553"/>
      <c r="C505" s="554"/>
      <c r="D505" s="577" t="s">
        <v>1981</v>
      </c>
      <c r="E505" s="555" t="s">
        <v>1982</v>
      </c>
      <c r="F505" s="553" t="s">
        <v>48</v>
      </c>
      <c r="G505" s="556" t="str">
        <f t="shared" si="29"/>
        <v>BB01-5</v>
      </c>
      <c r="H505" s="557">
        <v>5</v>
      </c>
      <c r="I505" s="506"/>
      <c r="J505" s="395">
        <v>1</v>
      </c>
      <c r="K505" s="397" t="s">
        <v>610</v>
      </c>
      <c r="L505" s="395"/>
      <c r="M505" s="395"/>
      <c r="N505" s="395"/>
      <c r="O505" s="395"/>
      <c r="P505" s="395"/>
      <c r="Q505" s="395"/>
      <c r="R505" s="395"/>
      <c r="S505" s="395"/>
      <c r="T505" s="395"/>
      <c r="U505" s="395"/>
    </row>
    <row r="506" spans="1:21" s="407" customFormat="1" ht="12" hidden="1" customHeight="1" outlineLevel="2">
      <c r="A506" s="508"/>
      <c r="B506" s="553"/>
      <c r="C506" s="554"/>
      <c r="D506" s="577" t="s">
        <v>1983</v>
      </c>
      <c r="E506" s="555" t="s">
        <v>1984</v>
      </c>
      <c r="F506" s="553" t="s">
        <v>48</v>
      </c>
      <c r="G506" s="556" t="str">
        <f t="shared" si="29"/>
        <v>BB01-5</v>
      </c>
      <c r="H506" s="557">
        <v>5</v>
      </c>
      <c r="I506" s="506"/>
      <c r="J506" s="395">
        <v>1</v>
      </c>
      <c r="K506" s="397" t="s">
        <v>610</v>
      </c>
      <c r="L506" s="395"/>
      <c r="M506" s="395"/>
      <c r="N506" s="395"/>
      <c r="O506" s="395"/>
      <c r="P506" s="395"/>
      <c r="Q506" s="395"/>
      <c r="R506" s="395"/>
      <c r="S506" s="395"/>
      <c r="T506" s="395"/>
      <c r="U506" s="395"/>
    </row>
    <row r="507" spans="1:21" s="407" customFormat="1" ht="12" hidden="1" customHeight="1" outlineLevel="2">
      <c r="A507" s="508"/>
      <c r="B507" s="553"/>
      <c r="C507" s="554"/>
      <c r="D507" s="577" t="s">
        <v>1985</v>
      </c>
      <c r="E507" s="555" t="s">
        <v>1986</v>
      </c>
      <c r="F507" s="553" t="s">
        <v>48</v>
      </c>
      <c r="G507" s="556" t="str">
        <f t="shared" si="29"/>
        <v>BB01-5</v>
      </c>
      <c r="H507" s="557">
        <v>5</v>
      </c>
      <c r="I507" s="506"/>
      <c r="J507" s="395">
        <v>1</v>
      </c>
      <c r="K507" s="397" t="s">
        <v>610</v>
      </c>
      <c r="L507" s="395"/>
      <c r="M507" s="395"/>
      <c r="N507" s="395"/>
      <c r="O507" s="395"/>
      <c r="P507" s="395"/>
      <c r="Q507" s="395"/>
      <c r="R507" s="395"/>
      <c r="S507" s="395"/>
      <c r="T507" s="395"/>
      <c r="U507" s="395"/>
    </row>
    <row r="508" spans="1:21" s="407" customFormat="1" ht="12" hidden="1" customHeight="1" outlineLevel="2">
      <c r="A508" s="508"/>
      <c r="B508" s="553"/>
      <c r="C508" s="554"/>
      <c r="D508" s="577" t="s">
        <v>1987</v>
      </c>
      <c r="E508" s="555" t="s">
        <v>1988</v>
      </c>
      <c r="F508" s="553" t="s">
        <v>48</v>
      </c>
      <c r="G508" s="556" t="str">
        <f t="shared" si="29"/>
        <v>BB01-5</v>
      </c>
      <c r="H508" s="557">
        <v>5</v>
      </c>
      <c r="I508" s="506"/>
      <c r="J508" s="395">
        <v>1</v>
      </c>
      <c r="K508" s="397" t="s">
        <v>610</v>
      </c>
      <c r="L508" s="395"/>
      <c r="M508" s="395"/>
      <c r="N508" s="395"/>
      <c r="O508" s="395"/>
      <c r="P508" s="395"/>
      <c r="Q508" s="395"/>
      <c r="R508" s="395"/>
      <c r="S508" s="395"/>
      <c r="T508" s="395"/>
      <c r="U508" s="395"/>
    </row>
    <row r="509" spans="1:21" s="407" customFormat="1" ht="12" hidden="1" customHeight="1" outlineLevel="2">
      <c r="A509" s="508"/>
      <c r="B509" s="553"/>
      <c r="C509" s="554"/>
      <c r="D509" s="577" t="s">
        <v>1989</v>
      </c>
      <c r="E509" s="555" t="s">
        <v>1990</v>
      </c>
      <c r="F509" s="553" t="s">
        <v>48</v>
      </c>
      <c r="G509" s="556" t="str">
        <f t="shared" si="29"/>
        <v>BB01-5</v>
      </c>
      <c r="H509" s="557">
        <v>5</v>
      </c>
      <c r="I509" s="506"/>
      <c r="J509" s="395">
        <v>1</v>
      </c>
      <c r="K509" s="397" t="s">
        <v>610</v>
      </c>
      <c r="L509" s="395"/>
      <c r="M509" s="395"/>
      <c r="N509" s="395"/>
      <c r="O509" s="395"/>
      <c r="P509" s="395"/>
      <c r="Q509" s="395"/>
      <c r="R509" s="395"/>
      <c r="S509" s="395"/>
      <c r="T509" s="395"/>
      <c r="U509" s="395"/>
    </row>
    <row r="510" spans="1:21" s="407" customFormat="1" ht="12" hidden="1" customHeight="1" outlineLevel="2">
      <c r="A510" s="508"/>
      <c r="B510" s="553"/>
      <c r="C510" s="554"/>
      <c r="D510" s="577" t="s">
        <v>1991</v>
      </c>
      <c r="E510" s="555" t="s">
        <v>1992</v>
      </c>
      <c r="F510" s="553" t="s">
        <v>48</v>
      </c>
      <c r="G510" s="556" t="str">
        <f t="shared" si="29"/>
        <v>BB01-5</v>
      </c>
      <c r="H510" s="557">
        <v>5</v>
      </c>
      <c r="I510" s="506"/>
      <c r="J510" s="395">
        <v>1</v>
      </c>
      <c r="K510" s="397" t="s">
        <v>610</v>
      </c>
      <c r="L510" s="395"/>
      <c r="M510" s="395"/>
      <c r="N510" s="395"/>
      <c r="O510" s="395"/>
      <c r="P510" s="395"/>
      <c r="Q510" s="395"/>
      <c r="R510" s="395"/>
      <c r="S510" s="395"/>
      <c r="T510" s="395"/>
      <c r="U510" s="395"/>
    </row>
    <row r="511" spans="1:21" s="407" customFormat="1" ht="12" hidden="1" customHeight="1" outlineLevel="2">
      <c r="A511" s="508"/>
      <c r="B511" s="553"/>
      <c r="C511" s="554"/>
      <c r="D511" s="577" t="s">
        <v>1993</v>
      </c>
      <c r="E511" s="555" t="s">
        <v>1994</v>
      </c>
      <c r="F511" s="553" t="s">
        <v>48</v>
      </c>
      <c r="G511" s="556" t="str">
        <f t="shared" si="29"/>
        <v>BB01-5</v>
      </c>
      <c r="H511" s="557">
        <v>5</v>
      </c>
      <c r="I511" s="506"/>
      <c r="J511" s="395">
        <v>1</v>
      </c>
      <c r="K511" s="397" t="s">
        <v>610</v>
      </c>
      <c r="L511" s="395"/>
      <c r="M511" s="395"/>
      <c r="N511" s="395"/>
      <c r="O511" s="395"/>
      <c r="P511" s="395"/>
      <c r="Q511" s="395"/>
      <c r="R511" s="395"/>
      <c r="S511" s="395"/>
      <c r="T511" s="395"/>
      <c r="U511" s="395"/>
    </row>
    <row r="512" spans="1:21" s="407" customFormat="1" ht="12" hidden="1" customHeight="1" outlineLevel="2">
      <c r="A512" s="508"/>
      <c r="B512" s="553"/>
      <c r="C512" s="554"/>
      <c r="D512" s="577" t="s">
        <v>1995</v>
      </c>
      <c r="E512" s="555" t="s">
        <v>1996</v>
      </c>
      <c r="F512" s="553" t="s">
        <v>48</v>
      </c>
      <c r="G512" s="556" t="str">
        <f t="shared" si="29"/>
        <v>BB01-5</v>
      </c>
      <c r="H512" s="557">
        <v>5</v>
      </c>
      <c r="I512" s="506"/>
      <c r="J512" s="395">
        <v>1</v>
      </c>
      <c r="K512" s="397" t="s">
        <v>610</v>
      </c>
      <c r="L512" s="395"/>
      <c r="M512" s="395"/>
      <c r="N512" s="395"/>
      <c r="O512" s="395"/>
      <c r="P512" s="395"/>
      <c r="Q512" s="395"/>
      <c r="R512" s="395"/>
      <c r="S512" s="395"/>
      <c r="T512" s="395"/>
      <c r="U512" s="395"/>
    </row>
    <row r="513" spans="1:21" s="407" customFormat="1" ht="12" hidden="1" customHeight="1" outlineLevel="2">
      <c r="A513" s="508"/>
      <c r="B513" s="553"/>
      <c r="C513" s="554"/>
      <c r="D513" s="577" t="s">
        <v>1997</v>
      </c>
      <c r="E513" s="555" t="s">
        <v>1998</v>
      </c>
      <c r="F513" s="553" t="s">
        <v>48</v>
      </c>
      <c r="G513" s="556" t="str">
        <f t="shared" si="29"/>
        <v>BB01-5</v>
      </c>
      <c r="H513" s="557">
        <v>5</v>
      </c>
      <c r="I513" s="506"/>
      <c r="J513" s="395">
        <v>1</v>
      </c>
      <c r="K513" s="397" t="s">
        <v>610</v>
      </c>
      <c r="L513" s="395"/>
      <c r="M513" s="395"/>
      <c r="N513" s="395"/>
      <c r="O513" s="395"/>
      <c r="P513" s="395"/>
      <c r="Q513" s="395"/>
      <c r="R513" s="395"/>
      <c r="S513" s="395"/>
      <c r="T513" s="395"/>
      <c r="U513" s="395"/>
    </row>
    <row r="514" spans="1:21" s="407" customFormat="1" ht="12" hidden="1" customHeight="1" outlineLevel="2">
      <c r="A514" s="508"/>
      <c r="B514" s="553"/>
      <c r="C514" s="554"/>
      <c r="D514" s="577" t="s">
        <v>1999</v>
      </c>
      <c r="E514" s="555" t="s">
        <v>2000</v>
      </c>
      <c r="F514" s="553" t="s">
        <v>48</v>
      </c>
      <c r="G514" s="556" t="str">
        <f t="shared" si="29"/>
        <v>BB01-5</v>
      </c>
      <c r="H514" s="557">
        <v>5</v>
      </c>
      <c r="I514" s="506"/>
      <c r="J514" s="395">
        <v>1</v>
      </c>
      <c r="K514" s="397" t="s">
        <v>610</v>
      </c>
      <c r="L514" s="395"/>
      <c r="M514" s="395"/>
      <c r="N514" s="395"/>
      <c r="O514" s="395"/>
      <c r="P514" s="395"/>
      <c r="Q514" s="395"/>
      <c r="R514" s="395"/>
      <c r="S514" s="395"/>
      <c r="T514" s="395"/>
      <c r="U514" s="395"/>
    </row>
    <row r="515" spans="1:21" s="407" customFormat="1" ht="12" hidden="1" customHeight="1" outlineLevel="2">
      <c r="A515" s="508"/>
      <c r="B515" s="553"/>
      <c r="C515" s="554"/>
      <c r="D515" s="577" t="s">
        <v>2001</v>
      </c>
      <c r="E515" s="555" t="s">
        <v>2002</v>
      </c>
      <c r="F515" s="553" t="s">
        <v>48</v>
      </c>
      <c r="G515" s="556" t="str">
        <f t="shared" si="29"/>
        <v>BB01-5</v>
      </c>
      <c r="H515" s="557">
        <v>5</v>
      </c>
      <c r="I515" s="506"/>
      <c r="J515" s="395">
        <v>1</v>
      </c>
      <c r="K515" s="397" t="s">
        <v>610</v>
      </c>
      <c r="L515" s="395"/>
      <c r="M515" s="395"/>
      <c r="N515" s="395"/>
      <c r="O515" s="395"/>
      <c r="P515" s="395"/>
      <c r="Q515" s="395"/>
      <c r="R515" s="395"/>
      <c r="S515" s="395"/>
      <c r="T515" s="395"/>
      <c r="U515" s="395"/>
    </row>
    <row r="516" spans="1:21" s="407" customFormat="1" ht="12" hidden="1" customHeight="1" outlineLevel="2">
      <c r="A516" s="508"/>
      <c r="B516" s="553"/>
      <c r="C516" s="554"/>
      <c r="D516" s="577" t="s">
        <v>2003</v>
      </c>
      <c r="E516" s="555" t="s">
        <v>2004</v>
      </c>
      <c r="F516" s="553" t="s">
        <v>48</v>
      </c>
      <c r="G516" s="556" t="str">
        <f t="shared" si="29"/>
        <v>BB01-5</v>
      </c>
      <c r="H516" s="557">
        <v>5</v>
      </c>
      <c r="I516" s="506"/>
      <c r="J516" s="395">
        <v>1</v>
      </c>
      <c r="K516" s="397" t="s">
        <v>610</v>
      </c>
      <c r="L516" s="395"/>
      <c r="M516" s="395"/>
      <c r="N516" s="395"/>
      <c r="O516" s="395"/>
      <c r="P516" s="395"/>
      <c r="Q516" s="395"/>
      <c r="R516" s="395"/>
      <c r="S516" s="395"/>
      <c r="T516" s="395"/>
      <c r="U516" s="395"/>
    </row>
    <row r="517" spans="1:21" s="407" customFormat="1" ht="12" hidden="1" customHeight="1" outlineLevel="2">
      <c r="A517" s="508"/>
      <c r="B517" s="553"/>
      <c r="C517" s="554"/>
      <c r="D517" s="577" t="s">
        <v>2005</v>
      </c>
      <c r="E517" s="555" t="s">
        <v>2006</v>
      </c>
      <c r="F517" s="553" t="s">
        <v>48</v>
      </c>
      <c r="G517" s="556" t="str">
        <f t="shared" si="29"/>
        <v>BB01-5</v>
      </c>
      <c r="H517" s="557">
        <v>5</v>
      </c>
      <c r="I517" s="506"/>
      <c r="J517" s="395">
        <v>1</v>
      </c>
      <c r="K517" s="397" t="s">
        <v>610</v>
      </c>
      <c r="L517" s="395"/>
      <c r="M517" s="395"/>
      <c r="N517" s="395"/>
      <c r="O517" s="395"/>
      <c r="P517" s="395"/>
      <c r="Q517" s="395"/>
      <c r="R517" s="395"/>
      <c r="S517" s="395"/>
      <c r="T517" s="395"/>
      <c r="U517" s="395"/>
    </row>
    <row r="518" spans="1:21" s="407" customFormat="1" ht="12" hidden="1" customHeight="1" outlineLevel="2">
      <c r="A518" s="508"/>
      <c r="B518" s="553"/>
      <c r="C518" s="554"/>
      <c r="D518" s="577" t="s">
        <v>2007</v>
      </c>
      <c r="E518" s="555" t="s">
        <v>2008</v>
      </c>
      <c r="F518" s="553" t="s">
        <v>48</v>
      </c>
      <c r="G518" s="556" t="str">
        <f t="shared" si="29"/>
        <v>BB01-5</v>
      </c>
      <c r="H518" s="557">
        <v>5</v>
      </c>
      <c r="I518" s="506"/>
      <c r="J518" s="395">
        <v>1</v>
      </c>
      <c r="K518" s="397" t="s">
        <v>610</v>
      </c>
      <c r="L518" s="395"/>
      <c r="M518" s="395"/>
      <c r="N518" s="395"/>
      <c r="O518" s="395"/>
      <c r="P518" s="395"/>
      <c r="Q518" s="395"/>
      <c r="R518" s="395"/>
      <c r="S518" s="395"/>
      <c r="T518" s="395"/>
      <c r="U518" s="395"/>
    </row>
    <row r="519" spans="1:21" s="407" customFormat="1" ht="12" hidden="1" customHeight="1" outlineLevel="2">
      <c r="A519" s="508"/>
      <c r="B519" s="553"/>
      <c r="C519" s="554"/>
      <c r="D519" s="577" t="s">
        <v>1741</v>
      </c>
      <c r="E519" s="555" t="s">
        <v>2009</v>
      </c>
      <c r="F519" s="553" t="s">
        <v>48</v>
      </c>
      <c r="G519" s="556" t="str">
        <f t="shared" si="29"/>
        <v>BB01-5</v>
      </c>
      <c r="H519" s="557">
        <v>5</v>
      </c>
      <c r="I519" s="506"/>
      <c r="J519" s="395">
        <v>1</v>
      </c>
      <c r="K519" s="397" t="s">
        <v>610</v>
      </c>
      <c r="L519" s="395"/>
      <c r="M519" s="395"/>
      <c r="N519" s="395"/>
      <c r="O519" s="395"/>
      <c r="P519" s="395"/>
      <c r="Q519" s="395"/>
      <c r="R519" s="395"/>
      <c r="S519" s="395"/>
      <c r="T519" s="395"/>
      <c r="U519" s="395"/>
    </row>
    <row r="520" spans="1:21" s="407" customFormat="1" ht="12" hidden="1" customHeight="1" outlineLevel="2">
      <c r="A520" s="508"/>
      <c r="B520" s="553"/>
      <c r="C520" s="554"/>
      <c r="D520" s="577" t="s">
        <v>1743</v>
      </c>
      <c r="E520" s="555" t="s">
        <v>2010</v>
      </c>
      <c r="F520" s="553" t="s">
        <v>48</v>
      </c>
      <c r="G520" s="556" t="str">
        <f t="shared" si="29"/>
        <v>BB01-5</v>
      </c>
      <c r="H520" s="557">
        <v>5</v>
      </c>
      <c r="I520" s="506"/>
      <c r="J520" s="395">
        <v>1</v>
      </c>
      <c r="K520" s="397" t="s">
        <v>610</v>
      </c>
      <c r="L520" s="395"/>
      <c r="M520" s="395"/>
      <c r="N520" s="395"/>
      <c r="O520" s="395"/>
      <c r="P520" s="395"/>
      <c r="Q520" s="395"/>
      <c r="R520" s="395"/>
      <c r="S520" s="395"/>
      <c r="T520" s="395"/>
      <c r="U520" s="395"/>
    </row>
    <row r="521" spans="1:21" s="407" customFormat="1" ht="12" hidden="1" customHeight="1" outlineLevel="2">
      <c r="A521" s="508"/>
      <c r="B521" s="553"/>
      <c r="C521" s="554"/>
      <c r="D521" s="577" t="s">
        <v>1745</v>
      </c>
      <c r="E521" s="555" t="s">
        <v>2011</v>
      </c>
      <c r="F521" s="553" t="s">
        <v>48</v>
      </c>
      <c r="G521" s="556" t="str">
        <f t="shared" si="29"/>
        <v>BB01-5</v>
      </c>
      <c r="H521" s="557">
        <v>5</v>
      </c>
      <c r="I521" s="506"/>
      <c r="J521" s="395">
        <v>1</v>
      </c>
      <c r="K521" s="397" t="s">
        <v>610</v>
      </c>
      <c r="L521" s="395"/>
      <c r="M521" s="395"/>
      <c r="N521" s="395"/>
      <c r="O521" s="395"/>
      <c r="P521" s="395"/>
      <c r="Q521" s="395"/>
      <c r="R521" s="395"/>
      <c r="S521" s="395"/>
      <c r="T521" s="395"/>
      <c r="U521" s="395"/>
    </row>
    <row r="522" spans="1:21" s="407" customFormat="1" ht="12" hidden="1" customHeight="1" outlineLevel="2">
      <c r="A522" s="508"/>
      <c r="B522" s="553"/>
      <c r="C522" s="554"/>
      <c r="D522" s="577" t="s">
        <v>1747</v>
      </c>
      <c r="E522" s="555" t="s">
        <v>2012</v>
      </c>
      <c r="F522" s="553" t="s">
        <v>48</v>
      </c>
      <c r="G522" s="556" t="str">
        <f t="shared" si="29"/>
        <v>BB01-5</v>
      </c>
      <c r="H522" s="557">
        <v>5</v>
      </c>
      <c r="I522" s="506"/>
      <c r="J522" s="395">
        <v>1</v>
      </c>
      <c r="K522" s="397" t="s">
        <v>610</v>
      </c>
      <c r="L522" s="395"/>
      <c r="M522" s="395"/>
      <c r="N522" s="395"/>
      <c r="O522" s="395"/>
      <c r="P522" s="395"/>
      <c r="Q522" s="395"/>
      <c r="R522" s="395"/>
      <c r="S522" s="395"/>
      <c r="T522" s="395"/>
      <c r="U522" s="395"/>
    </row>
    <row r="523" spans="1:21" s="407" customFormat="1" ht="12" hidden="1" customHeight="1" outlineLevel="2">
      <c r="A523" s="508"/>
      <c r="B523" s="553"/>
      <c r="C523" s="554"/>
      <c r="D523" s="577" t="s">
        <v>1749</v>
      </c>
      <c r="E523" s="555" t="s">
        <v>2013</v>
      </c>
      <c r="F523" s="553" t="s">
        <v>48</v>
      </c>
      <c r="G523" s="556" t="str">
        <f t="shared" si="29"/>
        <v>BB01-5</v>
      </c>
      <c r="H523" s="557">
        <v>5</v>
      </c>
      <c r="I523" s="506"/>
      <c r="J523" s="395">
        <v>1</v>
      </c>
      <c r="K523" s="397" t="s">
        <v>610</v>
      </c>
      <c r="L523" s="395"/>
      <c r="M523" s="395"/>
      <c r="N523" s="395"/>
      <c r="O523" s="395"/>
      <c r="P523" s="395"/>
      <c r="Q523" s="395"/>
      <c r="R523" s="395"/>
      <c r="S523" s="395"/>
      <c r="T523" s="395"/>
      <c r="U523" s="395"/>
    </row>
    <row r="524" spans="1:21" s="407" customFormat="1" ht="12" hidden="1" customHeight="1" outlineLevel="2">
      <c r="A524" s="508"/>
      <c r="B524" s="553"/>
      <c r="C524" s="554"/>
      <c r="D524" s="577" t="s">
        <v>2014</v>
      </c>
      <c r="E524" s="555" t="s">
        <v>2015</v>
      </c>
      <c r="F524" s="553" t="s">
        <v>48</v>
      </c>
      <c r="G524" s="556" t="str">
        <f t="shared" si="28"/>
        <v>BB01-5</v>
      </c>
      <c r="H524" s="557">
        <v>5</v>
      </c>
      <c r="I524" s="506"/>
      <c r="J524" s="395">
        <v>1</v>
      </c>
      <c r="K524" s="397" t="s">
        <v>193</v>
      </c>
      <c r="L524" s="395"/>
      <c r="M524" s="395"/>
      <c r="N524" s="395"/>
      <c r="O524" s="395"/>
      <c r="P524" s="395"/>
      <c r="Q524" s="395"/>
      <c r="R524" s="395"/>
      <c r="S524" s="395"/>
      <c r="T524" s="395"/>
      <c r="U524" s="395"/>
    </row>
    <row r="525" spans="1:21" s="407" customFormat="1" ht="12" hidden="1" customHeight="1" outlineLevel="2">
      <c r="A525" s="508"/>
      <c r="B525" s="553"/>
      <c r="C525" s="554"/>
      <c r="D525" s="577" t="s">
        <v>2016</v>
      </c>
      <c r="E525" s="555" t="s">
        <v>2017</v>
      </c>
      <c r="F525" s="553" t="s">
        <v>48</v>
      </c>
      <c r="G525" s="556" t="str">
        <f t="shared" si="28"/>
        <v>BB01-5</v>
      </c>
      <c r="H525" s="557">
        <v>5</v>
      </c>
      <c r="I525" s="506"/>
      <c r="J525" s="395">
        <v>1</v>
      </c>
      <c r="K525" s="397" t="s">
        <v>610</v>
      </c>
      <c r="L525" s="395"/>
      <c r="M525" s="395"/>
      <c r="N525" s="395"/>
      <c r="O525" s="395"/>
      <c r="P525" s="395"/>
      <c r="Q525" s="395"/>
      <c r="R525" s="395"/>
      <c r="S525" s="395"/>
      <c r="T525" s="395"/>
      <c r="U525" s="395"/>
    </row>
    <row r="526" spans="1:21" s="407" customFormat="1" ht="12" hidden="1" customHeight="1" outlineLevel="2">
      <c r="A526" s="508"/>
      <c r="B526" s="553"/>
      <c r="C526" s="554"/>
      <c r="D526" s="577" t="s">
        <v>2018</v>
      </c>
      <c r="E526" s="555" t="s">
        <v>2019</v>
      </c>
      <c r="F526" s="553" t="s">
        <v>48</v>
      </c>
      <c r="G526" s="556" t="str">
        <f t="shared" si="28"/>
        <v>BB01-5</v>
      </c>
      <c r="H526" s="557">
        <v>5</v>
      </c>
      <c r="I526" s="506"/>
      <c r="J526" s="395">
        <v>1</v>
      </c>
      <c r="K526" s="397" t="s">
        <v>610</v>
      </c>
      <c r="L526" s="395"/>
      <c r="M526" s="395"/>
      <c r="N526" s="395"/>
      <c r="O526" s="395"/>
      <c r="P526" s="395"/>
      <c r="Q526" s="395"/>
      <c r="R526" s="395"/>
      <c r="S526" s="395"/>
      <c r="T526" s="395"/>
      <c r="U526" s="395"/>
    </row>
    <row r="527" spans="1:21" s="407" customFormat="1" ht="12" hidden="1" customHeight="1" outlineLevel="2">
      <c r="A527" s="508"/>
      <c r="B527" s="553"/>
      <c r="C527" s="554"/>
      <c r="D527" s="577" t="s">
        <v>2020</v>
      </c>
      <c r="E527" s="555" t="s">
        <v>2021</v>
      </c>
      <c r="F527" s="553" t="s">
        <v>48</v>
      </c>
      <c r="G527" s="556" t="str">
        <f t="shared" si="28"/>
        <v>BB01-5</v>
      </c>
      <c r="H527" s="557">
        <v>5</v>
      </c>
      <c r="I527" s="506"/>
      <c r="J527" s="395">
        <v>1</v>
      </c>
      <c r="K527" s="397" t="s">
        <v>610</v>
      </c>
      <c r="L527" s="395"/>
      <c r="M527" s="395"/>
      <c r="N527" s="395"/>
      <c r="O527" s="395"/>
      <c r="P527" s="395"/>
      <c r="Q527" s="395"/>
      <c r="R527" s="395"/>
      <c r="S527" s="395"/>
      <c r="T527" s="395"/>
      <c r="U527" s="395"/>
    </row>
    <row r="528" spans="1:21" s="407" customFormat="1" ht="12" hidden="1" customHeight="1" outlineLevel="2">
      <c r="A528" s="508"/>
      <c r="B528" s="553"/>
      <c r="C528" s="554"/>
      <c r="D528" s="577" t="s">
        <v>2022</v>
      </c>
      <c r="E528" s="555" t="s">
        <v>2023</v>
      </c>
      <c r="F528" s="553" t="s">
        <v>48</v>
      </c>
      <c r="G528" s="556" t="str">
        <f t="shared" si="28"/>
        <v>BB01-5</v>
      </c>
      <c r="H528" s="557">
        <v>5</v>
      </c>
      <c r="I528" s="506"/>
      <c r="J528" s="395">
        <v>1</v>
      </c>
      <c r="K528" s="397" t="s">
        <v>610</v>
      </c>
      <c r="L528" s="395"/>
      <c r="M528" s="395"/>
      <c r="N528" s="395"/>
      <c r="O528" s="395"/>
      <c r="P528" s="395"/>
      <c r="Q528" s="395"/>
      <c r="R528" s="395"/>
      <c r="S528" s="395"/>
      <c r="T528" s="395"/>
      <c r="U528" s="395"/>
    </row>
    <row r="529" spans="1:21" s="407" customFormat="1" ht="12" hidden="1" customHeight="1" outlineLevel="2">
      <c r="A529" s="508"/>
      <c r="B529" s="553"/>
      <c r="C529" s="554"/>
      <c r="D529" s="577" t="s">
        <v>2024</v>
      </c>
      <c r="E529" s="555" t="s">
        <v>2025</v>
      </c>
      <c r="F529" s="553" t="s">
        <v>48</v>
      </c>
      <c r="G529" s="556" t="str">
        <f t="shared" si="28"/>
        <v>BB01-5</v>
      </c>
      <c r="H529" s="557">
        <v>5</v>
      </c>
      <c r="I529" s="506"/>
      <c r="J529" s="395">
        <v>1</v>
      </c>
      <c r="K529" s="397" t="s">
        <v>610</v>
      </c>
      <c r="L529" s="395"/>
      <c r="M529" s="395"/>
      <c r="N529" s="395"/>
      <c r="O529" s="395"/>
      <c r="P529" s="395"/>
      <c r="Q529" s="395"/>
      <c r="R529" s="395"/>
      <c r="S529" s="395"/>
      <c r="T529" s="395"/>
      <c r="U529" s="395"/>
    </row>
    <row r="530" spans="1:21" s="407" customFormat="1" ht="12" hidden="1" customHeight="1" outlineLevel="2">
      <c r="A530" s="508"/>
      <c r="B530" s="553"/>
      <c r="C530" s="554"/>
      <c r="D530" s="577" t="s">
        <v>2026</v>
      </c>
      <c r="E530" s="555" t="s">
        <v>2027</v>
      </c>
      <c r="F530" s="553" t="s">
        <v>48</v>
      </c>
      <c r="G530" s="556" t="str">
        <f t="shared" si="28"/>
        <v>BB01-5</v>
      </c>
      <c r="H530" s="557">
        <v>5</v>
      </c>
      <c r="I530" s="506"/>
      <c r="J530" s="395">
        <v>1</v>
      </c>
      <c r="K530" s="397" t="s">
        <v>610</v>
      </c>
      <c r="L530" s="395"/>
      <c r="M530" s="395"/>
      <c r="N530" s="395"/>
      <c r="O530" s="395"/>
      <c r="P530" s="395"/>
      <c r="Q530" s="395"/>
      <c r="R530" s="395"/>
      <c r="S530" s="395"/>
      <c r="T530" s="395"/>
      <c r="U530" s="395"/>
    </row>
    <row r="531" spans="1:21" s="407" customFormat="1" ht="12" hidden="1" customHeight="1" outlineLevel="2">
      <c r="A531" s="508"/>
      <c r="B531" s="553"/>
      <c r="C531" s="554"/>
      <c r="D531" s="577" t="s">
        <v>2028</v>
      </c>
      <c r="E531" s="555" t="s">
        <v>2029</v>
      </c>
      <c r="F531" s="553" t="s">
        <v>48</v>
      </c>
      <c r="G531" s="556" t="str">
        <f t="shared" si="28"/>
        <v>BB01-5</v>
      </c>
      <c r="H531" s="557">
        <v>5</v>
      </c>
      <c r="I531" s="506"/>
      <c r="J531" s="395">
        <v>1</v>
      </c>
      <c r="K531" s="397" t="s">
        <v>610</v>
      </c>
      <c r="L531" s="395"/>
      <c r="M531" s="395"/>
      <c r="N531" s="395"/>
      <c r="O531" s="395"/>
      <c r="P531" s="395"/>
      <c r="Q531" s="395"/>
      <c r="R531" s="395"/>
      <c r="S531" s="395"/>
      <c r="T531" s="395"/>
      <c r="U531" s="395"/>
    </row>
    <row r="532" spans="1:21" s="407" customFormat="1" ht="12" hidden="1" customHeight="1" outlineLevel="2">
      <c r="A532" s="508"/>
      <c r="B532" s="553"/>
      <c r="C532" s="554"/>
      <c r="D532" s="577" t="s">
        <v>2030</v>
      </c>
      <c r="E532" s="555" t="s">
        <v>2031</v>
      </c>
      <c r="F532" s="553" t="s">
        <v>48</v>
      </c>
      <c r="G532" s="556" t="str">
        <f t="shared" si="28"/>
        <v>BB01-5</v>
      </c>
      <c r="H532" s="557">
        <v>5</v>
      </c>
      <c r="I532" s="506"/>
      <c r="J532" s="395">
        <v>1</v>
      </c>
      <c r="K532" s="397" t="s">
        <v>610</v>
      </c>
      <c r="L532" s="395"/>
      <c r="M532" s="395"/>
      <c r="N532" s="395"/>
      <c r="O532" s="395"/>
      <c r="P532" s="395"/>
      <c r="Q532" s="395"/>
      <c r="R532" s="395"/>
      <c r="S532" s="395"/>
      <c r="T532" s="395"/>
      <c r="U532" s="395"/>
    </row>
    <row r="533" spans="1:21" s="407" customFormat="1" ht="12" hidden="1" customHeight="1" outlineLevel="2">
      <c r="A533" s="508"/>
      <c r="B533" s="553"/>
      <c r="C533" s="554"/>
      <c r="D533" s="577" t="s">
        <v>2032</v>
      </c>
      <c r="E533" s="555" t="s">
        <v>2033</v>
      </c>
      <c r="F533" s="553" t="s">
        <v>48</v>
      </c>
      <c r="G533" s="556" t="str">
        <f t="shared" si="28"/>
        <v>BB01-5</v>
      </c>
      <c r="H533" s="557">
        <v>5</v>
      </c>
      <c r="I533" s="506"/>
      <c r="J533" s="395">
        <v>1</v>
      </c>
      <c r="K533" s="397" t="s">
        <v>610</v>
      </c>
      <c r="L533" s="395"/>
      <c r="M533" s="395"/>
      <c r="N533" s="395"/>
      <c r="O533" s="395"/>
      <c r="P533" s="395"/>
      <c r="Q533" s="395"/>
      <c r="R533" s="395"/>
      <c r="S533" s="395"/>
      <c r="T533" s="395"/>
      <c r="U533" s="395"/>
    </row>
    <row r="534" spans="1:21" s="407" customFormat="1" ht="12" hidden="1" customHeight="1" outlineLevel="2">
      <c r="A534" s="508"/>
      <c r="B534" s="553"/>
      <c r="C534" s="554"/>
      <c r="D534" s="577" t="s">
        <v>2034</v>
      </c>
      <c r="E534" s="555" t="s">
        <v>2035</v>
      </c>
      <c r="F534" s="553" t="s">
        <v>48</v>
      </c>
      <c r="G534" s="556" t="str">
        <f t="shared" si="28"/>
        <v>BB01-5</v>
      </c>
      <c r="H534" s="557">
        <v>5</v>
      </c>
      <c r="I534" s="506"/>
      <c r="J534" s="395">
        <v>1</v>
      </c>
      <c r="K534" s="397" t="s">
        <v>610</v>
      </c>
      <c r="L534" s="395"/>
      <c r="M534" s="395"/>
      <c r="N534" s="395"/>
      <c r="O534" s="395"/>
      <c r="P534" s="395"/>
      <c r="Q534" s="395"/>
      <c r="R534" s="395"/>
      <c r="S534" s="395"/>
      <c r="T534" s="395"/>
      <c r="U534" s="395"/>
    </row>
    <row r="535" spans="1:21" s="407" customFormat="1" ht="12" hidden="1" customHeight="1" outlineLevel="2">
      <c r="A535" s="508"/>
      <c r="B535" s="553"/>
      <c r="C535" s="554"/>
      <c r="D535" s="577" t="s">
        <v>2036</v>
      </c>
      <c r="E535" s="555" t="s">
        <v>2037</v>
      </c>
      <c r="F535" s="553" t="s">
        <v>48</v>
      </c>
      <c r="G535" s="556" t="str">
        <f t="shared" si="28"/>
        <v>BB01-5</v>
      </c>
      <c r="H535" s="557">
        <v>5</v>
      </c>
      <c r="I535" s="506"/>
      <c r="J535" s="395">
        <v>1</v>
      </c>
      <c r="K535" s="397" t="s">
        <v>610</v>
      </c>
      <c r="L535" s="395"/>
      <c r="M535" s="395"/>
      <c r="N535" s="395"/>
      <c r="O535" s="395"/>
      <c r="P535" s="395"/>
      <c r="Q535" s="395"/>
      <c r="R535" s="395"/>
      <c r="S535" s="395"/>
      <c r="T535" s="395"/>
      <c r="U535" s="395"/>
    </row>
    <row r="536" spans="1:21" s="407" customFormat="1" ht="12" hidden="1" customHeight="1" outlineLevel="2">
      <c r="A536" s="508"/>
      <c r="B536" s="553"/>
      <c r="C536" s="554"/>
      <c r="D536" s="577" t="s">
        <v>2038</v>
      </c>
      <c r="E536" s="555" t="s">
        <v>2039</v>
      </c>
      <c r="F536" s="553" t="s">
        <v>48</v>
      </c>
      <c r="G536" s="556" t="str">
        <f t="shared" si="28"/>
        <v>BB01-5</v>
      </c>
      <c r="H536" s="557">
        <v>5</v>
      </c>
      <c r="I536" s="506"/>
      <c r="J536" s="395">
        <v>1</v>
      </c>
      <c r="K536" s="397" t="s">
        <v>610</v>
      </c>
      <c r="L536" s="395"/>
      <c r="M536" s="395"/>
      <c r="N536" s="395"/>
      <c r="O536" s="395"/>
      <c r="P536" s="395"/>
      <c r="Q536" s="395"/>
      <c r="R536" s="395"/>
      <c r="S536" s="395"/>
      <c r="T536" s="395"/>
      <c r="U536" s="395"/>
    </row>
    <row r="537" spans="1:21" s="407" customFormat="1" ht="12" hidden="1" customHeight="1" outlineLevel="2">
      <c r="A537" s="508"/>
      <c r="B537" s="553"/>
      <c r="C537" s="554"/>
      <c r="D537" s="577" t="s">
        <v>2040</v>
      </c>
      <c r="E537" s="555" t="s">
        <v>2041</v>
      </c>
      <c r="F537" s="553" t="s">
        <v>48</v>
      </c>
      <c r="G537" s="556" t="str">
        <f t="shared" si="28"/>
        <v>BB01-5</v>
      </c>
      <c r="H537" s="557">
        <v>5</v>
      </c>
      <c r="I537" s="506"/>
      <c r="J537" s="395">
        <v>1</v>
      </c>
      <c r="K537" s="397" t="s">
        <v>610</v>
      </c>
      <c r="L537" s="395"/>
      <c r="M537" s="395"/>
      <c r="N537" s="395"/>
      <c r="O537" s="395"/>
      <c r="P537" s="395"/>
      <c r="Q537" s="395"/>
      <c r="R537" s="395"/>
      <c r="S537" s="395"/>
      <c r="T537" s="395"/>
      <c r="U537" s="395"/>
    </row>
    <row r="538" spans="1:21" s="407" customFormat="1" ht="12" hidden="1" customHeight="1" outlineLevel="2">
      <c r="A538" s="508"/>
      <c r="B538" s="553"/>
      <c r="C538" s="554"/>
      <c r="D538" s="577" t="s">
        <v>2042</v>
      </c>
      <c r="E538" s="555" t="s">
        <v>2043</v>
      </c>
      <c r="F538" s="553" t="s">
        <v>48</v>
      </c>
      <c r="G538" s="556" t="str">
        <f t="shared" si="28"/>
        <v>BB01-5</v>
      </c>
      <c r="H538" s="557">
        <v>5</v>
      </c>
      <c r="I538" s="506"/>
      <c r="J538" s="395">
        <v>1</v>
      </c>
      <c r="K538" s="397" t="s">
        <v>610</v>
      </c>
      <c r="L538" s="395"/>
      <c r="M538" s="395"/>
      <c r="N538" s="395"/>
      <c r="O538" s="395"/>
      <c r="P538" s="395"/>
      <c r="Q538" s="395"/>
      <c r="R538" s="395"/>
      <c r="S538" s="395"/>
      <c r="T538" s="395"/>
      <c r="U538" s="395"/>
    </row>
    <row r="539" spans="1:21" s="407" customFormat="1" ht="12" hidden="1" customHeight="1" outlineLevel="2">
      <c r="A539" s="508"/>
      <c r="B539" s="553"/>
      <c r="C539" s="554"/>
      <c r="D539" s="577" t="s">
        <v>2044</v>
      </c>
      <c r="E539" s="555" t="s">
        <v>2045</v>
      </c>
      <c r="F539" s="553" t="s">
        <v>48</v>
      </c>
      <c r="G539" s="556" t="str">
        <f t="shared" si="28"/>
        <v>BB01-5</v>
      </c>
      <c r="H539" s="557">
        <v>5</v>
      </c>
      <c r="I539" s="506"/>
      <c r="J539" s="395">
        <v>1</v>
      </c>
      <c r="K539" s="397" t="s">
        <v>610</v>
      </c>
      <c r="L539" s="395"/>
      <c r="M539" s="395"/>
      <c r="N539" s="395"/>
      <c r="O539" s="395"/>
      <c r="P539" s="395"/>
      <c r="Q539" s="395"/>
      <c r="R539" s="395"/>
      <c r="S539" s="395"/>
      <c r="T539" s="395"/>
      <c r="U539" s="395"/>
    </row>
    <row r="540" spans="1:21" s="407" customFormat="1" ht="12" hidden="1" customHeight="1" outlineLevel="2">
      <c r="A540" s="508"/>
      <c r="B540" s="553"/>
      <c r="C540" s="554"/>
      <c r="D540" s="577" t="s">
        <v>2046</v>
      </c>
      <c r="E540" s="555" t="s">
        <v>2047</v>
      </c>
      <c r="F540" s="553" t="s">
        <v>48</v>
      </c>
      <c r="G540" s="556" t="str">
        <f t="shared" si="28"/>
        <v>BB01-5</v>
      </c>
      <c r="H540" s="557">
        <v>5</v>
      </c>
      <c r="I540" s="506"/>
      <c r="J540" s="395">
        <v>1</v>
      </c>
      <c r="K540" s="397" t="s">
        <v>610</v>
      </c>
      <c r="L540" s="395"/>
      <c r="M540" s="395"/>
      <c r="N540" s="395"/>
      <c r="O540" s="395"/>
      <c r="P540" s="395"/>
      <c r="Q540" s="395"/>
      <c r="R540" s="395"/>
      <c r="S540" s="395"/>
      <c r="T540" s="395"/>
      <c r="U540" s="395"/>
    </row>
    <row r="541" spans="1:21" s="407" customFormat="1" ht="12" hidden="1" customHeight="1" outlineLevel="2">
      <c r="A541" s="508"/>
      <c r="B541" s="553"/>
      <c r="C541" s="554"/>
      <c r="D541" s="577" t="s">
        <v>2048</v>
      </c>
      <c r="E541" s="555" t="s">
        <v>2049</v>
      </c>
      <c r="F541" s="553" t="s">
        <v>48</v>
      </c>
      <c r="G541" s="556" t="str">
        <f t="shared" si="28"/>
        <v>BB01-5</v>
      </c>
      <c r="H541" s="557">
        <v>5</v>
      </c>
      <c r="I541" s="506"/>
      <c r="J541" s="395">
        <v>1</v>
      </c>
      <c r="K541" s="397" t="s">
        <v>193</v>
      </c>
      <c r="L541" s="395"/>
      <c r="M541" s="395"/>
      <c r="N541" s="395"/>
      <c r="O541" s="395"/>
      <c r="P541" s="395"/>
      <c r="Q541" s="395"/>
      <c r="R541" s="395"/>
      <c r="S541" s="395"/>
      <c r="T541" s="395"/>
      <c r="U541" s="395"/>
    </row>
    <row r="542" spans="1:21" s="407" customFormat="1" ht="12" hidden="1" customHeight="1" outlineLevel="2">
      <c r="A542" s="508"/>
      <c r="B542" s="553"/>
      <c r="C542" s="554"/>
      <c r="D542" s="577" t="s">
        <v>2050</v>
      </c>
      <c r="E542" s="555" t="s">
        <v>2051</v>
      </c>
      <c r="F542" s="553" t="s">
        <v>48</v>
      </c>
      <c r="G542" s="556" t="str">
        <f t="shared" si="28"/>
        <v>BB01-5</v>
      </c>
      <c r="H542" s="557">
        <v>5</v>
      </c>
      <c r="I542" s="506"/>
      <c r="J542" s="395">
        <v>1</v>
      </c>
      <c r="K542" s="397" t="s">
        <v>193</v>
      </c>
      <c r="L542" s="395"/>
      <c r="M542" s="395"/>
      <c r="N542" s="395"/>
      <c r="O542" s="395"/>
      <c r="P542" s="395"/>
      <c r="Q542" s="395"/>
      <c r="R542" s="395"/>
      <c r="S542" s="395"/>
      <c r="T542" s="395"/>
      <c r="U542" s="395"/>
    </row>
    <row r="543" spans="1:21" s="407" customFormat="1" ht="12" hidden="1" customHeight="1" outlineLevel="2">
      <c r="A543" s="508"/>
      <c r="B543" s="553"/>
      <c r="C543" s="554"/>
      <c r="D543" s="577" t="s">
        <v>2052</v>
      </c>
      <c r="E543" s="555" t="s">
        <v>2053</v>
      </c>
      <c r="F543" s="553" t="s">
        <v>48</v>
      </c>
      <c r="G543" s="556" t="str">
        <f t="shared" si="28"/>
        <v>BB01-5</v>
      </c>
      <c r="H543" s="557">
        <v>5</v>
      </c>
      <c r="I543" s="506"/>
      <c r="J543" s="395">
        <v>1</v>
      </c>
      <c r="K543" s="397" t="s">
        <v>610</v>
      </c>
      <c r="L543" s="395"/>
      <c r="M543" s="395"/>
      <c r="N543" s="395"/>
      <c r="O543" s="395"/>
      <c r="P543" s="395"/>
      <c r="Q543" s="395"/>
      <c r="R543" s="395"/>
      <c r="S543" s="395"/>
      <c r="T543" s="395"/>
      <c r="U543" s="395"/>
    </row>
    <row r="544" spans="1:21" s="407" customFormat="1" ht="12" hidden="1" customHeight="1" outlineLevel="2">
      <c r="A544" s="508"/>
      <c r="B544" s="553"/>
      <c r="C544" s="554"/>
      <c r="D544" s="577" t="s">
        <v>2054</v>
      </c>
      <c r="E544" s="555" t="s">
        <v>2055</v>
      </c>
      <c r="F544" s="553" t="s">
        <v>48</v>
      </c>
      <c r="G544" s="556" t="str">
        <f t="shared" si="28"/>
        <v>BB01-5</v>
      </c>
      <c r="H544" s="557">
        <v>5</v>
      </c>
      <c r="I544" s="506"/>
      <c r="J544" s="395">
        <v>1</v>
      </c>
      <c r="K544" s="397" t="s">
        <v>610</v>
      </c>
      <c r="L544" s="395"/>
      <c r="M544" s="395"/>
      <c r="N544" s="395"/>
      <c r="O544" s="395"/>
      <c r="P544" s="395"/>
      <c r="Q544" s="395"/>
      <c r="R544" s="395"/>
      <c r="S544" s="395"/>
      <c r="T544" s="395"/>
      <c r="U544" s="395"/>
    </row>
    <row r="545" spans="1:21" s="407" customFormat="1" ht="12" hidden="1" customHeight="1" outlineLevel="2">
      <c r="A545" s="508"/>
      <c r="B545" s="553"/>
      <c r="C545" s="554"/>
      <c r="D545" s="577" t="s">
        <v>2056</v>
      </c>
      <c r="E545" s="555" t="s">
        <v>2057</v>
      </c>
      <c r="F545" s="553" t="s">
        <v>48</v>
      </c>
      <c r="G545" s="556" t="str">
        <f t="shared" si="28"/>
        <v>BB01-5</v>
      </c>
      <c r="H545" s="557">
        <v>5</v>
      </c>
      <c r="I545" s="506"/>
      <c r="J545" s="395">
        <v>1</v>
      </c>
      <c r="K545" s="397" t="s">
        <v>290</v>
      </c>
      <c r="L545" s="395"/>
      <c r="M545" s="395"/>
      <c r="N545" s="395"/>
      <c r="O545" s="395"/>
      <c r="P545" s="395"/>
      <c r="Q545" s="395"/>
      <c r="R545" s="395"/>
      <c r="S545" s="395"/>
      <c r="T545" s="395"/>
      <c r="U545" s="395"/>
    </row>
    <row r="546" spans="1:21" s="407" customFormat="1" ht="12" hidden="1" customHeight="1" outlineLevel="2">
      <c r="A546" s="508"/>
      <c r="B546" s="553"/>
      <c r="C546" s="554"/>
      <c r="D546" s="577" t="s">
        <v>2058</v>
      </c>
      <c r="E546" s="555" t="s">
        <v>2059</v>
      </c>
      <c r="F546" s="553" t="s">
        <v>48</v>
      </c>
      <c r="G546" s="556" t="str">
        <f t="shared" ref="G546" si="30">CONCATENATE(F546,"-",H546)</f>
        <v>BB01-5</v>
      </c>
      <c r="H546" s="557">
        <v>5</v>
      </c>
      <c r="I546" s="506"/>
      <c r="J546" s="395">
        <v>1</v>
      </c>
      <c r="K546" s="397" t="s">
        <v>1222</v>
      </c>
      <c r="L546" s="395"/>
      <c r="M546" s="395"/>
      <c r="N546" s="395"/>
      <c r="O546" s="395"/>
      <c r="P546" s="395"/>
      <c r="Q546" s="395"/>
      <c r="R546" s="395"/>
      <c r="S546" s="395"/>
      <c r="T546" s="395"/>
      <c r="U546" s="395"/>
    </row>
    <row r="547" spans="1:21" s="407" customFormat="1" ht="12" hidden="1" customHeight="1" outlineLevel="2">
      <c r="A547" s="508"/>
      <c r="B547" s="553"/>
      <c r="C547" s="554"/>
      <c r="D547" s="577" t="s">
        <v>2060</v>
      </c>
      <c r="E547" s="555" t="s">
        <v>2061</v>
      </c>
      <c r="F547" s="553" t="s">
        <v>48</v>
      </c>
      <c r="G547" s="556" t="str">
        <f t="shared" si="28"/>
        <v>BB01-5</v>
      </c>
      <c r="H547" s="557">
        <v>5</v>
      </c>
      <c r="I547" s="506"/>
      <c r="J547" s="395">
        <v>1</v>
      </c>
      <c r="K547" s="397" t="s">
        <v>610</v>
      </c>
      <c r="L547" s="395"/>
      <c r="M547" s="395"/>
      <c r="N547" s="395"/>
      <c r="O547" s="395"/>
      <c r="P547" s="395"/>
      <c r="Q547" s="395"/>
      <c r="R547" s="395"/>
      <c r="S547" s="395"/>
      <c r="T547" s="395"/>
      <c r="U547" s="395"/>
    </row>
    <row r="548" spans="1:21" s="407" customFormat="1" ht="12" hidden="1" customHeight="1" outlineLevel="2">
      <c r="A548" s="508"/>
      <c r="B548" s="553"/>
      <c r="C548" s="554"/>
      <c r="D548" s="577" t="s">
        <v>2062</v>
      </c>
      <c r="E548" s="555" t="s">
        <v>2063</v>
      </c>
      <c r="F548" s="553" t="s">
        <v>48</v>
      </c>
      <c r="G548" s="556" t="str">
        <f t="shared" si="28"/>
        <v>BB01-5</v>
      </c>
      <c r="H548" s="557">
        <v>5</v>
      </c>
      <c r="I548" s="506"/>
      <c r="J548" s="395">
        <v>1</v>
      </c>
      <c r="K548" s="397" t="s">
        <v>290</v>
      </c>
      <c r="L548" s="395"/>
      <c r="M548" s="395"/>
      <c r="N548" s="395"/>
      <c r="O548" s="395"/>
      <c r="P548" s="395"/>
      <c r="Q548" s="395"/>
      <c r="R548" s="395"/>
      <c r="S548" s="395"/>
      <c r="T548" s="395"/>
      <c r="U548" s="395"/>
    </row>
    <row r="549" spans="1:21" s="407" customFormat="1" ht="12" hidden="1" customHeight="1" outlineLevel="2">
      <c r="A549" s="508"/>
      <c r="B549" s="553"/>
      <c r="C549" s="554"/>
      <c r="D549" s="577" t="s">
        <v>2064</v>
      </c>
      <c r="E549" s="555" t="s">
        <v>2065</v>
      </c>
      <c r="F549" s="553" t="s">
        <v>48</v>
      </c>
      <c r="G549" s="556" t="str">
        <f t="shared" si="28"/>
        <v>BB01-5</v>
      </c>
      <c r="H549" s="557">
        <v>5</v>
      </c>
      <c r="I549" s="506"/>
      <c r="J549" s="395">
        <v>1</v>
      </c>
      <c r="K549" s="397" t="s">
        <v>290</v>
      </c>
      <c r="L549" s="395"/>
      <c r="M549" s="395"/>
      <c r="N549" s="395"/>
      <c r="O549" s="395"/>
      <c r="P549" s="395"/>
      <c r="Q549" s="395"/>
      <c r="R549" s="395"/>
      <c r="S549" s="395"/>
      <c r="T549" s="395"/>
      <c r="U549" s="395"/>
    </row>
    <row r="550" spans="1:21" s="407" customFormat="1" ht="12" hidden="1" customHeight="1" outlineLevel="2">
      <c r="A550" s="508"/>
      <c r="B550" s="553"/>
      <c r="C550" s="554"/>
      <c r="D550" s="577" t="s">
        <v>2066</v>
      </c>
      <c r="E550" s="555" t="s">
        <v>2067</v>
      </c>
      <c r="F550" s="553" t="s">
        <v>48</v>
      </c>
      <c r="G550" s="556" t="str">
        <f t="shared" ref="G550" si="31">CONCATENATE(F550,"-",H550)</f>
        <v>BB01-5</v>
      </c>
      <c r="H550" s="557">
        <v>5</v>
      </c>
      <c r="I550" s="506"/>
      <c r="J550" s="395">
        <v>1</v>
      </c>
      <c r="K550" s="397" t="s">
        <v>290</v>
      </c>
      <c r="L550" s="395"/>
      <c r="M550" s="395"/>
      <c r="N550" s="395"/>
      <c r="O550" s="395"/>
      <c r="P550" s="395"/>
      <c r="Q550" s="395"/>
      <c r="R550" s="395"/>
      <c r="S550" s="395"/>
      <c r="T550" s="395"/>
      <c r="U550" s="395"/>
    </row>
    <row r="551" spans="1:21" s="407" customFormat="1" ht="12" hidden="1" customHeight="1" outlineLevel="2">
      <c r="A551" s="508"/>
      <c r="B551" s="553"/>
      <c r="C551" s="554"/>
      <c r="D551" s="577" t="s">
        <v>2068</v>
      </c>
      <c r="E551" s="555" t="s">
        <v>2069</v>
      </c>
      <c r="F551" s="553" t="s">
        <v>48</v>
      </c>
      <c r="G551" s="556" t="str">
        <f t="shared" si="28"/>
        <v>BB01-5</v>
      </c>
      <c r="H551" s="557">
        <v>5</v>
      </c>
      <c r="I551" s="506"/>
      <c r="J551" s="395">
        <v>1</v>
      </c>
      <c r="K551" s="397" t="s">
        <v>610</v>
      </c>
      <c r="L551" s="395"/>
      <c r="M551" s="395"/>
      <c r="N551" s="395"/>
      <c r="O551" s="395"/>
      <c r="P551" s="395"/>
      <c r="Q551" s="395"/>
      <c r="R551" s="395"/>
      <c r="S551" s="395"/>
      <c r="T551" s="395"/>
      <c r="U551" s="395"/>
    </row>
    <row r="552" spans="1:21" s="407" customFormat="1" ht="12" hidden="1" customHeight="1" outlineLevel="2">
      <c r="A552" s="508"/>
      <c r="B552" s="553"/>
      <c r="C552" s="554"/>
      <c r="D552" s="577" t="s">
        <v>2070</v>
      </c>
      <c r="E552" s="555" t="s">
        <v>2071</v>
      </c>
      <c r="F552" s="553" t="s">
        <v>48</v>
      </c>
      <c r="G552" s="556" t="str">
        <f t="shared" si="28"/>
        <v>BB01-5</v>
      </c>
      <c r="H552" s="557">
        <v>5</v>
      </c>
      <c r="I552" s="506"/>
      <c r="J552" s="395">
        <v>1</v>
      </c>
      <c r="K552" s="397" t="s">
        <v>610</v>
      </c>
      <c r="L552" s="395"/>
      <c r="M552" s="395"/>
      <c r="N552" s="395"/>
      <c r="O552" s="395"/>
      <c r="P552" s="395"/>
      <c r="Q552" s="395"/>
      <c r="R552" s="395"/>
      <c r="S552" s="395"/>
      <c r="T552" s="395"/>
      <c r="U552" s="395"/>
    </row>
    <row r="553" spans="1:21" s="407" customFormat="1" ht="12" hidden="1" customHeight="1" outlineLevel="2">
      <c r="A553" s="508"/>
      <c r="B553" s="553"/>
      <c r="C553" s="554"/>
      <c r="D553" s="577" t="s">
        <v>2072</v>
      </c>
      <c r="E553" s="555" t="s">
        <v>2073</v>
      </c>
      <c r="F553" s="553" t="s">
        <v>48</v>
      </c>
      <c r="G553" s="556" t="str">
        <f t="shared" si="28"/>
        <v>BB01-5</v>
      </c>
      <c r="H553" s="557">
        <v>5</v>
      </c>
      <c r="I553" s="506"/>
      <c r="J553" s="395">
        <v>1</v>
      </c>
      <c r="K553" s="397" t="s">
        <v>610</v>
      </c>
      <c r="L553" s="395"/>
      <c r="M553" s="395"/>
      <c r="N553" s="395"/>
      <c r="O553" s="395"/>
      <c r="P553" s="395"/>
      <c r="Q553" s="395"/>
      <c r="R553" s="395"/>
      <c r="S553" s="395"/>
      <c r="T553" s="395"/>
      <c r="U553" s="395"/>
    </row>
    <row r="554" spans="1:21" s="407" customFormat="1" ht="12" hidden="1" customHeight="1" outlineLevel="2">
      <c r="A554" s="508"/>
      <c r="B554" s="553"/>
      <c r="C554" s="554"/>
      <c r="D554" s="577" t="s">
        <v>2074</v>
      </c>
      <c r="E554" s="555" t="s">
        <v>2075</v>
      </c>
      <c r="F554" s="553" t="s">
        <v>48</v>
      </c>
      <c r="G554" s="556" t="str">
        <f t="shared" si="28"/>
        <v>BB01-5</v>
      </c>
      <c r="H554" s="557">
        <v>5</v>
      </c>
      <c r="I554" s="506"/>
      <c r="J554" s="395">
        <v>1</v>
      </c>
      <c r="K554" s="397" t="s">
        <v>610</v>
      </c>
      <c r="L554" s="395"/>
      <c r="M554" s="395"/>
      <c r="N554" s="395"/>
      <c r="O554" s="395"/>
      <c r="P554" s="395"/>
      <c r="Q554" s="395"/>
      <c r="R554" s="395"/>
      <c r="S554" s="395"/>
      <c r="T554" s="395"/>
      <c r="U554" s="395"/>
    </row>
    <row r="555" spans="1:21" s="407" customFormat="1" ht="12" hidden="1" customHeight="1" outlineLevel="2">
      <c r="A555" s="508"/>
      <c r="B555" s="553"/>
      <c r="C555" s="554"/>
      <c r="D555" s="577" t="s">
        <v>2076</v>
      </c>
      <c r="E555" s="555" t="s">
        <v>2077</v>
      </c>
      <c r="F555" s="553" t="s">
        <v>48</v>
      </c>
      <c r="G555" s="556" t="str">
        <f t="shared" si="28"/>
        <v>BB01-5</v>
      </c>
      <c r="H555" s="557">
        <v>5</v>
      </c>
      <c r="I555" s="506"/>
      <c r="J555" s="395">
        <v>1</v>
      </c>
      <c r="K555" s="397" t="s">
        <v>610</v>
      </c>
      <c r="L555" s="395"/>
      <c r="M555" s="395"/>
      <c r="N555" s="395"/>
      <c r="O555" s="395"/>
      <c r="P555" s="395"/>
      <c r="Q555" s="395"/>
      <c r="R555" s="395"/>
      <c r="S555" s="395"/>
      <c r="T555" s="395"/>
      <c r="U555" s="395"/>
    </row>
    <row r="556" spans="1:21" s="407" customFormat="1" ht="12" hidden="1" customHeight="1" outlineLevel="2">
      <c r="A556" s="508"/>
      <c r="B556" s="553"/>
      <c r="C556" s="554"/>
      <c r="D556" s="577" t="s">
        <v>2078</v>
      </c>
      <c r="E556" s="555" t="s">
        <v>2079</v>
      </c>
      <c r="F556" s="553" t="s">
        <v>48</v>
      </c>
      <c r="G556" s="556" t="str">
        <f t="shared" si="28"/>
        <v>BB01-5</v>
      </c>
      <c r="H556" s="557">
        <v>5</v>
      </c>
      <c r="I556" s="506"/>
      <c r="J556" s="395">
        <v>1</v>
      </c>
      <c r="K556" s="397" t="s">
        <v>610</v>
      </c>
      <c r="L556" s="395"/>
      <c r="M556" s="395"/>
      <c r="N556" s="395"/>
      <c r="O556" s="395"/>
      <c r="P556" s="395"/>
      <c r="Q556" s="395"/>
      <c r="R556" s="395"/>
      <c r="S556" s="395"/>
      <c r="T556" s="395"/>
      <c r="U556" s="395"/>
    </row>
    <row r="557" spans="1:21" s="407" customFormat="1" ht="12" hidden="1" customHeight="1" outlineLevel="2">
      <c r="A557" s="508"/>
      <c r="B557" s="553"/>
      <c r="C557" s="554"/>
      <c r="D557" s="577" t="s">
        <v>2080</v>
      </c>
      <c r="E557" s="555" t="s">
        <v>2081</v>
      </c>
      <c r="F557" s="553" t="s">
        <v>48</v>
      </c>
      <c r="G557" s="556" t="str">
        <f t="shared" si="28"/>
        <v>BB01-5</v>
      </c>
      <c r="H557" s="557">
        <v>5</v>
      </c>
      <c r="I557" s="506"/>
      <c r="J557" s="395">
        <v>1</v>
      </c>
      <c r="K557" s="397" t="s">
        <v>610</v>
      </c>
      <c r="L557" s="395"/>
      <c r="M557" s="395"/>
      <c r="N557" s="395"/>
      <c r="O557" s="395"/>
      <c r="P557" s="395"/>
      <c r="Q557" s="395"/>
      <c r="R557" s="395"/>
      <c r="S557" s="395"/>
      <c r="T557" s="395"/>
      <c r="U557" s="395"/>
    </row>
    <row r="558" spans="1:21" s="407" customFormat="1" ht="12" hidden="1" customHeight="1" outlineLevel="2">
      <c r="A558" s="508"/>
      <c r="B558" s="553"/>
      <c r="C558" s="554"/>
      <c r="D558" s="577" t="s">
        <v>2082</v>
      </c>
      <c r="E558" s="555" t="s">
        <v>2083</v>
      </c>
      <c r="F558" s="553" t="s">
        <v>48</v>
      </c>
      <c r="G558" s="556" t="str">
        <f t="shared" si="28"/>
        <v>BB01-5</v>
      </c>
      <c r="H558" s="557">
        <v>5</v>
      </c>
      <c r="I558" s="506"/>
      <c r="J558" s="395">
        <v>1</v>
      </c>
      <c r="K558" s="397" t="s">
        <v>610</v>
      </c>
      <c r="L558" s="395"/>
      <c r="M558" s="395"/>
      <c r="N558" s="395"/>
      <c r="O558" s="395"/>
      <c r="P558" s="395"/>
      <c r="Q558" s="395"/>
      <c r="R558" s="395"/>
      <c r="S558" s="395"/>
      <c r="T558" s="395"/>
      <c r="U558" s="395"/>
    </row>
    <row r="559" spans="1:21" s="407" customFormat="1" ht="12" hidden="1" customHeight="1" outlineLevel="2">
      <c r="A559" s="508"/>
      <c r="B559" s="553"/>
      <c r="C559" s="554"/>
      <c r="D559" s="577" t="s">
        <v>1965</v>
      </c>
      <c r="E559" s="555" t="s">
        <v>2084</v>
      </c>
      <c r="F559" s="553" t="s">
        <v>48</v>
      </c>
      <c r="G559" s="556" t="str">
        <f t="shared" si="28"/>
        <v>BB01-5</v>
      </c>
      <c r="H559" s="557">
        <v>5</v>
      </c>
      <c r="I559" s="506"/>
      <c r="J559" s="395">
        <v>1</v>
      </c>
      <c r="K559" s="397" t="s">
        <v>193</v>
      </c>
      <c r="L559" s="395"/>
      <c r="M559" s="395"/>
      <c r="N559" s="395"/>
      <c r="O559" s="395"/>
      <c r="P559" s="395"/>
      <c r="Q559" s="395"/>
      <c r="R559" s="395"/>
      <c r="S559" s="395"/>
      <c r="T559" s="395"/>
      <c r="U559" s="395"/>
    </row>
    <row r="560" spans="1:21" s="407" customFormat="1" ht="12" hidden="1" customHeight="1" outlineLevel="2">
      <c r="A560" s="508"/>
      <c r="B560" s="553"/>
      <c r="C560" s="554"/>
      <c r="D560" s="577" t="s">
        <v>1967</v>
      </c>
      <c r="E560" s="555" t="s">
        <v>2085</v>
      </c>
      <c r="F560" s="553" t="s">
        <v>48</v>
      </c>
      <c r="G560" s="556" t="str">
        <f t="shared" si="28"/>
        <v>BB01-5</v>
      </c>
      <c r="H560" s="557">
        <v>5</v>
      </c>
      <c r="I560" s="506"/>
      <c r="J560" s="395">
        <v>1</v>
      </c>
      <c r="K560" s="397" t="s">
        <v>193</v>
      </c>
      <c r="L560" s="395"/>
      <c r="M560" s="395"/>
      <c r="N560" s="395"/>
      <c r="O560" s="395"/>
      <c r="P560" s="395"/>
      <c r="Q560" s="395"/>
      <c r="R560" s="395"/>
      <c r="S560" s="395"/>
      <c r="T560" s="395"/>
      <c r="U560" s="395"/>
    </row>
    <row r="561" spans="1:21" s="407" customFormat="1" ht="12" hidden="1" customHeight="1" outlineLevel="2">
      <c r="A561" s="508"/>
      <c r="B561" s="553"/>
      <c r="C561" s="554"/>
      <c r="D561" s="577" t="s">
        <v>1969</v>
      </c>
      <c r="E561" s="555" t="s">
        <v>2086</v>
      </c>
      <c r="F561" s="553" t="s">
        <v>48</v>
      </c>
      <c r="G561" s="556" t="str">
        <f t="shared" si="28"/>
        <v>BB01-5</v>
      </c>
      <c r="H561" s="557">
        <v>5</v>
      </c>
      <c r="I561" s="506"/>
      <c r="J561" s="395">
        <v>1</v>
      </c>
      <c r="K561" s="397" t="s">
        <v>193</v>
      </c>
      <c r="L561" s="395"/>
      <c r="M561" s="395"/>
      <c r="N561" s="395"/>
      <c r="O561" s="395"/>
      <c r="P561" s="395"/>
      <c r="Q561" s="395"/>
      <c r="R561" s="395"/>
      <c r="S561" s="395"/>
      <c r="T561" s="395"/>
      <c r="U561" s="395"/>
    </row>
    <row r="562" spans="1:21" s="407" customFormat="1" ht="12" hidden="1" customHeight="1" outlineLevel="2">
      <c r="A562" s="508"/>
      <c r="B562" s="553"/>
      <c r="C562" s="554"/>
      <c r="D562" s="577" t="s">
        <v>1983</v>
      </c>
      <c r="E562" s="555" t="s">
        <v>2087</v>
      </c>
      <c r="F562" s="553" t="s">
        <v>48</v>
      </c>
      <c r="G562" s="556" t="str">
        <f t="shared" si="28"/>
        <v>BB01-5</v>
      </c>
      <c r="H562" s="557">
        <v>5</v>
      </c>
      <c r="I562" s="506"/>
      <c r="J562" s="395">
        <v>1</v>
      </c>
      <c r="K562" s="397" t="s">
        <v>193</v>
      </c>
      <c r="L562" s="395"/>
      <c r="M562" s="395"/>
      <c r="N562" s="395"/>
      <c r="O562" s="395"/>
      <c r="P562" s="395"/>
      <c r="Q562" s="395"/>
      <c r="R562" s="395"/>
      <c r="S562" s="395"/>
      <c r="T562" s="395"/>
      <c r="U562" s="395"/>
    </row>
    <row r="563" spans="1:21" s="407" customFormat="1" ht="12" hidden="1" customHeight="1" outlineLevel="2">
      <c r="A563" s="508"/>
      <c r="B563" s="553"/>
      <c r="C563" s="554"/>
      <c r="D563" s="577" t="s">
        <v>1985</v>
      </c>
      <c r="E563" s="555" t="s">
        <v>2088</v>
      </c>
      <c r="F563" s="553" t="s">
        <v>48</v>
      </c>
      <c r="G563" s="556" t="str">
        <f t="shared" si="28"/>
        <v>BB01-5</v>
      </c>
      <c r="H563" s="557">
        <v>5</v>
      </c>
      <c r="I563" s="506"/>
      <c r="J563" s="395">
        <v>1</v>
      </c>
      <c r="K563" s="397" t="s">
        <v>193</v>
      </c>
      <c r="L563" s="395"/>
      <c r="M563" s="395"/>
      <c r="N563" s="395"/>
      <c r="O563" s="395"/>
      <c r="P563" s="395"/>
      <c r="Q563" s="395"/>
      <c r="R563" s="395"/>
      <c r="S563" s="395"/>
      <c r="T563" s="395"/>
      <c r="U563" s="395"/>
    </row>
    <row r="564" spans="1:21" s="407" customFormat="1" ht="12" hidden="1" customHeight="1" outlineLevel="2">
      <c r="A564" s="508"/>
      <c r="B564" s="553"/>
      <c r="C564" s="554"/>
      <c r="D564" s="577" t="s">
        <v>1987</v>
      </c>
      <c r="E564" s="555" t="s">
        <v>2089</v>
      </c>
      <c r="F564" s="553" t="s">
        <v>48</v>
      </c>
      <c r="G564" s="556" t="str">
        <f t="shared" si="28"/>
        <v>BB01-5</v>
      </c>
      <c r="H564" s="557">
        <v>5</v>
      </c>
      <c r="I564" s="506"/>
      <c r="J564" s="395">
        <v>1</v>
      </c>
      <c r="K564" s="397" t="s">
        <v>193</v>
      </c>
      <c r="L564" s="395"/>
      <c r="M564" s="395"/>
      <c r="N564" s="395"/>
      <c r="O564" s="395"/>
      <c r="P564" s="395"/>
      <c r="Q564" s="395"/>
      <c r="R564" s="395"/>
      <c r="S564" s="395"/>
      <c r="T564" s="395"/>
      <c r="U564" s="395"/>
    </row>
    <row r="565" spans="1:21" s="407" customFormat="1" ht="12" hidden="1" customHeight="1" outlineLevel="2">
      <c r="A565" s="508"/>
      <c r="B565" s="553"/>
      <c r="C565" s="554"/>
      <c r="D565" s="577" t="s">
        <v>1989</v>
      </c>
      <c r="E565" s="555" t="s">
        <v>2090</v>
      </c>
      <c r="F565" s="553" t="s">
        <v>48</v>
      </c>
      <c r="G565" s="556" t="str">
        <f t="shared" si="28"/>
        <v>BB01-5</v>
      </c>
      <c r="H565" s="557">
        <v>5</v>
      </c>
      <c r="I565" s="506"/>
      <c r="J565" s="395">
        <v>1</v>
      </c>
      <c r="K565" s="397" t="s">
        <v>193</v>
      </c>
      <c r="L565" s="395"/>
      <c r="M565" s="395"/>
      <c r="N565" s="395"/>
      <c r="O565" s="395"/>
      <c r="P565" s="395"/>
      <c r="Q565" s="395"/>
      <c r="R565" s="395"/>
      <c r="S565" s="395"/>
      <c r="T565" s="395"/>
      <c r="U565" s="395"/>
    </row>
    <row r="566" spans="1:21" s="407" customFormat="1" ht="12" hidden="1" customHeight="1" outlineLevel="2">
      <c r="A566" s="508"/>
      <c r="B566" s="553"/>
      <c r="C566" s="554"/>
      <c r="D566" s="577" t="s">
        <v>2014</v>
      </c>
      <c r="E566" s="555" t="s">
        <v>2091</v>
      </c>
      <c r="F566" s="553" t="s">
        <v>48</v>
      </c>
      <c r="G566" s="556" t="str">
        <f t="shared" ref="G566" si="32">CONCATENATE(F566,"-",H566)</f>
        <v>BB01-5</v>
      </c>
      <c r="H566" s="557">
        <v>5</v>
      </c>
      <c r="I566" s="506"/>
      <c r="J566" s="395">
        <v>1</v>
      </c>
      <c r="K566" s="397" t="s">
        <v>193</v>
      </c>
      <c r="L566" s="395"/>
      <c r="M566" s="395"/>
      <c r="N566" s="395"/>
      <c r="O566" s="395"/>
      <c r="P566" s="395"/>
      <c r="Q566" s="395"/>
      <c r="R566" s="395"/>
      <c r="S566" s="395"/>
      <c r="T566" s="395"/>
      <c r="U566" s="395"/>
    </row>
    <row r="567" spans="1:21" s="407" customFormat="1" ht="3" hidden="1" customHeight="1" outlineLevel="1">
      <c r="A567" s="369"/>
      <c r="B567" s="369"/>
      <c r="C567" s="369"/>
      <c r="D567" s="578"/>
      <c r="E567" s="369"/>
      <c r="F567" s="369"/>
      <c r="G567" s="369"/>
      <c r="H567" s="369"/>
      <c r="I567" s="506"/>
      <c r="J567" s="500"/>
      <c r="K567" s="397"/>
      <c r="L567" s="395"/>
      <c r="M567" s="395"/>
      <c r="N567" s="395"/>
      <c r="O567" s="395"/>
      <c r="P567" s="395"/>
      <c r="Q567" s="395"/>
      <c r="R567" s="395"/>
      <c r="S567" s="395"/>
      <c r="T567" s="395"/>
      <c r="U567" s="395"/>
    </row>
    <row r="568" spans="1:21" s="407" customFormat="1" ht="12" hidden="1" customHeight="1" outlineLevel="1" collapsed="1">
      <c r="A568" s="460" t="s">
        <v>156</v>
      </c>
      <c r="B568" s="460" t="s">
        <v>61</v>
      </c>
      <c r="C568" s="460"/>
      <c r="D568" s="459"/>
      <c r="E568" s="460"/>
      <c r="F568" s="507"/>
      <c r="G568" s="507"/>
      <c r="H568" s="507"/>
      <c r="I568" s="506"/>
      <c r="J568" s="500"/>
      <c r="K568" s="397"/>
      <c r="L568" s="395"/>
      <c r="M568" s="395"/>
      <c r="N568" s="395"/>
      <c r="O568" s="395"/>
      <c r="P568" s="395"/>
      <c r="Q568" s="395"/>
      <c r="R568" s="395"/>
      <c r="S568" s="395"/>
      <c r="T568" s="395"/>
      <c r="U568" s="395"/>
    </row>
    <row r="569" spans="1:21" s="407" customFormat="1" ht="12" hidden="1" customHeight="1" outlineLevel="2">
      <c r="A569" s="508"/>
      <c r="B569" s="553"/>
      <c r="C569" s="554"/>
      <c r="D569" s="577" t="s">
        <v>2092</v>
      </c>
      <c r="E569" s="555" t="s">
        <v>2093</v>
      </c>
      <c r="F569" s="553" t="s">
        <v>48</v>
      </c>
      <c r="G569" s="556" t="str">
        <f t="shared" ref="G569:G615" si="33">CONCATENATE(F569,"-",H569)</f>
        <v>BB01-6</v>
      </c>
      <c r="H569" s="557">
        <v>6</v>
      </c>
      <c r="I569" s="506"/>
      <c r="J569" s="395">
        <v>1</v>
      </c>
      <c r="K569" s="397" t="s">
        <v>290</v>
      </c>
      <c r="L569" s="395"/>
      <c r="M569" s="395"/>
      <c r="N569" s="395"/>
      <c r="O569" s="395"/>
      <c r="P569" s="395"/>
      <c r="Q569" s="395"/>
      <c r="R569" s="395"/>
      <c r="S569" s="395"/>
      <c r="T569" s="395"/>
      <c r="U569" s="395"/>
    </row>
    <row r="570" spans="1:21" s="407" customFormat="1" ht="12" hidden="1" customHeight="1" outlineLevel="2">
      <c r="A570" s="508"/>
      <c r="B570" s="503"/>
      <c r="C570" s="504"/>
      <c r="D570" s="531" t="s">
        <v>2094</v>
      </c>
      <c r="E570" s="505" t="s">
        <v>2095</v>
      </c>
      <c r="F570" s="553" t="s">
        <v>48</v>
      </c>
      <c r="G570" s="556" t="str">
        <f t="shared" ref="G570" si="34">CONCATENATE(F570,"-",H570)</f>
        <v>BB01-6</v>
      </c>
      <c r="H570" s="507">
        <v>6</v>
      </c>
      <c r="I570" s="506"/>
      <c r="J570" s="500">
        <v>1</v>
      </c>
      <c r="K570" s="397" t="s">
        <v>193</v>
      </c>
      <c r="L570" s="395"/>
      <c r="M570" s="395"/>
      <c r="N570" s="395"/>
      <c r="O570" s="395"/>
      <c r="P570" s="395"/>
      <c r="Q570" s="395"/>
      <c r="R570" s="395"/>
      <c r="S570" s="395"/>
      <c r="T570" s="395"/>
      <c r="U570" s="395"/>
    </row>
    <row r="571" spans="1:21" s="407" customFormat="1" ht="12" hidden="1" customHeight="1" outlineLevel="2">
      <c r="A571" s="508"/>
      <c r="B571" s="553"/>
      <c r="C571" s="554"/>
      <c r="D571" s="577" t="s">
        <v>2096</v>
      </c>
      <c r="E571" s="555" t="s">
        <v>2097</v>
      </c>
      <c r="F571" s="553" t="s">
        <v>48</v>
      </c>
      <c r="G571" s="556" t="str">
        <f t="shared" si="33"/>
        <v>BB01-6</v>
      </c>
      <c r="H571" s="557">
        <v>6</v>
      </c>
      <c r="I571" s="506"/>
      <c r="J571" s="395">
        <v>1</v>
      </c>
      <c r="K571" s="397" t="s">
        <v>610</v>
      </c>
      <c r="L571" s="395"/>
      <c r="M571" s="395"/>
      <c r="N571" s="395"/>
      <c r="O571" s="395"/>
      <c r="P571" s="395"/>
      <c r="Q571" s="395"/>
      <c r="R571" s="395"/>
      <c r="S571" s="395"/>
      <c r="T571" s="395"/>
      <c r="U571" s="395"/>
    </row>
    <row r="572" spans="1:21" s="407" customFormat="1" ht="12" hidden="1" customHeight="1" outlineLevel="2">
      <c r="A572" s="508"/>
      <c r="B572" s="553"/>
      <c r="C572" s="554"/>
      <c r="D572" s="577" t="s">
        <v>2098</v>
      </c>
      <c r="E572" s="555" t="s">
        <v>2099</v>
      </c>
      <c r="F572" s="553" t="s">
        <v>48</v>
      </c>
      <c r="G572" s="556" t="str">
        <f t="shared" si="33"/>
        <v>BB01-6</v>
      </c>
      <c r="H572" s="557">
        <v>6</v>
      </c>
      <c r="I572" s="506"/>
      <c r="J572" s="395">
        <v>1</v>
      </c>
      <c r="K572" s="397" t="s">
        <v>610</v>
      </c>
      <c r="L572" s="395"/>
      <c r="M572" s="395"/>
      <c r="N572" s="395"/>
      <c r="O572" s="395"/>
      <c r="P572" s="395"/>
      <c r="Q572" s="395"/>
      <c r="R572" s="395"/>
      <c r="S572" s="395"/>
      <c r="T572" s="395"/>
      <c r="U572" s="395"/>
    </row>
    <row r="573" spans="1:21" s="407" customFormat="1" ht="12" hidden="1" customHeight="1" outlineLevel="2">
      <c r="A573" s="508"/>
      <c r="B573" s="553"/>
      <c r="C573" s="554"/>
      <c r="D573" s="577" t="s">
        <v>2100</v>
      </c>
      <c r="E573" s="555" t="s">
        <v>2101</v>
      </c>
      <c r="F573" s="553" t="s">
        <v>48</v>
      </c>
      <c r="G573" s="556" t="str">
        <f t="shared" si="33"/>
        <v>BB01-6</v>
      </c>
      <c r="H573" s="557">
        <v>6</v>
      </c>
      <c r="I573" s="506"/>
      <c r="J573" s="395">
        <v>1</v>
      </c>
      <c r="K573" s="397" t="s">
        <v>610</v>
      </c>
      <c r="L573" s="395"/>
      <c r="M573" s="395"/>
      <c r="N573" s="395"/>
      <c r="O573" s="395"/>
      <c r="P573" s="395"/>
      <c r="Q573" s="395"/>
      <c r="R573" s="395"/>
      <c r="S573" s="395"/>
      <c r="T573" s="395"/>
      <c r="U573" s="395"/>
    </row>
    <row r="574" spans="1:21" s="407" customFormat="1" ht="12" hidden="1" customHeight="1" outlineLevel="2">
      <c r="A574" s="508"/>
      <c r="B574" s="553"/>
      <c r="C574" s="554"/>
      <c r="D574" s="577" t="s">
        <v>2102</v>
      </c>
      <c r="E574" s="555" t="s">
        <v>2103</v>
      </c>
      <c r="F574" s="553" t="s">
        <v>48</v>
      </c>
      <c r="G574" s="556" t="str">
        <f t="shared" si="33"/>
        <v>BB01-6</v>
      </c>
      <c r="H574" s="557">
        <v>6</v>
      </c>
      <c r="I574" s="506"/>
      <c r="J574" s="395">
        <v>1</v>
      </c>
      <c r="K574" s="397" t="s">
        <v>610</v>
      </c>
      <c r="L574" s="395"/>
      <c r="M574" s="395"/>
      <c r="N574" s="395"/>
      <c r="O574" s="395"/>
      <c r="P574" s="395"/>
      <c r="Q574" s="395"/>
      <c r="R574" s="395"/>
      <c r="S574" s="395"/>
      <c r="T574" s="395"/>
      <c r="U574" s="395"/>
    </row>
    <row r="575" spans="1:21" s="407" customFormat="1" ht="12" hidden="1" customHeight="1" outlineLevel="2">
      <c r="A575" s="508"/>
      <c r="B575" s="553"/>
      <c r="C575" s="554"/>
      <c r="D575" s="577" t="s">
        <v>2104</v>
      </c>
      <c r="E575" s="555" t="s">
        <v>2105</v>
      </c>
      <c r="F575" s="553" t="s">
        <v>48</v>
      </c>
      <c r="G575" s="556" t="str">
        <f t="shared" si="33"/>
        <v>BB01-6</v>
      </c>
      <c r="H575" s="557">
        <v>6</v>
      </c>
      <c r="I575" s="506"/>
      <c r="J575" s="395">
        <v>1</v>
      </c>
      <c r="K575" s="397" t="s">
        <v>610</v>
      </c>
      <c r="L575" s="395"/>
      <c r="M575" s="395"/>
      <c r="N575" s="395"/>
      <c r="O575" s="395"/>
      <c r="P575" s="395"/>
      <c r="Q575" s="395"/>
      <c r="R575" s="395"/>
      <c r="S575" s="395"/>
      <c r="T575" s="395"/>
      <c r="U575" s="395"/>
    </row>
    <row r="576" spans="1:21" s="407" customFormat="1" ht="12" hidden="1" customHeight="1" outlineLevel="2">
      <c r="A576" s="508"/>
      <c r="B576" s="553"/>
      <c r="C576" s="554"/>
      <c r="D576" s="577" t="s">
        <v>2106</v>
      </c>
      <c r="E576" s="555" t="s">
        <v>2107</v>
      </c>
      <c r="F576" s="553" t="s">
        <v>48</v>
      </c>
      <c r="G576" s="556" t="str">
        <f t="shared" si="33"/>
        <v>BB01-6</v>
      </c>
      <c r="H576" s="557">
        <v>6</v>
      </c>
      <c r="I576" s="506"/>
      <c r="J576" s="395">
        <v>1</v>
      </c>
      <c r="K576" s="397" t="s">
        <v>610</v>
      </c>
      <c r="L576" s="395"/>
      <c r="M576" s="395"/>
      <c r="N576" s="395"/>
      <c r="O576" s="395"/>
      <c r="P576" s="395"/>
      <c r="Q576" s="395"/>
      <c r="R576" s="395"/>
      <c r="S576" s="395"/>
      <c r="T576" s="395"/>
      <c r="U576" s="395"/>
    </row>
    <row r="577" spans="1:21" s="407" customFormat="1" ht="12" hidden="1" customHeight="1" outlineLevel="2">
      <c r="A577" s="508"/>
      <c r="B577" s="553"/>
      <c r="C577" s="554"/>
      <c r="D577" s="577" t="s">
        <v>2108</v>
      </c>
      <c r="E577" s="555" t="s">
        <v>2109</v>
      </c>
      <c r="F577" s="553" t="s">
        <v>48</v>
      </c>
      <c r="G577" s="556" t="str">
        <f t="shared" si="33"/>
        <v>BB01-6</v>
      </c>
      <c r="H577" s="557">
        <v>6</v>
      </c>
      <c r="I577" s="506"/>
      <c r="J577" s="395">
        <v>1</v>
      </c>
      <c r="K577" s="397" t="s">
        <v>610</v>
      </c>
      <c r="L577" s="395"/>
      <c r="M577" s="395"/>
      <c r="N577" s="395"/>
      <c r="O577" s="395"/>
      <c r="P577" s="395"/>
      <c r="Q577" s="395"/>
      <c r="R577" s="395"/>
      <c r="S577" s="395"/>
      <c r="T577" s="395"/>
      <c r="U577" s="395"/>
    </row>
    <row r="578" spans="1:21" s="407" customFormat="1" ht="12" hidden="1" customHeight="1" outlineLevel="2">
      <c r="A578" s="508"/>
      <c r="B578" s="553"/>
      <c r="C578" s="554"/>
      <c r="D578" s="577" t="s">
        <v>2110</v>
      </c>
      <c r="E578" s="555" t="s">
        <v>2111</v>
      </c>
      <c r="F578" s="553" t="s">
        <v>48</v>
      </c>
      <c r="G578" s="556" t="str">
        <f t="shared" si="33"/>
        <v>BB01-6</v>
      </c>
      <c r="H578" s="557">
        <v>6</v>
      </c>
      <c r="I578" s="506"/>
      <c r="J578" s="395">
        <v>1</v>
      </c>
      <c r="K578" s="397" t="s">
        <v>290</v>
      </c>
      <c r="L578" s="395"/>
      <c r="M578" s="395"/>
      <c r="N578" s="395"/>
      <c r="O578" s="395"/>
      <c r="P578" s="395"/>
      <c r="Q578" s="395"/>
      <c r="R578" s="395"/>
      <c r="S578" s="395"/>
      <c r="T578" s="395"/>
      <c r="U578" s="395"/>
    </row>
    <row r="579" spans="1:21" s="407" customFormat="1" ht="12" hidden="1" customHeight="1" outlineLevel="2">
      <c r="A579" s="508"/>
      <c r="B579" s="553"/>
      <c r="C579" s="554"/>
      <c r="D579" s="577" t="s">
        <v>2060</v>
      </c>
      <c r="E579" s="555" t="s">
        <v>2112</v>
      </c>
      <c r="F579" s="553" t="s">
        <v>48</v>
      </c>
      <c r="G579" s="556" t="str">
        <f t="shared" ref="G579" si="35">CONCATENATE(F579,"-",H579)</f>
        <v>BB01-6</v>
      </c>
      <c r="H579" s="557">
        <v>6</v>
      </c>
      <c r="I579" s="506"/>
      <c r="J579" s="395">
        <v>1</v>
      </c>
      <c r="K579" s="397" t="s">
        <v>290</v>
      </c>
      <c r="L579" s="395"/>
      <c r="M579" s="395"/>
      <c r="N579" s="395"/>
      <c r="O579" s="395"/>
      <c r="P579" s="395"/>
      <c r="Q579" s="395"/>
      <c r="R579" s="395"/>
      <c r="S579" s="395"/>
      <c r="T579" s="395"/>
      <c r="U579" s="395"/>
    </row>
    <row r="580" spans="1:21" s="407" customFormat="1" ht="12" hidden="1" customHeight="1" outlineLevel="2">
      <c r="A580" s="508"/>
      <c r="B580" s="553"/>
      <c r="C580" s="554"/>
      <c r="D580" s="577" t="s">
        <v>2113</v>
      </c>
      <c r="E580" s="555" t="s">
        <v>2114</v>
      </c>
      <c r="F580" s="553" t="s">
        <v>48</v>
      </c>
      <c r="G580" s="556" t="str">
        <f t="shared" si="33"/>
        <v>BB01-6</v>
      </c>
      <c r="H580" s="557">
        <v>6</v>
      </c>
      <c r="I580" s="506"/>
      <c r="J580" s="395">
        <v>1</v>
      </c>
      <c r="K580" s="397" t="s">
        <v>290</v>
      </c>
      <c r="L580" s="395"/>
      <c r="M580" s="395"/>
      <c r="N580" s="395"/>
      <c r="O580" s="395"/>
      <c r="P580" s="395"/>
      <c r="Q580" s="395"/>
      <c r="R580" s="395"/>
      <c r="S580" s="395"/>
      <c r="T580" s="395"/>
      <c r="U580" s="395"/>
    </row>
    <row r="581" spans="1:21" s="407" customFormat="1" ht="12" hidden="1" customHeight="1" outlineLevel="2">
      <c r="A581" s="508"/>
      <c r="B581" s="553"/>
      <c r="C581" s="554"/>
      <c r="D581" s="577" t="s">
        <v>2115</v>
      </c>
      <c r="E581" s="555" t="s">
        <v>2116</v>
      </c>
      <c r="F581" s="553" t="s">
        <v>48</v>
      </c>
      <c r="G581" s="556" t="str">
        <f t="shared" si="33"/>
        <v>BB01-6</v>
      </c>
      <c r="H581" s="557">
        <v>6</v>
      </c>
      <c r="I581" s="506"/>
      <c r="J581" s="395">
        <v>1</v>
      </c>
      <c r="K581" s="397" t="s">
        <v>290</v>
      </c>
      <c r="L581" s="395"/>
      <c r="M581" s="395"/>
      <c r="N581" s="395"/>
      <c r="O581" s="395"/>
      <c r="P581" s="395"/>
      <c r="Q581" s="395"/>
      <c r="R581" s="395"/>
      <c r="S581" s="395"/>
      <c r="T581" s="395"/>
      <c r="U581" s="395"/>
    </row>
    <row r="582" spans="1:21" s="407" customFormat="1" ht="12" hidden="1" customHeight="1" outlineLevel="2">
      <c r="A582" s="508"/>
      <c r="B582" s="553"/>
      <c r="C582" s="554"/>
      <c r="D582" s="577" t="s">
        <v>2117</v>
      </c>
      <c r="E582" s="555" t="s">
        <v>2118</v>
      </c>
      <c r="F582" s="553" t="s">
        <v>48</v>
      </c>
      <c r="G582" s="556" t="str">
        <f t="shared" si="33"/>
        <v>BB01-6</v>
      </c>
      <c r="H582" s="557">
        <v>6</v>
      </c>
      <c r="I582" s="506"/>
      <c r="J582" s="395">
        <v>1</v>
      </c>
      <c r="K582" s="397" t="s">
        <v>610</v>
      </c>
      <c r="L582" s="395"/>
      <c r="M582" s="395"/>
      <c r="N582" s="395"/>
      <c r="O582" s="395"/>
      <c r="P582" s="395"/>
      <c r="Q582" s="395"/>
      <c r="R582" s="395"/>
      <c r="S582" s="395"/>
      <c r="T582" s="395"/>
      <c r="U582" s="395"/>
    </row>
    <row r="583" spans="1:21" s="407" customFormat="1" ht="12" hidden="1" customHeight="1" outlineLevel="2">
      <c r="A583" s="508"/>
      <c r="B583" s="553"/>
      <c r="C583" s="554"/>
      <c r="D583" s="577" t="s">
        <v>2119</v>
      </c>
      <c r="E583" s="555" t="s">
        <v>2120</v>
      </c>
      <c r="F583" s="553" t="s">
        <v>48</v>
      </c>
      <c r="G583" s="556" t="str">
        <f t="shared" si="33"/>
        <v>BB01-6</v>
      </c>
      <c r="H583" s="557">
        <v>6</v>
      </c>
      <c r="I583" s="506"/>
      <c r="J583" s="395">
        <v>1</v>
      </c>
      <c r="K583" s="397" t="s">
        <v>610</v>
      </c>
      <c r="L583" s="395"/>
      <c r="M583" s="395"/>
      <c r="N583" s="395"/>
      <c r="O583" s="395"/>
      <c r="P583" s="395"/>
      <c r="Q583" s="395"/>
      <c r="R583" s="395"/>
      <c r="S583" s="395"/>
      <c r="T583" s="395"/>
      <c r="U583" s="395"/>
    </row>
    <row r="584" spans="1:21" s="407" customFormat="1" ht="12" hidden="1" customHeight="1" outlineLevel="2">
      <c r="A584" s="508"/>
      <c r="B584" s="553"/>
      <c r="C584" s="554"/>
      <c r="D584" s="577" t="s">
        <v>2121</v>
      </c>
      <c r="E584" s="555" t="s">
        <v>2122</v>
      </c>
      <c r="F584" s="553" t="s">
        <v>48</v>
      </c>
      <c r="G584" s="556" t="str">
        <f t="shared" si="33"/>
        <v>BB01-6</v>
      </c>
      <c r="H584" s="557">
        <v>6</v>
      </c>
      <c r="I584" s="506"/>
      <c r="J584" s="395">
        <v>1</v>
      </c>
      <c r="K584" s="397" t="s">
        <v>290</v>
      </c>
      <c r="L584" s="395"/>
      <c r="M584" s="395"/>
      <c r="N584" s="395"/>
      <c r="O584" s="395"/>
      <c r="P584" s="395"/>
      <c r="Q584" s="395"/>
      <c r="R584" s="395"/>
      <c r="S584" s="395"/>
      <c r="T584" s="395"/>
      <c r="U584" s="395"/>
    </row>
    <row r="585" spans="1:21" s="407" customFormat="1" ht="12" hidden="1" customHeight="1" outlineLevel="2">
      <c r="A585" s="508"/>
      <c r="B585" s="553"/>
      <c r="C585" s="554"/>
      <c r="D585" s="577" t="s">
        <v>2123</v>
      </c>
      <c r="E585" s="555" t="s">
        <v>2124</v>
      </c>
      <c r="F585" s="553" t="s">
        <v>48</v>
      </c>
      <c r="G585" s="556" t="str">
        <f t="shared" si="33"/>
        <v>BB01-6</v>
      </c>
      <c r="H585" s="557">
        <v>6</v>
      </c>
      <c r="I585" s="506"/>
      <c r="J585" s="395">
        <v>1</v>
      </c>
      <c r="K585" s="397" t="s">
        <v>290</v>
      </c>
      <c r="L585" s="395"/>
      <c r="M585" s="395"/>
      <c r="N585" s="395"/>
      <c r="O585" s="395"/>
      <c r="P585" s="395"/>
      <c r="Q585" s="395"/>
      <c r="R585" s="395"/>
      <c r="S585" s="395"/>
      <c r="T585" s="395"/>
      <c r="U585" s="395"/>
    </row>
    <row r="586" spans="1:21" s="407" customFormat="1" ht="12" hidden="1" customHeight="1" outlineLevel="2">
      <c r="A586" s="508"/>
      <c r="B586" s="553"/>
      <c r="C586" s="554"/>
      <c r="D586" s="577" t="s">
        <v>1971</v>
      </c>
      <c r="E586" s="555" t="s">
        <v>2125</v>
      </c>
      <c r="F586" s="553" t="s">
        <v>48</v>
      </c>
      <c r="G586" s="556" t="str">
        <f t="shared" si="33"/>
        <v>BB01-6</v>
      </c>
      <c r="H586" s="557">
        <v>6</v>
      </c>
      <c r="I586" s="506"/>
      <c r="J586" s="395">
        <v>1</v>
      </c>
      <c r="K586" s="397" t="s">
        <v>193</v>
      </c>
      <c r="L586" s="395"/>
      <c r="M586" s="395"/>
      <c r="N586" s="395"/>
      <c r="O586" s="395"/>
      <c r="P586" s="395"/>
      <c r="Q586" s="395"/>
      <c r="R586" s="395"/>
      <c r="S586" s="395"/>
      <c r="T586" s="395"/>
      <c r="U586" s="395"/>
    </row>
    <row r="587" spans="1:21" s="407" customFormat="1" ht="12" hidden="1" customHeight="1" outlineLevel="2">
      <c r="A587" s="508"/>
      <c r="B587" s="553"/>
      <c r="C587" s="554"/>
      <c r="D587" s="577" t="s">
        <v>1973</v>
      </c>
      <c r="E587" s="555" t="s">
        <v>2126</v>
      </c>
      <c r="F587" s="553" t="s">
        <v>48</v>
      </c>
      <c r="G587" s="556" t="str">
        <f t="shared" si="33"/>
        <v>BB01-6</v>
      </c>
      <c r="H587" s="557">
        <v>6</v>
      </c>
      <c r="I587" s="506"/>
      <c r="J587" s="395">
        <v>1</v>
      </c>
      <c r="K587" s="397" t="s">
        <v>193</v>
      </c>
      <c r="L587" s="395"/>
      <c r="M587" s="395"/>
      <c r="N587" s="395"/>
      <c r="O587" s="395"/>
      <c r="P587" s="395"/>
      <c r="Q587" s="395"/>
      <c r="R587" s="395"/>
      <c r="S587" s="395"/>
      <c r="T587" s="395"/>
      <c r="U587" s="395"/>
    </row>
    <row r="588" spans="1:21" s="407" customFormat="1" ht="12" hidden="1" customHeight="1" outlineLevel="2">
      <c r="A588" s="508"/>
      <c r="B588" s="553"/>
      <c r="C588" s="554"/>
      <c r="D588" s="577" t="s">
        <v>1975</v>
      </c>
      <c r="E588" s="555" t="s">
        <v>2127</v>
      </c>
      <c r="F588" s="553" t="s">
        <v>48</v>
      </c>
      <c r="G588" s="556" t="str">
        <f t="shared" si="33"/>
        <v>BB01-6</v>
      </c>
      <c r="H588" s="557">
        <v>6</v>
      </c>
      <c r="I588" s="506"/>
      <c r="J588" s="395">
        <v>1</v>
      </c>
      <c r="K588" s="397" t="s">
        <v>193</v>
      </c>
      <c r="L588" s="395"/>
      <c r="M588" s="395"/>
      <c r="N588" s="395"/>
      <c r="O588" s="395"/>
      <c r="P588" s="395"/>
      <c r="Q588" s="395"/>
      <c r="R588" s="395"/>
      <c r="S588" s="395"/>
      <c r="T588" s="395"/>
      <c r="U588" s="395"/>
    </row>
    <row r="589" spans="1:21" s="407" customFormat="1" ht="12" hidden="1" customHeight="1" outlineLevel="2">
      <c r="A589" s="508"/>
      <c r="B589" s="553"/>
      <c r="C589" s="554"/>
      <c r="D589" s="577" t="s">
        <v>1977</v>
      </c>
      <c r="E589" s="555" t="s">
        <v>2128</v>
      </c>
      <c r="F589" s="553" t="s">
        <v>48</v>
      </c>
      <c r="G589" s="556" t="str">
        <f t="shared" si="33"/>
        <v>BB01-6</v>
      </c>
      <c r="H589" s="557">
        <v>6</v>
      </c>
      <c r="I589" s="506"/>
      <c r="J589" s="395">
        <v>1</v>
      </c>
      <c r="K589" s="397" t="s">
        <v>193</v>
      </c>
      <c r="L589" s="395"/>
      <c r="M589" s="395"/>
      <c r="N589" s="395"/>
      <c r="O589" s="395"/>
      <c r="P589" s="395"/>
      <c r="Q589" s="395"/>
      <c r="R589" s="395"/>
      <c r="S589" s="395"/>
      <c r="T589" s="395"/>
      <c r="U589" s="395"/>
    </row>
    <row r="590" spans="1:21" s="407" customFormat="1" ht="12" hidden="1" customHeight="1" outlineLevel="2">
      <c r="A590" s="508"/>
      <c r="B590" s="553"/>
      <c r="C590" s="554"/>
      <c r="D590" s="577" t="s">
        <v>1979</v>
      </c>
      <c r="E590" s="555" t="s">
        <v>2129</v>
      </c>
      <c r="F590" s="553" t="s">
        <v>48</v>
      </c>
      <c r="G590" s="556" t="str">
        <f t="shared" si="33"/>
        <v>BB01-6</v>
      </c>
      <c r="H590" s="557">
        <v>6</v>
      </c>
      <c r="I590" s="506"/>
      <c r="J590" s="395">
        <v>1</v>
      </c>
      <c r="K590" s="397" t="s">
        <v>193</v>
      </c>
      <c r="L590" s="395"/>
      <c r="M590" s="395"/>
      <c r="N590" s="395"/>
      <c r="O590" s="395"/>
      <c r="P590" s="395"/>
      <c r="Q590" s="395"/>
      <c r="R590" s="395"/>
      <c r="S590" s="395"/>
      <c r="T590" s="395"/>
      <c r="U590" s="395"/>
    </row>
    <row r="591" spans="1:21" s="407" customFormat="1" ht="12" hidden="1" customHeight="1" outlineLevel="2">
      <c r="A591" s="508"/>
      <c r="B591" s="553"/>
      <c r="C591" s="554"/>
      <c r="D591" s="577" t="s">
        <v>1981</v>
      </c>
      <c r="E591" s="555" t="s">
        <v>2130</v>
      </c>
      <c r="F591" s="553" t="s">
        <v>48</v>
      </c>
      <c r="G591" s="556" t="str">
        <f t="shared" si="33"/>
        <v>BB01-6</v>
      </c>
      <c r="H591" s="557">
        <v>6</v>
      </c>
      <c r="I591" s="506"/>
      <c r="J591" s="395">
        <v>1</v>
      </c>
      <c r="K591" s="397" t="s">
        <v>193</v>
      </c>
      <c r="L591" s="395"/>
      <c r="M591" s="395"/>
      <c r="N591" s="395"/>
      <c r="O591" s="395"/>
      <c r="P591" s="395"/>
      <c r="Q591" s="395"/>
      <c r="R591" s="395"/>
      <c r="S591" s="395"/>
      <c r="T591" s="395"/>
      <c r="U591" s="395"/>
    </row>
    <row r="592" spans="1:21" s="407" customFormat="1" ht="12" hidden="1" customHeight="1" outlineLevel="2">
      <c r="A592" s="508"/>
      <c r="B592" s="553"/>
      <c r="C592" s="554"/>
      <c r="D592" s="577" t="s">
        <v>1991</v>
      </c>
      <c r="E592" s="555" t="s">
        <v>2131</v>
      </c>
      <c r="F592" s="553" t="s">
        <v>48</v>
      </c>
      <c r="G592" s="556" t="str">
        <f t="shared" si="33"/>
        <v>BB01-6</v>
      </c>
      <c r="H592" s="557">
        <v>6</v>
      </c>
      <c r="I592" s="506"/>
      <c r="J592" s="395">
        <v>1</v>
      </c>
      <c r="K592" s="397" t="s">
        <v>193</v>
      </c>
      <c r="L592" s="395"/>
      <c r="M592" s="395"/>
      <c r="N592" s="395"/>
      <c r="O592" s="395"/>
      <c r="P592" s="395"/>
      <c r="Q592" s="395"/>
      <c r="R592" s="395"/>
      <c r="S592" s="395"/>
      <c r="T592" s="395"/>
      <c r="U592" s="395"/>
    </row>
    <row r="593" spans="1:21" s="407" customFormat="1" ht="12" hidden="1" customHeight="1" outlineLevel="2">
      <c r="A593" s="508"/>
      <c r="B593" s="553"/>
      <c r="C593" s="554"/>
      <c r="D593" s="577" t="s">
        <v>1993</v>
      </c>
      <c r="E593" s="555" t="s">
        <v>2132</v>
      </c>
      <c r="F593" s="553" t="s">
        <v>48</v>
      </c>
      <c r="G593" s="556" t="str">
        <f t="shared" si="33"/>
        <v>BB01-6</v>
      </c>
      <c r="H593" s="557">
        <v>6</v>
      </c>
      <c r="I593" s="506"/>
      <c r="J593" s="395">
        <v>1</v>
      </c>
      <c r="K593" s="397" t="s">
        <v>193</v>
      </c>
      <c r="L593" s="395"/>
      <c r="M593" s="395"/>
      <c r="N593" s="395"/>
      <c r="O593" s="395"/>
      <c r="P593" s="395"/>
      <c r="Q593" s="395"/>
      <c r="R593" s="395"/>
      <c r="S593" s="395"/>
      <c r="T593" s="395"/>
      <c r="U593" s="395"/>
    </row>
    <row r="594" spans="1:21" s="407" customFormat="1" ht="12" hidden="1" customHeight="1" outlineLevel="2">
      <c r="A594" s="508"/>
      <c r="B594" s="553"/>
      <c r="C594" s="554"/>
      <c r="D594" s="577" t="s">
        <v>1995</v>
      </c>
      <c r="E594" s="555" t="s">
        <v>2133</v>
      </c>
      <c r="F594" s="553" t="s">
        <v>48</v>
      </c>
      <c r="G594" s="556" t="str">
        <f t="shared" si="33"/>
        <v>BB01-6</v>
      </c>
      <c r="H594" s="557">
        <v>6</v>
      </c>
      <c r="I594" s="506"/>
      <c r="J594" s="395">
        <v>1</v>
      </c>
      <c r="K594" s="397" t="s">
        <v>193</v>
      </c>
      <c r="L594" s="395"/>
      <c r="M594" s="395"/>
      <c r="N594" s="395"/>
      <c r="O594" s="395"/>
      <c r="P594" s="395"/>
      <c r="Q594" s="395"/>
      <c r="R594" s="395"/>
      <c r="S594" s="395"/>
      <c r="T594" s="395"/>
      <c r="U594" s="395"/>
    </row>
    <row r="595" spans="1:21" s="407" customFormat="1" ht="12" hidden="1" customHeight="1" outlineLevel="2">
      <c r="A595" s="508"/>
      <c r="B595" s="553"/>
      <c r="C595" s="554"/>
      <c r="D595" s="577" t="s">
        <v>2134</v>
      </c>
      <c r="E595" s="555" t="s">
        <v>2135</v>
      </c>
      <c r="F595" s="553" t="s">
        <v>48</v>
      </c>
      <c r="G595" s="556" t="str">
        <f t="shared" si="33"/>
        <v>BB01-6</v>
      </c>
      <c r="H595" s="557">
        <v>6</v>
      </c>
      <c r="I595" s="506"/>
      <c r="J595" s="395">
        <v>1</v>
      </c>
      <c r="K595" s="397" t="s">
        <v>193</v>
      </c>
      <c r="L595" s="395"/>
      <c r="M595" s="395"/>
      <c r="N595" s="395"/>
      <c r="O595" s="395"/>
      <c r="P595" s="395"/>
      <c r="Q595" s="395"/>
      <c r="R595" s="395"/>
      <c r="S595" s="395"/>
      <c r="T595" s="395"/>
      <c r="U595" s="395"/>
    </row>
    <row r="596" spans="1:21" s="407" customFormat="1" ht="12" hidden="1" customHeight="1" outlineLevel="2">
      <c r="A596" s="508"/>
      <c r="B596" s="553"/>
      <c r="C596" s="554"/>
      <c r="D596" s="577" t="s">
        <v>2136</v>
      </c>
      <c r="E596" s="555" t="s">
        <v>2137</v>
      </c>
      <c r="F596" s="553" t="s">
        <v>48</v>
      </c>
      <c r="G596" s="556" t="str">
        <f t="shared" si="33"/>
        <v>BB01-6</v>
      </c>
      <c r="H596" s="557">
        <v>6</v>
      </c>
      <c r="I596" s="506"/>
      <c r="J596" s="395">
        <v>1</v>
      </c>
      <c r="K596" s="397" t="s">
        <v>193</v>
      </c>
      <c r="L596" s="395"/>
      <c r="M596" s="395"/>
      <c r="N596" s="395"/>
      <c r="O596" s="395"/>
      <c r="P596" s="395"/>
      <c r="Q596" s="395"/>
      <c r="R596" s="395"/>
      <c r="S596" s="395"/>
      <c r="T596" s="395"/>
      <c r="U596" s="395"/>
    </row>
    <row r="597" spans="1:21" s="407" customFormat="1" ht="12" hidden="1" customHeight="1" outlineLevel="2">
      <c r="A597" s="508"/>
      <c r="B597" s="553"/>
      <c r="C597" s="554"/>
      <c r="D597" s="577" t="s">
        <v>2138</v>
      </c>
      <c r="E597" s="555" t="s">
        <v>2139</v>
      </c>
      <c r="F597" s="553" t="s">
        <v>48</v>
      </c>
      <c r="G597" s="556" t="str">
        <f t="shared" si="33"/>
        <v>BB01-6</v>
      </c>
      <c r="H597" s="557">
        <v>6</v>
      </c>
      <c r="I597" s="506"/>
      <c r="J597" s="395">
        <v>1</v>
      </c>
      <c r="K597" s="397" t="s">
        <v>193</v>
      </c>
      <c r="L597" s="395"/>
      <c r="M597" s="395"/>
      <c r="N597" s="395"/>
      <c r="O597" s="395"/>
      <c r="P597" s="395"/>
      <c r="Q597" s="395"/>
      <c r="R597" s="395"/>
      <c r="S597" s="395"/>
      <c r="T597" s="395"/>
      <c r="U597" s="395"/>
    </row>
    <row r="598" spans="1:21" s="407" customFormat="1" ht="12" hidden="1" customHeight="1" outlineLevel="2">
      <c r="A598" s="508"/>
      <c r="B598" s="553"/>
      <c r="C598" s="554"/>
      <c r="D598" s="577" t="s">
        <v>2140</v>
      </c>
      <c r="E598" s="555" t="s">
        <v>2141</v>
      </c>
      <c r="F598" s="553" t="s">
        <v>48</v>
      </c>
      <c r="G598" s="556" t="str">
        <f t="shared" si="33"/>
        <v>BB01-6</v>
      </c>
      <c r="H598" s="557">
        <v>6</v>
      </c>
      <c r="I598" s="506"/>
      <c r="J598" s="395">
        <v>1</v>
      </c>
      <c r="K598" s="397" t="s">
        <v>193</v>
      </c>
      <c r="L598" s="395"/>
      <c r="M598" s="395"/>
      <c r="N598" s="395"/>
      <c r="O598" s="395"/>
      <c r="P598" s="395"/>
      <c r="Q598" s="395"/>
      <c r="R598" s="395"/>
      <c r="S598" s="395"/>
      <c r="T598" s="395"/>
      <c r="U598" s="395"/>
    </row>
    <row r="599" spans="1:21" s="407" customFormat="1" ht="12" hidden="1" customHeight="1" outlineLevel="2">
      <c r="A599" s="508"/>
      <c r="B599" s="553"/>
      <c r="C599" s="554"/>
      <c r="D599" s="577" t="s">
        <v>2142</v>
      </c>
      <c r="E599" s="555" t="s">
        <v>2143</v>
      </c>
      <c r="F599" s="553" t="s">
        <v>48</v>
      </c>
      <c r="G599" s="556" t="str">
        <f t="shared" si="33"/>
        <v>BB01-6</v>
      </c>
      <c r="H599" s="557">
        <v>6</v>
      </c>
      <c r="I599" s="506"/>
      <c r="J599" s="395">
        <v>1</v>
      </c>
      <c r="K599" s="397" t="s">
        <v>193</v>
      </c>
      <c r="L599" s="395"/>
      <c r="M599" s="395"/>
      <c r="N599" s="395"/>
      <c r="O599" s="395"/>
      <c r="P599" s="395"/>
      <c r="Q599" s="395"/>
      <c r="R599" s="395"/>
      <c r="S599" s="395"/>
      <c r="T599" s="395"/>
      <c r="U599" s="395"/>
    </row>
    <row r="600" spans="1:21" s="407" customFormat="1" ht="12" hidden="1" customHeight="1" outlineLevel="2">
      <c r="A600" s="508"/>
      <c r="B600" s="553"/>
      <c r="C600" s="554"/>
      <c r="D600" s="577" t="s">
        <v>1997</v>
      </c>
      <c r="E600" s="555" t="s">
        <v>2144</v>
      </c>
      <c r="F600" s="553" t="s">
        <v>48</v>
      </c>
      <c r="G600" s="556" t="str">
        <f t="shared" si="33"/>
        <v>BB01-6</v>
      </c>
      <c r="H600" s="557">
        <v>6</v>
      </c>
      <c r="I600" s="506"/>
      <c r="J600" s="395">
        <v>1</v>
      </c>
      <c r="K600" s="397" t="s">
        <v>193</v>
      </c>
      <c r="L600" s="395"/>
      <c r="M600" s="395"/>
      <c r="N600" s="395"/>
      <c r="O600" s="395"/>
      <c r="P600" s="395"/>
      <c r="Q600" s="395"/>
      <c r="R600" s="395"/>
      <c r="S600" s="395"/>
      <c r="T600" s="395"/>
      <c r="U600" s="395"/>
    </row>
    <row r="601" spans="1:21" s="407" customFormat="1" ht="12" hidden="1" customHeight="1" outlineLevel="2">
      <c r="A601" s="508"/>
      <c r="B601" s="553"/>
      <c r="C601" s="554"/>
      <c r="D601" s="577" t="s">
        <v>1999</v>
      </c>
      <c r="E601" s="555" t="s">
        <v>2145</v>
      </c>
      <c r="F601" s="553" t="s">
        <v>48</v>
      </c>
      <c r="G601" s="556" t="str">
        <f t="shared" si="33"/>
        <v>BB01-6</v>
      </c>
      <c r="H601" s="557">
        <v>6</v>
      </c>
      <c r="I601" s="506"/>
      <c r="J601" s="395">
        <v>1</v>
      </c>
      <c r="K601" s="397" t="s">
        <v>193</v>
      </c>
      <c r="L601" s="395"/>
      <c r="M601" s="395"/>
      <c r="N601" s="395"/>
      <c r="O601" s="395"/>
      <c r="P601" s="395"/>
      <c r="Q601" s="395"/>
      <c r="R601" s="395"/>
      <c r="S601" s="395"/>
      <c r="T601" s="395"/>
      <c r="U601" s="395"/>
    </row>
    <row r="602" spans="1:21" s="407" customFormat="1" ht="12" hidden="1" customHeight="1" outlineLevel="2">
      <c r="A602" s="508"/>
      <c r="B602" s="553"/>
      <c r="C602" s="554"/>
      <c r="D602" s="577" t="s">
        <v>2001</v>
      </c>
      <c r="E602" s="555" t="s">
        <v>2146</v>
      </c>
      <c r="F602" s="553" t="s">
        <v>48</v>
      </c>
      <c r="G602" s="556" t="str">
        <f t="shared" si="33"/>
        <v>BB01-6</v>
      </c>
      <c r="H602" s="557">
        <v>6</v>
      </c>
      <c r="I602" s="506"/>
      <c r="J602" s="395">
        <v>1</v>
      </c>
      <c r="K602" s="397" t="s">
        <v>193</v>
      </c>
      <c r="L602" s="395"/>
      <c r="M602" s="395"/>
      <c r="N602" s="395"/>
      <c r="O602" s="395"/>
      <c r="P602" s="395"/>
      <c r="Q602" s="395"/>
      <c r="R602" s="395"/>
      <c r="S602" s="395"/>
      <c r="T602" s="395"/>
      <c r="U602" s="395"/>
    </row>
    <row r="603" spans="1:21" s="407" customFormat="1" ht="12" hidden="1" customHeight="1" outlineLevel="2">
      <c r="A603" s="508"/>
      <c r="B603" s="553"/>
      <c r="C603" s="554"/>
      <c r="D603" s="577" t="s">
        <v>2003</v>
      </c>
      <c r="E603" s="555" t="s">
        <v>2147</v>
      </c>
      <c r="F603" s="553" t="s">
        <v>48</v>
      </c>
      <c r="G603" s="556" t="str">
        <f t="shared" si="33"/>
        <v>BB01-6</v>
      </c>
      <c r="H603" s="557">
        <v>6</v>
      </c>
      <c r="I603" s="506"/>
      <c r="J603" s="395">
        <v>1</v>
      </c>
      <c r="K603" s="397" t="s">
        <v>193</v>
      </c>
      <c r="L603" s="395"/>
      <c r="M603" s="395"/>
      <c r="N603" s="395"/>
      <c r="O603" s="395"/>
      <c r="P603" s="395"/>
      <c r="Q603" s="395"/>
      <c r="R603" s="395"/>
      <c r="S603" s="395"/>
      <c r="T603" s="395"/>
      <c r="U603" s="395"/>
    </row>
    <row r="604" spans="1:21" s="407" customFormat="1" ht="12" hidden="1" customHeight="1" outlineLevel="2">
      <c r="A604" s="508"/>
      <c r="B604" s="553"/>
      <c r="C604" s="554"/>
      <c r="D604" s="577" t="s">
        <v>2005</v>
      </c>
      <c r="E604" s="555" t="s">
        <v>2148</v>
      </c>
      <c r="F604" s="553" t="s">
        <v>48</v>
      </c>
      <c r="G604" s="556" t="str">
        <f t="shared" si="33"/>
        <v>BB01-6</v>
      </c>
      <c r="H604" s="557">
        <v>6</v>
      </c>
      <c r="I604" s="506"/>
      <c r="J604" s="395">
        <v>1</v>
      </c>
      <c r="K604" s="397" t="s">
        <v>193</v>
      </c>
      <c r="L604" s="395"/>
      <c r="M604" s="395"/>
      <c r="N604" s="395"/>
      <c r="O604" s="395"/>
      <c r="P604" s="395"/>
      <c r="Q604" s="395"/>
      <c r="R604" s="395"/>
      <c r="S604" s="395"/>
      <c r="T604" s="395"/>
      <c r="U604" s="395"/>
    </row>
    <row r="605" spans="1:21" s="407" customFormat="1" ht="12" hidden="1" customHeight="1" outlineLevel="2">
      <c r="A605" s="508"/>
      <c r="B605" s="553"/>
      <c r="C605" s="554"/>
      <c r="D605" s="577" t="s">
        <v>2007</v>
      </c>
      <c r="E605" s="555" t="s">
        <v>2149</v>
      </c>
      <c r="F605" s="553" t="s">
        <v>48</v>
      </c>
      <c r="G605" s="556" t="str">
        <f t="shared" si="33"/>
        <v>BB01-6</v>
      </c>
      <c r="H605" s="557">
        <v>6</v>
      </c>
      <c r="I605" s="506"/>
      <c r="J605" s="395">
        <v>1</v>
      </c>
      <c r="K605" s="397" t="s">
        <v>193</v>
      </c>
      <c r="L605" s="395"/>
      <c r="M605" s="395"/>
      <c r="N605" s="395"/>
      <c r="O605" s="395"/>
      <c r="P605" s="395"/>
      <c r="Q605" s="395"/>
      <c r="R605" s="395"/>
      <c r="S605" s="395"/>
      <c r="T605" s="395"/>
      <c r="U605" s="395"/>
    </row>
    <row r="606" spans="1:21" s="407" customFormat="1" ht="12" hidden="1" customHeight="1" outlineLevel="2">
      <c r="A606" s="508"/>
      <c r="B606" s="553"/>
      <c r="C606" s="554"/>
      <c r="D606" s="577" t="s">
        <v>2150</v>
      </c>
      <c r="E606" s="555" t="s">
        <v>2151</v>
      </c>
      <c r="F606" s="553" t="s">
        <v>48</v>
      </c>
      <c r="G606" s="556" t="str">
        <f t="shared" si="33"/>
        <v>BB01-6</v>
      </c>
      <c r="H606" s="557">
        <v>6</v>
      </c>
      <c r="I606" s="506"/>
      <c r="J606" s="395">
        <v>1</v>
      </c>
      <c r="K606" s="397" t="s">
        <v>193</v>
      </c>
      <c r="L606" s="395"/>
      <c r="M606" s="395"/>
      <c r="N606" s="395"/>
      <c r="O606" s="395"/>
      <c r="P606" s="395"/>
      <c r="Q606" s="395"/>
      <c r="R606" s="395"/>
      <c r="S606" s="395"/>
      <c r="T606" s="395"/>
      <c r="U606" s="395"/>
    </row>
    <row r="607" spans="1:21" s="407" customFormat="1" ht="12" hidden="1" customHeight="1" outlineLevel="2">
      <c r="A607" s="508"/>
      <c r="B607" s="553"/>
      <c r="C607" s="554"/>
      <c r="D607" s="577" t="s">
        <v>2152</v>
      </c>
      <c r="E607" s="555" t="s">
        <v>2153</v>
      </c>
      <c r="F607" s="553" t="s">
        <v>48</v>
      </c>
      <c r="G607" s="556" t="str">
        <f t="shared" si="33"/>
        <v>BB01-6</v>
      </c>
      <c r="H607" s="557">
        <v>6</v>
      </c>
      <c r="I607" s="506"/>
      <c r="J607" s="395">
        <v>1</v>
      </c>
      <c r="K607" s="397" t="s">
        <v>193</v>
      </c>
      <c r="L607" s="395"/>
      <c r="M607" s="395"/>
      <c r="N607" s="395"/>
      <c r="O607" s="395"/>
      <c r="P607" s="395"/>
      <c r="Q607" s="395"/>
      <c r="R607" s="395"/>
      <c r="S607" s="395"/>
      <c r="T607" s="395"/>
      <c r="U607" s="395"/>
    </row>
    <row r="608" spans="1:21" s="407" customFormat="1" ht="12" hidden="1" customHeight="1" outlineLevel="2">
      <c r="A608" s="508"/>
      <c r="B608" s="553"/>
      <c r="C608" s="554"/>
      <c r="D608" s="577" t="s">
        <v>2154</v>
      </c>
      <c r="E608" s="555" t="s">
        <v>2155</v>
      </c>
      <c r="F608" s="553" t="s">
        <v>48</v>
      </c>
      <c r="G608" s="556" t="str">
        <f t="shared" si="33"/>
        <v>BB01-6</v>
      </c>
      <c r="H608" s="557">
        <v>6</v>
      </c>
      <c r="I608" s="506"/>
      <c r="J608" s="395">
        <v>1</v>
      </c>
      <c r="K608" s="397" t="s">
        <v>193</v>
      </c>
      <c r="L608" s="395"/>
      <c r="M608" s="395"/>
      <c r="N608" s="395"/>
      <c r="O608" s="395"/>
      <c r="P608" s="395"/>
      <c r="Q608" s="395"/>
      <c r="R608" s="395"/>
      <c r="S608" s="395"/>
      <c r="T608" s="395"/>
      <c r="U608" s="395"/>
    </row>
    <row r="609" spans="1:21" s="407" customFormat="1" ht="12" hidden="1" customHeight="1" outlineLevel="2">
      <c r="A609" s="508"/>
      <c r="B609" s="553"/>
      <c r="C609" s="554"/>
      <c r="D609" s="577" t="s">
        <v>2156</v>
      </c>
      <c r="E609" s="555" t="s">
        <v>2157</v>
      </c>
      <c r="F609" s="553" t="s">
        <v>48</v>
      </c>
      <c r="G609" s="556" t="str">
        <f t="shared" si="33"/>
        <v>BB01-6</v>
      </c>
      <c r="H609" s="557">
        <v>6</v>
      </c>
      <c r="I609" s="506"/>
      <c r="J609" s="395">
        <v>1</v>
      </c>
      <c r="K609" s="397" t="s">
        <v>193</v>
      </c>
      <c r="L609" s="395"/>
      <c r="M609" s="395"/>
      <c r="N609" s="395"/>
      <c r="O609" s="395"/>
      <c r="P609" s="395"/>
      <c r="Q609" s="395"/>
      <c r="R609" s="395"/>
      <c r="S609" s="395"/>
      <c r="T609" s="395"/>
      <c r="U609" s="395"/>
    </row>
    <row r="610" spans="1:21" s="407" customFormat="1" ht="12" hidden="1" customHeight="1" outlineLevel="2">
      <c r="A610" s="508"/>
      <c r="B610" s="553"/>
      <c r="C610" s="554"/>
      <c r="D610" s="577" t="s">
        <v>2158</v>
      </c>
      <c r="E610" s="555" t="s">
        <v>2159</v>
      </c>
      <c r="F610" s="553" t="s">
        <v>48</v>
      </c>
      <c r="G610" s="556" t="str">
        <f t="shared" si="33"/>
        <v>BB01-6</v>
      </c>
      <c r="H610" s="557">
        <v>6</v>
      </c>
      <c r="I610" s="506"/>
      <c r="J610" s="395">
        <v>1</v>
      </c>
      <c r="K610" s="397" t="s">
        <v>193</v>
      </c>
      <c r="L610" s="395"/>
      <c r="M610" s="395"/>
      <c r="N610" s="395"/>
      <c r="O610" s="395"/>
      <c r="P610" s="395"/>
      <c r="Q610" s="395"/>
      <c r="R610" s="395"/>
      <c r="S610" s="395"/>
      <c r="T610" s="395"/>
      <c r="U610" s="395"/>
    </row>
    <row r="611" spans="1:21" s="407" customFormat="1" ht="12" hidden="1" customHeight="1" outlineLevel="2">
      <c r="A611" s="508"/>
      <c r="B611" s="553"/>
      <c r="C611" s="554"/>
      <c r="D611" s="577" t="s">
        <v>2160</v>
      </c>
      <c r="E611" s="555" t="s">
        <v>2161</v>
      </c>
      <c r="F611" s="553" t="s">
        <v>48</v>
      </c>
      <c r="G611" s="556" t="str">
        <f t="shared" si="33"/>
        <v>BB01-6</v>
      </c>
      <c r="H611" s="557">
        <v>6</v>
      </c>
      <c r="I611" s="506"/>
      <c r="J611" s="395">
        <v>1</v>
      </c>
      <c r="K611" s="397" t="s">
        <v>193</v>
      </c>
      <c r="L611" s="395"/>
      <c r="M611" s="395"/>
      <c r="N611" s="395"/>
      <c r="O611" s="395"/>
      <c r="P611" s="395"/>
      <c r="Q611" s="395"/>
      <c r="R611" s="395"/>
      <c r="S611" s="395"/>
      <c r="T611" s="395"/>
      <c r="U611" s="395"/>
    </row>
    <row r="612" spans="1:21" s="407" customFormat="1" ht="12" hidden="1" customHeight="1" outlineLevel="2">
      <c r="A612" s="508"/>
      <c r="B612" s="553"/>
      <c r="C612" s="554"/>
      <c r="D612" s="577" t="s">
        <v>2162</v>
      </c>
      <c r="E612" s="555" t="s">
        <v>2163</v>
      </c>
      <c r="F612" s="553" t="s">
        <v>48</v>
      </c>
      <c r="G612" s="556" t="str">
        <f t="shared" si="33"/>
        <v>BB01-6</v>
      </c>
      <c r="H612" s="557">
        <v>6</v>
      </c>
      <c r="I612" s="506"/>
      <c r="J612" s="395">
        <v>1</v>
      </c>
      <c r="K612" s="397" t="s">
        <v>193</v>
      </c>
      <c r="L612" s="395"/>
      <c r="M612" s="395"/>
      <c r="N612" s="395"/>
      <c r="O612" s="395"/>
      <c r="P612" s="395"/>
      <c r="Q612" s="395"/>
      <c r="R612" s="395"/>
      <c r="S612" s="395"/>
      <c r="T612" s="395"/>
      <c r="U612" s="395"/>
    </row>
    <row r="613" spans="1:21" s="407" customFormat="1" ht="12" hidden="1" customHeight="1" outlineLevel="2">
      <c r="A613" s="508"/>
      <c r="B613" s="553"/>
      <c r="C613" s="554"/>
      <c r="D613" s="577" t="s">
        <v>2164</v>
      </c>
      <c r="E613" s="555" t="s">
        <v>2165</v>
      </c>
      <c r="F613" s="553" t="s">
        <v>48</v>
      </c>
      <c r="G613" s="556" t="str">
        <f t="shared" si="33"/>
        <v>BB01-6</v>
      </c>
      <c r="H613" s="557">
        <v>6</v>
      </c>
      <c r="I613" s="506"/>
      <c r="J613" s="395">
        <v>1</v>
      </c>
      <c r="K613" s="397" t="s">
        <v>193</v>
      </c>
      <c r="L613" s="395"/>
      <c r="M613" s="395"/>
      <c r="N613" s="395"/>
      <c r="O613" s="395"/>
      <c r="P613" s="395"/>
      <c r="Q613" s="395"/>
      <c r="R613" s="395"/>
      <c r="S613" s="395"/>
      <c r="T613" s="395"/>
      <c r="U613" s="395"/>
    </row>
    <row r="614" spans="1:21" s="407" customFormat="1" ht="12" hidden="1" customHeight="1" outlineLevel="2">
      <c r="A614" s="508"/>
      <c r="B614" s="553"/>
      <c r="C614" s="554"/>
      <c r="D614" s="577" t="s">
        <v>2166</v>
      </c>
      <c r="E614" s="555" t="s">
        <v>2167</v>
      </c>
      <c r="F614" s="553" t="s">
        <v>48</v>
      </c>
      <c r="G614" s="556" t="str">
        <f t="shared" si="33"/>
        <v>BB01-6</v>
      </c>
      <c r="H614" s="557">
        <v>6</v>
      </c>
      <c r="I614" s="506"/>
      <c r="J614" s="395">
        <v>1</v>
      </c>
      <c r="K614" s="397" t="s">
        <v>193</v>
      </c>
      <c r="L614" s="395"/>
      <c r="M614" s="395"/>
      <c r="N614" s="395"/>
      <c r="O614" s="395"/>
      <c r="P614" s="395"/>
      <c r="Q614" s="395"/>
      <c r="R614" s="395"/>
      <c r="S614" s="395"/>
      <c r="T614" s="395"/>
      <c r="U614" s="395"/>
    </row>
    <row r="615" spans="1:21" s="407" customFormat="1" ht="12" hidden="1" customHeight="1" outlineLevel="2">
      <c r="A615" s="508"/>
      <c r="B615" s="553"/>
      <c r="C615" s="554"/>
      <c r="D615" s="577" t="s">
        <v>2168</v>
      </c>
      <c r="E615" s="555" t="s">
        <v>2169</v>
      </c>
      <c r="F615" s="553" t="s">
        <v>48</v>
      </c>
      <c r="G615" s="556" t="str">
        <f t="shared" si="33"/>
        <v>BB01-6</v>
      </c>
      <c r="H615" s="557">
        <v>6</v>
      </c>
      <c r="I615" s="506"/>
      <c r="J615" s="395">
        <v>1</v>
      </c>
      <c r="K615" s="397" t="s">
        <v>193</v>
      </c>
      <c r="L615" s="395"/>
      <c r="M615" s="395"/>
      <c r="N615" s="395"/>
      <c r="O615" s="395"/>
      <c r="P615" s="395"/>
      <c r="Q615" s="395"/>
      <c r="R615" s="395"/>
      <c r="S615" s="395"/>
      <c r="T615" s="395"/>
      <c r="U615" s="395"/>
    </row>
    <row r="616" spans="1:21" s="407" customFormat="1" ht="3" hidden="1" customHeight="1" outlineLevel="1">
      <c r="A616" s="369"/>
      <c r="B616" s="503"/>
      <c r="C616" s="504"/>
      <c r="D616" s="531"/>
      <c r="E616" s="505"/>
      <c r="F616" s="503"/>
      <c r="G616" s="400"/>
      <c r="H616" s="507"/>
      <c r="I616" s="506"/>
      <c r="J616" s="500"/>
      <c r="K616" s="397"/>
      <c r="L616" s="501"/>
      <c r="M616" s="395"/>
      <c r="N616" s="395"/>
      <c r="O616" s="395"/>
      <c r="P616" s="395"/>
      <c r="Q616" s="395"/>
      <c r="R616" s="395"/>
      <c r="S616" s="395"/>
      <c r="T616" s="395"/>
      <c r="U616" s="395"/>
    </row>
    <row r="617" spans="1:21" s="407" customFormat="1" ht="12" hidden="1" customHeight="1" outlineLevel="1">
      <c r="A617" s="460" t="s">
        <v>158</v>
      </c>
      <c r="B617" s="460" t="s">
        <v>65</v>
      </c>
      <c r="C617" s="460"/>
      <c r="D617" s="459"/>
      <c r="E617" s="460"/>
      <c r="F617" s="503"/>
      <c r="G617" s="400"/>
      <c r="H617" s="507"/>
      <c r="I617" s="506"/>
      <c r="J617" s="500"/>
      <c r="K617" s="397"/>
      <c r="L617" s="395"/>
      <c r="M617" s="395"/>
      <c r="N617" s="395"/>
      <c r="O617" s="395"/>
      <c r="P617" s="395"/>
      <c r="Q617" s="395"/>
      <c r="R617" s="395"/>
      <c r="S617" s="395"/>
      <c r="T617" s="395"/>
      <c r="U617" s="395"/>
    </row>
    <row r="618" spans="1:21" s="407" customFormat="1" ht="12" hidden="1" customHeight="1" outlineLevel="2">
      <c r="A618" s="508"/>
      <c r="B618" s="503" t="s">
        <v>13</v>
      </c>
      <c r="C618" s="504" t="s">
        <v>2170</v>
      </c>
      <c r="D618" s="531" t="s">
        <v>1158</v>
      </c>
      <c r="E618" s="505" t="s">
        <v>2171</v>
      </c>
      <c r="F618" s="503" t="s">
        <v>48</v>
      </c>
      <c r="G618" s="400" t="str">
        <f t="shared" ref="G618:G678" si="36">CONCATENATE(F618,"-",H618)</f>
        <v>BB01-8</v>
      </c>
      <c r="H618" s="507">
        <v>8</v>
      </c>
      <c r="I618" s="506"/>
      <c r="J618" s="500">
        <v>0</v>
      </c>
      <c r="K618" s="397"/>
      <c r="L618" s="395">
        <f t="shared" ref="L618:L678" si="37">--(COUNTIF(M618:P618,1)&gt;0)</f>
        <v>1</v>
      </c>
      <c r="M618" s="395">
        <v>1</v>
      </c>
      <c r="N618" s="395"/>
      <c r="O618" s="395"/>
      <c r="P618" s="395"/>
      <c r="Q618" s="395">
        <f t="shared" ref="Q618:Q678" si="38">--(COUNTIF(R618:U618,1)&gt;0)</f>
        <v>0</v>
      </c>
      <c r="R618" s="395"/>
      <c r="S618" s="395"/>
      <c r="T618" s="395"/>
      <c r="U618" s="395"/>
    </row>
    <row r="619" spans="1:21" s="407" customFormat="1" ht="12" hidden="1" customHeight="1" outlineLevel="2">
      <c r="A619" s="508"/>
      <c r="B619" s="503" t="s">
        <v>13</v>
      </c>
      <c r="C619" s="504" t="s">
        <v>2170</v>
      </c>
      <c r="D619" s="531" t="s">
        <v>1160</v>
      </c>
      <c r="E619" s="505" t="s">
        <v>2172</v>
      </c>
      <c r="F619" s="503" t="s">
        <v>48</v>
      </c>
      <c r="G619" s="400" t="str">
        <f t="shared" si="36"/>
        <v>BB01-8</v>
      </c>
      <c r="H619" s="507">
        <v>8</v>
      </c>
      <c r="I619" s="506"/>
      <c r="J619" s="500">
        <v>0</v>
      </c>
      <c r="K619" s="397"/>
      <c r="L619" s="395">
        <f t="shared" si="37"/>
        <v>1</v>
      </c>
      <c r="M619" s="395">
        <v>1</v>
      </c>
      <c r="N619" s="395"/>
      <c r="O619" s="395"/>
      <c r="P619" s="395"/>
      <c r="Q619" s="395">
        <f t="shared" si="38"/>
        <v>0</v>
      </c>
      <c r="R619" s="395"/>
      <c r="S619" s="395"/>
      <c r="T619" s="395"/>
      <c r="U619" s="395"/>
    </row>
    <row r="620" spans="1:21" s="407" customFormat="1" ht="12" hidden="1" customHeight="1" outlineLevel="2">
      <c r="A620" s="508"/>
      <c r="B620" s="503" t="s">
        <v>13</v>
      </c>
      <c r="C620" s="504" t="s">
        <v>2170</v>
      </c>
      <c r="D620" s="531" t="s">
        <v>1160</v>
      </c>
      <c r="E620" s="505" t="s">
        <v>2173</v>
      </c>
      <c r="F620" s="503" t="s">
        <v>48</v>
      </c>
      <c r="G620" s="400" t="str">
        <f t="shared" ref="G620:G671" si="39">CONCATENATE(F620,"-",H620)</f>
        <v>BB01-8</v>
      </c>
      <c r="H620" s="507">
        <v>8</v>
      </c>
      <c r="I620" s="506"/>
      <c r="J620" s="500"/>
      <c r="K620" s="397" t="s">
        <v>193</v>
      </c>
      <c r="L620" s="395">
        <f t="shared" ref="L620:L671" si="40">--(COUNTIF(M620:P620,1)&gt;0)</f>
        <v>1</v>
      </c>
      <c r="M620" s="395">
        <v>1</v>
      </c>
      <c r="N620" s="395"/>
      <c r="O620" s="395"/>
      <c r="P620" s="395"/>
      <c r="Q620" s="395" t="s">
        <v>2174</v>
      </c>
      <c r="R620" s="395">
        <v>1</v>
      </c>
      <c r="S620" s="395"/>
      <c r="T620" s="395"/>
      <c r="U620" s="395"/>
    </row>
    <row r="621" spans="1:21" s="407" customFormat="1" ht="12" hidden="1" customHeight="1" outlineLevel="2">
      <c r="A621" s="508"/>
      <c r="B621" s="503" t="s">
        <v>13</v>
      </c>
      <c r="C621" s="504" t="s">
        <v>2170</v>
      </c>
      <c r="D621" s="531" t="s">
        <v>1160</v>
      </c>
      <c r="E621" s="505" t="s">
        <v>2175</v>
      </c>
      <c r="F621" s="503" t="s">
        <v>48</v>
      </c>
      <c r="G621" s="400" t="str">
        <f t="shared" si="39"/>
        <v>BB01-8</v>
      </c>
      <c r="H621" s="507">
        <v>8</v>
      </c>
      <c r="I621" s="506"/>
      <c r="J621" s="500"/>
      <c r="K621" s="397" t="s">
        <v>193</v>
      </c>
      <c r="L621" s="395">
        <f t="shared" si="40"/>
        <v>1</v>
      </c>
      <c r="M621" s="395">
        <v>1</v>
      </c>
      <c r="N621" s="395"/>
      <c r="O621" s="395"/>
      <c r="P621" s="395"/>
      <c r="Q621" s="395">
        <v>1</v>
      </c>
      <c r="R621" s="395">
        <v>1</v>
      </c>
      <c r="S621" s="395"/>
      <c r="T621" s="395"/>
      <c r="U621" s="395"/>
    </row>
    <row r="622" spans="1:21" s="407" customFormat="1" ht="12" hidden="1" customHeight="1" outlineLevel="2">
      <c r="A622" s="508"/>
      <c r="B622" s="503" t="s">
        <v>13</v>
      </c>
      <c r="C622" s="504" t="s">
        <v>2170</v>
      </c>
      <c r="D622" s="531" t="s">
        <v>1160</v>
      </c>
      <c r="E622" s="505" t="s">
        <v>2176</v>
      </c>
      <c r="F622" s="503" t="s">
        <v>48</v>
      </c>
      <c r="G622" s="400" t="str">
        <f t="shared" si="39"/>
        <v>BB01-8</v>
      </c>
      <c r="H622" s="507">
        <v>8</v>
      </c>
      <c r="I622" s="506"/>
      <c r="J622" s="500"/>
      <c r="K622" s="397" t="s">
        <v>193</v>
      </c>
      <c r="L622" s="395">
        <f t="shared" si="40"/>
        <v>1</v>
      </c>
      <c r="M622" s="395">
        <v>1</v>
      </c>
      <c r="N622" s="395"/>
      <c r="O622" s="395"/>
      <c r="P622" s="395"/>
      <c r="Q622" s="395">
        <v>1</v>
      </c>
      <c r="R622" s="395">
        <v>1</v>
      </c>
      <c r="S622" s="395"/>
      <c r="T622" s="395"/>
      <c r="U622" s="395"/>
    </row>
    <row r="623" spans="1:21" s="407" customFormat="1" ht="12" hidden="1" customHeight="1" outlineLevel="2">
      <c r="A623" s="508"/>
      <c r="B623" s="503" t="s">
        <v>13</v>
      </c>
      <c r="C623" s="504" t="s">
        <v>2170</v>
      </c>
      <c r="D623" s="531" t="s">
        <v>1160</v>
      </c>
      <c r="E623" s="505" t="s">
        <v>2177</v>
      </c>
      <c r="F623" s="503" t="s">
        <v>48</v>
      </c>
      <c r="G623" s="400" t="str">
        <f t="shared" si="39"/>
        <v>BB01-8</v>
      </c>
      <c r="H623" s="507">
        <v>8</v>
      </c>
      <c r="I623" s="506"/>
      <c r="J623" s="500"/>
      <c r="K623" s="397" t="s">
        <v>193</v>
      </c>
      <c r="L623" s="395">
        <f t="shared" si="40"/>
        <v>1</v>
      </c>
      <c r="M623" s="395">
        <v>1</v>
      </c>
      <c r="N623" s="395"/>
      <c r="O623" s="395"/>
      <c r="P623" s="395"/>
      <c r="Q623" s="395">
        <v>1</v>
      </c>
      <c r="R623" s="395">
        <v>1</v>
      </c>
      <c r="S623" s="395"/>
      <c r="T623" s="395"/>
      <c r="U623" s="395"/>
    </row>
    <row r="624" spans="1:21" s="407" customFormat="1" ht="12" hidden="1" customHeight="1" outlineLevel="2">
      <c r="A624" s="508"/>
      <c r="B624" s="503" t="s">
        <v>13</v>
      </c>
      <c r="C624" s="504" t="s">
        <v>2170</v>
      </c>
      <c r="D624" s="531" t="s">
        <v>1160</v>
      </c>
      <c r="E624" s="505" t="s">
        <v>2178</v>
      </c>
      <c r="F624" s="503" t="s">
        <v>48</v>
      </c>
      <c r="G624" s="400" t="str">
        <f t="shared" si="39"/>
        <v>BB01-8</v>
      </c>
      <c r="H624" s="507">
        <v>8</v>
      </c>
      <c r="I624" s="506"/>
      <c r="J624" s="500"/>
      <c r="K624" s="397" t="s">
        <v>193</v>
      </c>
      <c r="L624" s="395">
        <f t="shared" si="40"/>
        <v>1</v>
      </c>
      <c r="M624" s="395">
        <v>1</v>
      </c>
      <c r="N624" s="395"/>
      <c r="O624" s="395"/>
      <c r="P624" s="395"/>
      <c r="Q624" s="395">
        <v>1</v>
      </c>
      <c r="R624" s="395">
        <v>1</v>
      </c>
      <c r="S624" s="395"/>
      <c r="T624" s="395"/>
      <c r="U624" s="395"/>
    </row>
    <row r="625" spans="1:21" s="407" customFormat="1" ht="12" hidden="1" customHeight="1" outlineLevel="2">
      <c r="A625" s="508"/>
      <c r="B625" s="503" t="s">
        <v>13</v>
      </c>
      <c r="C625" s="504" t="s">
        <v>2170</v>
      </c>
      <c r="D625" s="531" t="s">
        <v>1160</v>
      </c>
      <c r="E625" s="505" t="s">
        <v>2179</v>
      </c>
      <c r="F625" s="503" t="s">
        <v>48</v>
      </c>
      <c r="G625" s="400" t="str">
        <f t="shared" si="39"/>
        <v>BB01-8</v>
      </c>
      <c r="H625" s="507">
        <v>8</v>
      </c>
      <c r="I625" s="506"/>
      <c r="J625" s="500"/>
      <c r="K625" s="397" t="s">
        <v>193</v>
      </c>
      <c r="L625" s="395">
        <f t="shared" si="40"/>
        <v>1</v>
      </c>
      <c r="M625" s="395">
        <v>1</v>
      </c>
      <c r="N625" s="395"/>
      <c r="O625" s="395"/>
      <c r="P625" s="395"/>
      <c r="Q625" s="395">
        <v>1</v>
      </c>
      <c r="R625" s="395">
        <v>1</v>
      </c>
      <c r="S625" s="395"/>
      <c r="T625" s="395"/>
      <c r="U625" s="395"/>
    </row>
    <row r="626" spans="1:21" s="407" customFormat="1" ht="12" hidden="1" customHeight="1" outlineLevel="2">
      <c r="A626" s="508"/>
      <c r="B626" s="503" t="s">
        <v>13</v>
      </c>
      <c r="C626" s="504" t="s">
        <v>2170</v>
      </c>
      <c r="D626" s="531" t="s">
        <v>1160</v>
      </c>
      <c r="E626" s="505" t="s">
        <v>2180</v>
      </c>
      <c r="F626" s="503" t="s">
        <v>48</v>
      </c>
      <c r="G626" s="400" t="str">
        <f t="shared" si="39"/>
        <v>BB01-8</v>
      </c>
      <c r="H626" s="507">
        <v>8</v>
      </c>
      <c r="I626" s="506"/>
      <c r="J626" s="500"/>
      <c r="K626" s="397" t="s">
        <v>193</v>
      </c>
      <c r="L626" s="395">
        <f t="shared" si="40"/>
        <v>1</v>
      </c>
      <c r="M626" s="395">
        <v>1</v>
      </c>
      <c r="N626" s="395"/>
      <c r="O626" s="395"/>
      <c r="P626" s="395"/>
      <c r="Q626" s="395">
        <v>1</v>
      </c>
      <c r="R626" s="395">
        <v>1</v>
      </c>
      <c r="S626" s="395"/>
      <c r="T626" s="395"/>
      <c r="U626" s="395"/>
    </row>
    <row r="627" spans="1:21" s="407" customFormat="1" ht="12" hidden="1" customHeight="1" outlineLevel="2">
      <c r="A627" s="508"/>
      <c r="B627" s="503" t="s">
        <v>13</v>
      </c>
      <c r="C627" s="504" t="s">
        <v>2170</v>
      </c>
      <c r="D627" s="531" t="s">
        <v>1160</v>
      </c>
      <c r="E627" s="505" t="s">
        <v>2181</v>
      </c>
      <c r="F627" s="503" t="s">
        <v>48</v>
      </c>
      <c r="G627" s="400" t="str">
        <f t="shared" si="39"/>
        <v>BB01-8</v>
      </c>
      <c r="H627" s="507">
        <v>8</v>
      </c>
      <c r="I627" s="506"/>
      <c r="J627" s="500"/>
      <c r="K627" s="397" t="s">
        <v>193</v>
      </c>
      <c r="L627" s="395">
        <f t="shared" si="40"/>
        <v>1</v>
      </c>
      <c r="M627" s="395">
        <v>1</v>
      </c>
      <c r="N627" s="395"/>
      <c r="O627" s="395"/>
      <c r="P627" s="395"/>
      <c r="Q627" s="395">
        <v>1</v>
      </c>
      <c r="R627" s="395">
        <v>1</v>
      </c>
      <c r="S627" s="395"/>
      <c r="T627" s="395"/>
      <c r="U627" s="395"/>
    </row>
    <row r="628" spans="1:21" s="407" customFormat="1" ht="12" hidden="1" customHeight="1" outlineLevel="2">
      <c r="A628" s="508"/>
      <c r="B628" s="503" t="s">
        <v>13</v>
      </c>
      <c r="C628" s="504" t="s">
        <v>2170</v>
      </c>
      <c r="D628" s="531" t="s">
        <v>1160</v>
      </c>
      <c r="E628" s="505" t="s">
        <v>2182</v>
      </c>
      <c r="F628" s="503" t="s">
        <v>48</v>
      </c>
      <c r="G628" s="400" t="str">
        <f t="shared" si="39"/>
        <v>BB01-8</v>
      </c>
      <c r="H628" s="507">
        <v>8</v>
      </c>
      <c r="I628" s="506"/>
      <c r="J628" s="500"/>
      <c r="K628" s="397" t="s">
        <v>193</v>
      </c>
      <c r="L628" s="395">
        <f t="shared" si="40"/>
        <v>1</v>
      </c>
      <c r="M628" s="395">
        <v>1</v>
      </c>
      <c r="N628" s="395"/>
      <c r="O628" s="395"/>
      <c r="P628" s="395"/>
      <c r="Q628" s="395">
        <v>1</v>
      </c>
      <c r="R628" s="395">
        <v>1</v>
      </c>
      <c r="S628" s="395"/>
      <c r="T628" s="395"/>
      <c r="U628" s="395"/>
    </row>
    <row r="629" spans="1:21" s="407" customFormat="1" ht="12" hidden="1" customHeight="1" outlineLevel="2">
      <c r="A629" s="508"/>
      <c r="B629" s="503" t="s">
        <v>13</v>
      </c>
      <c r="C629" s="504" t="s">
        <v>2170</v>
      </c>
      <c r="D629" s="531" t="s">
        <v>1160</v>
      </c>
      <c r="E629" s="505" t="s">
        <v>2183</v>
      </c>
      <c r="F629" s="503" t="s">
        <v>48</v>
      </c>
      <c r="G629" s="400" t="str">
        <f t="shared" si="39"/>
        <v>BB01-8</v>
      </c>
      <c r="H629" s="507">
        <v>8</v>
      </c>
      <c r="I629" s="506"/>
      <c r="J629" s="500"/>
      <c r="K629" s="397" t="s">
        <v>193</v>
      </c>
      <c r="L629" s="395">
        <f t="shared" si="40"/>
        <v>1</v>
      </c>
      <c r="M629" s="395">
        <v>1</v>
      </c>
      <c r="N629" s="395"/>
      <c r="O629" s="395"/>
      <c r="P629" s="395"/>
      <c r="Q629" s="395">
        <v>1</v>
      </c>
      <c r="R629" s="395">
        <v>1</v>
      </c>
      <c r="S629" s="395"/>
      <c r="T629" s="395"/>
      <c r="U629" s="395"/>
    </row>
    <row r="630" spans="1:21" s="407" customFormat="1" ht="12" hidden="1" customHeight="1" outlineLevel="2">
      <c r="A630" s="508"/>
      <c r="B630" s="503" t="s">
        <v>13</v>
      </c>
      <c r="C630" s="504" t="s">
        <v>2170</v>
      </c>
      <c r="D630" s="531" t="s">
        <v>1160</v>
      </c>
      <c r="E630" s="505" t="s">
        <v>2184</v>
      </c>
      <c r="F630" s="503" t="s">
        <v>48</v>
      </c>
      <c r="G630" s="400" t="str">
        <f t="shared" si="39"/>
        <v>BB01-8</v>
      </c>
      <c r="H630" s="507">
        <v>8</v>
      </c>
      <c r="I630" s="506"/>
      <c r="J630" s="500"/>
      <c r="K630" s="397" t="s">
        <v>193</v>
      </c>
      <c r="L630" s="395">
        <f t="shared" si="40"/>
        <v>1</v>
      </c>
      <c r="M630" s="395">
        <v>1</v>
      </c>
      <c r="N630" s="395"/>
      <c r="O630" s="395"/>
      <c r="P630" s="395"/>
      <c r="Q630" s="395">
        <v>1</v>
      </c>
      <c r="R630" s="395">
        <v>1</v>
      </c>
      <c r="S630" s="395"/>
      <c r="T630" s="395"/>
      <c r="U630" s="395"/>
    </row>
    <row r="631" spans="1:21" s="407" customFormat="1" ht="12" hidden="1" customHeight="1" outlineLevel="2">
      <c r="A631" s="508"/>
      <c r="B631" s="503" t="s">
        <v>13</v>
      </c>
      <c r="C631" s="504" t="s">
        <v>2170</v>
      </c>
      <c r="D631" s="531" t="s">
        <v>1160</v>
      </c>
      <c r="E631" s="505" t="s">
        <v>2185</v>
      </c>
      <c r="F631" s="503" t="s">
        <v>48</v>
      </c>
      <c r="G631" s="400" t="str">
        <f t="shared" si="39"/>
        <v>BB01-8</v>
      </c>
      <c r="H631" s="507">
        <v>8</v>
      </c>
      <c r="I631" s="506"/>
      <c r="J631" s="500"/>
      <c r="K631" s="397" t="s">
        <v>193</v>
      </c>
      <c r="L631" s="395">
        <f t="shared" si="40"/>
        <v>1</v>
      </c>
      <c r="M631" s="395">
        <v>1</v>
      </c>
      <c r="N631" s="395"/>
      <c r="O631" s="395"/>
      <c r="P631" s="395"/>
      <c r="Q631" s="395">
        <v>1</v>
      </c>
      <c r="R631" s="395">
        <v>1</v>
      </c>
      <c r="S631" s="395"/>
      <c r="T631" s="395"/>
      <c r="U631" s="395"/>
    </row>
    <row r="632" spans="1:21" s="407" customFormat="1" ht="12" hidden="1" customHeight="1" outlineLevel="2">
      <c r="A632" s="508"/>
      <c r="B632" s="503" t="s">
        <v>13</v>
      </c>
      <c r="C632" s="504" t="s">
        <v>2170</v>
      </c>
      <c r="D632" s="531" t="s">
        <v>1160</v>
      </c>
      <c r="E632" s="505" t="s">
        <v>2186</v>
      </c>
      <c r="F632" s="503" t="s">
        <v>48</v>
      </c>
      <c r="G632" s="400" t="str">
        <f t="shared" si="39"/>
        <v>BB01-8</v>
      </c>
      <c r="H632" s="507">
        <v>8</v>
      </c>
      <c r="I632" s="506"/>
      <c r="J632" s="500"/>
      <c r="K632" s="397" t="s">
        <v>193</v>
      </c>
      <c r="L632" s="395">
        <f t="shared" si="40"/>
        <v>1</v>
      </c>
      <c r="M632" s="395">
        <v>1</v>
      </c>
      <c r="N632" s="395"/>
      <c r="O632" s="395"/>
      <c r="P632" s="395"/>
      <c r="Q632" s="395">
        <v>1</v>
      </c>
      <c r="R632" s="395">
        <v>1</v>
      </c>
      <c r="S632" s="395"/>
      <c r="T632" s="395"/>
      <c r="U632" s="395"/>
    </row>
    <row r="633" spans="1:21" s="407" customFormat="1" ht="12" hidden="1" customHeight="1" outlineLevel="2">
      <c r="A633" s="508"/>
      <c r="B633" s="503" t="s">
        <v>13</v>
      </c>
      <c r="C633" s="504" t="s">
        <v>2170</v>
      </c>
      <c r="D633" s="531" t="s">
        <v>1160</v>
      </c>
      <c r="E633" s="505" t="s">
        <v>2187</v>
      </c>
      <c r="F633" s="503" t="s">
        <v>48</v>
      </c>
      <c r="G633" s="400" t="str">
        <f t="shared" si="39"/>
        <v>BB01-8</v>
      </c>
      <c r="H633" s="507">
        <v>8</v>
      </c>
      <c r="I633" s="506"/>
      <c r="J633" s="500"/>
      <c r="K633" s="397" t="s">
        <v>193</v>
      </c>
      <c r="L633" s="395">
        <f t="shared" si="40"/>
        <v>1</v>
      </c>
      <c r="M633" s="395">
        <v>1</v>
      </c>
      <c r="N633" s="395"/>
      <c r="O633" s="395"/>
      <c r="P633" s="395"/>
      <c r="Q633" s="395">
        <v>1</v>
      </c>
      <c r="R633" s="395">
        <v>1</v>
      </c>
      <c r="S633" s="395"/>
      <c r="T633" s="395"/>
      <c r="U633" s="395"/>
    </row>
    <row r="634" spans="1:21" s="407" customFormat="1" ht="12" hidden="1" customHeight="1" outlineLevel="2">
      <c r="A634" s="508"/>
      <c r="B634" s="503" t="s">
        <v>13</v>
      </c>
      <c r="C634" s="504" t="s">
        <v>2170</v>
      </c>
      <c r="D634" s="531" t="s">
        <v>1160</v>
      </c>
      <c r="E634" s="505" t="s">
        <v>2188</v>
      </c>
      <c r="F634" s="503" t="s">
        <v>48</v>
      </c>
      <c r="G634" s="400" t="str">
        <f t="shared" si="39"/>
        <v>BB01-8</v>
      </c>
      <c r="H634" s="507">
        <v>8</v>
      </c>
      <c r="I634" s="506"/>
      <c r="J634" s="500"/>
      <c r="K634" s="397" t="s">
        <v>193</v>
      </c>
      <c r="L634" s="395">
        <f t="shared" si="40"/>
        <v>1</v>
      </c>
      <c r="M634" s="395">
        <v>1</v>
      </c>
      <c r="N634" s="395"/>
      <c r="O634" s="395"/>
      <c r="P634" s="395"/>
      <c r="Q634" s="395">
        <v>1</v>
      </c>
      <c r="R634" s="395">
        <v>1</v>
      </c>
      <c r="S634" s="395"/>
      <c r="T634" s="395"/>
      <c r="U634" s="395"/>
    </row>
    <row r="635" spans="1:21" s="407" customFormat="1" ht="12" hidden="1" customHeight="1" outlineLevel="2">
      <c r="A635" s="508"/>
      <c r="B635" s="503" t="s">
        <v>13</v>
      </c>
      <c r="C635" s="504" t="s">
        <v>2170</v>
      </c>
      <c r="D635" s="531" t="s">
        <v>1160</v>
      </c>
      <c r="E635" s="505" t="s">
        <v>2189</v>
      </c>
      <c r="F635" s="503" t="s">
        <v>48</v>
      </c>
      <c r="G635" s="400" t="str">
        <f t="shared" si="39"/>
        <v>BB01-8</v>
      </c>
      <c r="H635" s="507">
        <v>8</v>
      </c>
      <c r="I635" s="506"/>
      <c r="J635" s="500"/>
      <c r="K635" s="397" t="s">
        <v>193</v>
      </c>
      <c r="L635" s="395">
        <f t="shared" si="40"/>
        <v>1</v>
      </c>
      <c r="M635" s="395">
        <v>1</v>
      </c>
      <c r="N635" s="395"/>
      <c r="O635" s="395"/>
      <c r="P635" s="395"/>
      <c r="Q635" s="395">
        <v>1</v>
      </c>
      <c r="R635" s="395">
        <v>1</v>
      </c>
      <c r="S635" s="395"/>
      <c r="T635" s="395"/>
      <c r="U635" s="395"/>
    </row>
    <row r="636" spans="1:21" s="407" customFormat="1" ht="12" hidden="1" customHeight="1" outlineLevel="2">
      <c r="A636" s="508"/>
      <c r="B636" s="503" t="s">
        <v>13</v>
      </c>
      <c r="C636" s="504" t="s">
        <v>2170</v>
      </c>
      <c r="D636" s="531" t="s">
        <v>1160</v>
      </c>
      <c r="E636" s="505" t="s">
        <v>2190</v>
      </c>
      <c r="F636" s="503" t="s">
        <v>48</v>
      </c>
      <c r="G636" s="400" t="str">
        <f t="shared" si="39"/>
        <v>BB01-8</v>
      </c>
      <c r="H636" s="507">
        <v>8</v>
      </c>
      <c r="I636" s="506"/>
      <c r="J636" s="500"/>
      <c r="K636" s="397" t="s">
        <v>193</v>
      </c>
      <c r="L636" s="395">
        <f t="shared" si="40"/>
        <v>1</v>
      </c>
      <c r="M636" s="395">
        <v>1</v>
      </c>
      <c r="N636" s="395"/>
      <c r="O636" s="395"/>
      <c r="P636" s="395"/>
      <c r="Q636" s="395">
        <v>1</v>
      </c>
      <c r="R636" s="395">
        <v>1</v>
      </c>
      <c r="S636" s="395"/>
      <c r="T636" s="395"/>
      <c r="U636" s="395"/>
    </row>
    <row r="637" spans="1:21" s="407" customFormat="1" ht="12" hidden="1" customHeight="1" outlineLevel="2">
      <c r="A637" s="508"/>
      <c r="B637" s="503" t="s">
        <v>13</v>
      </c>
      <c r="C637" s="504" t="s">
        <v>2170</v>
      </c>
      <c r="D637" s="531" t="s">
        <v>1160</v>
      </c>
      <c r="E637" s="505" t="s">
        <v>2191</v>
      </c>
      <c r="F637" s="503" t="s">
        <v>48</v>
      </c>
      <c r="G637" s="400" t="str">
        <f t="shared" si="39"/>
        <v>BB01-8</v>
      </c>
      <c r="H637" s="507">
        <v>8</v>
      </c>
      <c r="I637" s="506"/>
      <c r="J637" s="500"/>
      <c r="K637" s="397" t="s">
        <v>193</v>
      </c>
      <c r="L637" s="395">
        <f t="shared" si="40"/>
        <v>1</v>
      </c>
      <c r="M637" s="395">
        <v>1</v>
      </c>
      <c r="N637" s="395"/>
      <c r="O637" s="395"/>
      <c r="P637" s="395"/>
      <c r="Q637" s="395">
        <v>1</v>
      </c>
      <c r="R637" s="395">
        <v>1</v>
      </c>
      <c r="S637" s="395"/>
      <c r="T637" s="395"/>
      <c r="U637" s="395"/>
    </row>
    <row r="638" spans="1:21" s="407" customFormat="1" ht="12" hidden="1" customHeight="1" outlineLevel="2">
      <c r="A638" s="508"/>
      <c r="B638" s="503" t="s">
        <v>13</v>
      </c>
      <c r="C638" s="504" t="s">
        <v>2170</v>
      </c>
      <c r="D638" s="531" t="s">
        <v>1160</v>
      </c>
      <c r="E638" s="505" t="s">
        <v>2192</v>
      </c>
      <c r="F638" s="503" t="s">
        <v>48</v>
      </c>
      <c r="G638" s="400" t="str">
        <f t="shared" si="39"/>
        <v>BB01-8</v>
      </c>
      <c r="H638" s="507">
        <v>8</v>
      </c>
      <c r="I638" s="506"/>
      <c r="J638" s="500"/>
      <c r="K638" s="397" t="s">
        <v>193</v>
      </c>
      <c r="L638" s="395">
        <f t="shared" si="40"/>
        <v>1</v>
      </c>
      <c r="M638" s="395">
        <v>1</v>
      </c>
      <c r="N638" s="395"/>
      <c r="O638" s="395"/>
      <c r="P638" s="395"/>
      <c r="Q638" s="395">
        <v>1</v>
      </c>
      <c r="R638" s="395">
        <v>1</v>
      </c>
      <c r="S638" s="395"/>
      <c r="T638" s="395"/>
      <c r="U638" s="395"/>
    </row>
    <row r="639" spans="1:21" s="407" customFormat="1" ht="12" hidden="1" customHeight="1" outlineLevel="2">
      <c r="A639" s="508"/>
      <c r="B639" s="503" t="s">
        <v>13</v>
      </c>
      <c r="C639" s="504" t="s">
        <v>2170</v>
      </c>
      <c r="D639" s="531" t="s">
        <v>1160</v>
      </c>
      <c r="E639" s="505" t="s">
        <v>2193</v>
      </c>
      <c r="F639" s="503" t="s">
        <v>48</v>
      </c>
      <c r="G639" s="400" t="str">
        <f t="shared" si="39"/>
        <v>BB01-8</v>
      </c>
      <c r="H639" s="507">
        <v>8</v>
      </c>
      <c r="I639" s="506"/>
      <c r="J639" s="500"/>
      <c r="K639" s="397" t="s">
        <v>193</v>
      </c>
      <c r="L639" s="395">
        <f t="shared" si="40"/>
        <v>1</v>
      </c>
      <c r="M639" s="395">
        <v>1</v>
      </c>
      <c r="N639" s="395"/>
      <c r="O639" s="395"/>
      <c r="P639" s="395"/>
      <c r="Q639" s="395">
        <v>1</v>
      </c>
      <c r="R639" s="395">
        <v>1</v>
      </c>
      <c r="S639" s="395"/>
      <c r="T639" s="395"/>
      <c r="U639" s="395"/>
    </row>
    <row r="640" spans="1:21" s="407" customFormat="1" ht="12" hidden="1" customHeight="1" outlineLevel="2">
      <c r="A640" s="508"/>
      <c r="B640" s="503" t="s">
        <v>13</v>
      </c>
      <c r="C640" s="504" t="s">
        <v>2170</v>
      </c>
      <c r="D640" s="531" t="s">
        <v>1160</v>
      </c>
      <c r="E640" s="505" t="s">
        <v>2194</v>
      </c>
      <c r="F640" s="503" t="s">
        <v>48</v>
      </c>
      <c r="G640" s="400" t="str">
        <f t="shared" si="39"/>
        <v>BB01-8</v>
      </c>
      <c r="H640" s="507">
        <v>8</v>
      </c>
      <c r="I640" s="506"/>
      <c r="J640" s="500"/>
      <c r="K640" s="397" t="s">
        <v>193</v>
      </c>
      <c r="L640" s="395">
        <f t="shared" si="40"/>
        <v>1</v>
      </c>
      <c r="M640" s="395">
        <v>1</v>
      </c>
      <c r="N640" s="395"/>
      <c r="O640" s="395"/>
      <c r="P640" s="395"/>
      <c r="Q640" s="395">
        <v>1</v>
      </c>
      <c r="R640" s="395">
        <v>1</v>
      </c>
      <c r="S640" s="395"/>
      <c r="T640" s="395"/>
      <c r="U640" s="395"/>
    </row>
    <row r="641" spans="1:21" s="407" customFormat="1" ht="12" hidden="1" customHeight="1" outlineLevel="2">
      <c r="A641" s="508"/>
      <c r="B641" s="503" t="s">
        <v>13</v>
      </c>
      <c r="C641" s="504" t="s">
        <v>2170</v>
      </c>
      <c r="D641" s="531" t="s">
        <v>1160</v>
      </c>
      <c r="E641" s="505" t="s">
        <v>2195</v>
      </c>
      <c r="F641" s="503" t="s">
        <v>48</v>
      </c>
      <c r="G641" s="400" t="str">
        <f t="shared" si="39"/>
        <v>BB01-8</v>
      </c>
      <c r="H641" s="507">
        <v>8</v>
      </c>
      <c r="I641" s="506"/>
      <c r="J641" s="500"/>
      <c r="K641" s="397" t="s">
        <v>193</v>
      </c>
      <c r="L641" s="395">
        <f t="shared" si="40"/>
        <v>1</v>
      </c>
      <c r="M641" s="395">
        <v>1</v>
      </c>
      <c r="N641" s="395"/>
      <c r="O641" s="395"/>
      <c r="P641" s="395"/>
      <c r="Q641" s="395">
        <v>1</v>
      </c>
      <c r="R641" s="395">
        <v>1</v>
      </c>
      <c r="S641" s="395"/>
      <c r="T641" s="395"/>
      <c r="U641" s="395"/>
    </row>
    <row r="642" spans="1:21" s="407" customFormat="1" ht="12" hidden="1" customHeight="1" outlineLevel="2">
      <c r="A642" s="508"/>
      <c r="B642" s="503" t="s">
        <v>13</v>
      </c>
      <c r="C642" s="504" t="s">
        <v>2170</v>
      </c>
      <c r="D642" s="531" t="s">
        <v>1160</v>
      </c>
      <c r="E642" s="505" t="s">
        <v>2196</v>
      </c>
      <c r="F642" s="503" t="s">
        <v>48</v>
      </c>
      <c r="G642" s="400" t="str">
        <f t="shared" si="39"/>
        <v>BB01-8</v>
      </c>
      <c r="H642" s="507">
        <v>8</v>
      </c>
      <c r="I642" s="506"/>
      <c r="J642" s="500"/>
      <c r="K642" s="397" t="s">
        <v>193</v>
      </c>
      <c r="L642" s="395">
        <f t="shared" si="40"/>
        <v>1</v>
      </c>
      <c r="M642" s="395">
        <v>1</v>
      </c>
      <c r="N642" s="395"/>
      <c r="O642" s="395"/>
      <c r="P642" s="395"/>
      <c r="Q642" s="395">
        <v>1</v>
      </c>
      <c r="R642" s="395">
        <v>1</v>
      </c>
      <c r="S642" s="395"/>
      <c r="T642" s="395"/>
      <c r="U642" s="395"/>
    </row>
    <row r="643" spans="1:21" s="407" customFormat="1" ht="12" hidden="1" customHeight="1" outlineLevel="2">
      <c r="A643" s="508"/>
      <c r="B643" s="503" t="s">
        <v>13</v>
      </c>
      <c r="C643" s="504" t="s">
        <v>2170</v>
      </c>
      <c r="D643" s="531" t="s">
        <v>1160</v>
      </c>
      <c r="E643" s="505" t="s">
        <v>2197</v>
      </c>
      <c r="F643" s="503" t="s">
        <v>48</v>
      </c>
      <c r="G643" s="400" t="str">
        <f t="shared" si="39"/>
        <v>BB01-8</v>
      </c>
      <c r="H643" s="507">
        <v>8</v>
      </c>
      <c r="I643" s="506"/>
      <c r="J643" s="500"/>
      <c r="K643" s="397" t="s">
        <v>193</v>
      </c>
      <c r="L643" s="395">
        <f t="shared" si="40"/>
        <v>1</v>
      </c>
      <c r="M643" s="395">
        <v>1</v>
      </c>
      <c r="N643" s="395"/>
      <c r="O643" s="395"/>
      <c r="P643" s="395"/>
      <c r="Q643" s="395">
        <v>1</v>
      </c>
      <c r="R643" s="395">
        <v>1</v>
      </c>
      <c r="S643" s="395"/>
      <c r="T643" s="395"/>
      <c r="U643" s="395"/>
    </row>
    <row r="644" spans="1:21" s="407" customFormat="1" ht="12" hidden="1" customHeight="1" outlineLevel="2">
      <c r="A644" s="508"/>
      <c r="B644" s="503" t="s">
        <v>13</v>
      </c>
      <c r="C644" s="504" t="s">
        <v>2170</v>
      </c>
      <c r="D644" s="531" t="s">
        <v>1160</v>
      </c>
      <c r="E644" s="505" t="s">
        <v>2198</v>
      </c>
      <c r="F644" s="503" t="s">
        <v>48</v>
      </c>
      <c r="G644" s="400" t="str">
        <f t="shared" si="39"/>
        <v>BB01-8</v>
      </c>
      <c r="H644" s="507">
        <v>8</v>
      </c>
      <c r="I644" s="506"/>
      <c r="J644" s="500"/>
      <c r="K644" s="397" t="s">
        <v>193</v>
      </c>
      <c r="L644" s="395">
        <f t="shared" si="40"/>
        <v>1</v>
      </c>
      <c r="M644" s="395">
        <v>1</v>
      </c>
      <c r="N644" s="395"/>
      <c r="O644" s="395"/>
      <c r="P644" s="395"/>
      <c r="Q644" s="395">
        <v>1</v>
      </c>
      <c r="R644" s="395">
        <v>1</v>
      </c>
      <c r="S644" s="395"/>
      <c r="T644" s="395"/>
      <c r="U644" s="395"/>
    </row>
    <row r="645" spans="1:21" s="407" customFormat="1" ht="12" hidden="1" customHeight="1" outlineLevel="2">
      <c r="A645" s="508"/>
      <c r="B645" s="503" t="s">
        <v>13</v>
      </c>
      <c r="C645" s="504" t="s">
        <v>2170</v>
      </c>
      <c r="D645" s="531" t="s">
        <v>1160</v>
      </c>
      <c r="E645" s="505" t="s">
        <v>2199</v>
      </c>
      <c r="F645" s="503" t="s">
        <v>48</v>
      </c>
      <c r="G645" s="400" t="str">
        <f t="shared" si="39"/>
        <v>BB01-8</v>
      </c>
      <c r="H645" s="507">
        <v>8</v>
      </c>
      <c r="I645" s="506"/>
      <c r="J645" s="500"/>
      <c r="K645" s="397" t="s">
        <v>193</v>
      </c>
      <c r="L645" s="395">
        <f t="shared" si="40"/>
        <v>1</v>
      </c>
      <c r="M645" s="395">
        <v>1</v>
      </c>
      <c r="N645" s="395"/>
      <c r="O645" s="395"/>
      <c r="P645" s="395"/>
      <c r="Q645" s="395">
        <v>1</v>
      </c>
      <c r="R645" s="395">
        <v>1</v>
      </c>
      <c r="S645" s="395"/>
      <c r="T645" s="395"/>
      <c r="U645" s="395"/>
    </row>
    <row r="646" spans="1:21" s="407" customFormat="1" ht="12" hidden="1" customHeight="1" outlineLevel="2">
      <c r="A646" s="508"/>
      <c r="B646" s="503" t="s">
        <v>13</v>
      </c>
      <c r="C646" s="504" t="s">
        <v>2170</v>
      </c>
      <c r="D646" s="531" t="s">
        <v>1160</v>
      </c>
      <c r="E646" s="505" t="s">
        <v>2200</v>
      </c>
      <c r="F646" s="503" t="s">
        <v>48</v>
      </c>
      <c r="G646" s="400" t="str">
        <f t="shared" si="39"/>
        <v>BB01-8</v>
      </c>
      <c r="H646" s="507">
        <v>8</v>
      </c>
      <c r="I646" s="506"/>
      <c r="J646" s="500"/>
      <c r="K646" s="397" t="s">
        <v>193</v>
      </c>
      <c r="L646" s="395">
        <f t="shared" si="40"/>
        <v>1</v>
      </c>
      <c r="M646" s="395">
        <v>1</v>
      </c>
      <c r="N646" s="395"/>
      <c r="O646" s="395"/>
      <c r="P646" s="395"/>
      <c r="Q646" s="395">
        <v>1</v>
      </c>
      <c r="R646" s="395">
        <v>1</v>
      </c>
      <c r="S646" s="395"/>
      <c r="T646" s="395"/>
      <c r="U646" s="395"/>
    </row>
    <row r="647" spans="1:21" s="407" customFormat="1" ht="12" hidden="1" customHeight="1" outlineLevel="2">
      <c r="A647" s="508"/>
      <c r="B647" s="503" t="s">
        <v>13</v>
      </c>
      <c r="C647" s="504" t="s">
        <v>2170</v>
      </c>
      <c r="D647" s="531" t="s">
        <v>1160</v>
      </c>
      <c r="E647" s="505" t="s">
        <v>2200</v>
      </c>
      <c r="F647" s="503" t="s">
        <v>48</v>
      </c>
      <c r="G647" s="400" t="str">
        <f t="shared" si="39"/>
        <v>BB01-8</v>
      </c>
      <c r="H647" s="507">
        <v>8</v>
      </c>
      <c r="I647" s="506"/>
      <c r="J647" s="500"/>
      <c r="K647" s="397" t="s">
        <v>193</v>
      </c>
      <c r="L647" s="395">
        <f t="shared" si="40"/>
        <v>1</v>
      </c>
      <c r="M647" s="395">
        <v>1</v>
      </c>
      <c r="N647" s="395"/>
      <c r="O647" s="395"/>
      <c r="P647" s="395"/>
      <c r="Q647" s="395">
        <v>1</v>
      </c>
      <c r="R647" s="395">
        <v>1</v>
      </c>
      <c r="S647" s="395"/>
      <c r="T647" s="395"/>
      <c r="U647" s="395"/>
    </row>
    <row r="648" spans="1:21" s="407" customFormat="1" ht="12" hidden="1" customHeight="1" outlineLevel="2">
      <c r="A648" s="508"/>
      <c r="B648" s="503" t="s">
        <v>13</v>
      </c>
      <c r="C648" s="504" t="s">
        <v>2170</v>
      </c>
      <c r="D648" s="531" t="s">
        <v>1160</v>
      </c>
      <c r="E648" s="505" t="s">
        <v>2201</v>
      </c>
      <c r="F648" s="503" t="s">
        <v>48</v>
      </c>
      <c r="G648" s="400" t="str">
        <f t="shared" si="39"/>
        <v>BB01-8</v>
      </c>
      <c r="H648" s="507">
        <v>8</v>
      </c>
      <c r="I648" s="506"/>
      <c r="J648" s="500"/>
      <c r="K648" s="397" t="s">
        <v>193</v>
      </c>
      <c r="L648" s="395">
        <f t="shared" si="40"/>
        <v>1</v>
      </c>
      <c r="M648" s="395">
        <v>1</v>
      </c>
      <c r="N648" s="395"/>
      <c r="O648" s="395"/>
      <c r="P648" s="395"/>
      <c r="Q648" s="395">
        <v>1</v>
      </c>
      <c r="R648" s="395">
        <v>1</v>
      </c>
      <c r="S648" s="395"/>
      <c r="T648" s="395"/>
      <c r="U648" s="395"/>
    </row>
    <row r="649" spans="1:21" s="407" customFormat="1" ht="12" hidden="1" customHeight="1" outlineLevel="2">
      <c r="A649" s="508"/>
      <c r="B649" s="503" t="s">
        <v>13</v>
      </c>
      <c r="C649" s="504" t="s">
        <v>2170</v>
      </c>
      <c r="D649" s="531" t="s">
        <v>1160</v>
      </c>
      <c r="E649" s="505" t="s">
        <v>2202</v>
      </c>
      <c r="F649" s="503" t="s">
        <v>48</v>
      </c>
      <c r="G649" s="400" t="str">
        <f t="shared" si="39"/>
        <v>BB01-8</v>
      </c>
      <c r="H649" s="507">
        <v>8</v>
      </c>
      <c r="I649" s="506"/>
      <c r="J649" s="500"/>
      <c r="K649" s="397" t="s">
        <v>193</v>
      </c>
      <c r="L649" s="395">
        <f t="shared" si="40"/>
        <v>1</v>
      </c>
      <c r="M649" s="395">
        <v>1</v>
      </c>
      <c r="N649" s="395"/>
      <c r="O649" s="395"/>
      <c r="P649" s="395"/>
      <c r="Q649" s="395">
        <v>1</v>
      </c>
      <c r="R649" s="395">
        <v>1</v>
      </c>
      <c r="S649" s="395"/>
      <c r="T649" s="395"/>
      <c r="U649" s="395"/>
    </row>
    <row r="650" spans="1:21" s="407" customFormat="1" ht="12" hidden="1" customHeight="1" outlineLevel="2">
      <c r="A650" s="508"/>
      <c r="B650" s="503" t="s">
        <v>13</v>
      </c>
      <c r="C650" s="504" t="s">
        <v>2170</v>
      </c>
      <c r="D650" s="531" t="s">
        <v>1160</v>
      </c>
      <c r="E650" s="505" t="s">
        <v>2202</v>
      </c>
      <c r="F650" s="503" t="s">
        <v>48</v>
      </c>
      <c r="G650" s="400" t="str">
        <f t="shared" si="39"/>
        <v>BB01-8</v>
      </c>
      <c r="H650" s="507">
        <v>8</v>
      </c>
      <c r="I650" s="506"/>
      <c r="J650" s="500"/>
      <c r="K650" s="397" t="s">
        <v>193</v>
      </c>
      <c r="L650" s="395">
        <f t="shared" si="40"/>
        <v>1</v>
      </c>
      <c r="M650" s="395">
        <v>1</v>
      </c>
      <c r="N650" s="395"/>
      <c r="O650" s="395"/>
      <c r="P650" s="395"/>
      <c r="Q650" s="395">
        <v>1</v>
      </c>
      <c r="R650" s="395">
        <v>1</v>
      </c>
      <c r="S650" s="395"/>
      <c r="T650" s="395"/>
      <c r="U650" s="395"/>
    </row>
    <row r="651" spans="1:21" s="407" customFormat="1" ht="12" hidden="1" customHeight="1" outlineLevel="2">
      <c r="A651" s="508"/>
      <c r="B651" s="503" t="s">
        <v>13</v>
      </c>
      <c r="C651" s="504" t="s">
        <v>2170</v>
      </c>
      <c r="D651" s="531" t="s">
        <v>1160</v>
      </c>
      <c r="E651" s="505" t="s">
        <v>2203</v>
      </c>
      <c r="F651" s="503" t="s">
        <v>48</v>
      </c>
      <c r="G651" s="400" t="str">
        <f t="shared" si="39"/>
        <v>BB01-8</v>
      </c>
      <c r="H651" s="507">
        <v>8</v>
      </c>
      <c r="I651" s="506"/>
      <c r="J651" s="500"/>
      <c r="K651" s="397" t="s">
        <v>193</v>
      </c>
      <c r="L651" s="395">
        <f t="shared" si="40"/>
        <v>1</v>
      </c>
      <c r="M651" s="395">
        <v>1</v>
      </c>
      <c r="N651" s="395"/>
      <c r="O651" s="395"/>
      <c r="P651" s="395"/>
      <c r="Q651" s="395">
        <v>1</v>
      </c>
      <c r="R651" s="395">
        <v>1</v>
      </c>
      <c r="S651" s="395"/>
      <c r="T651" s="395"/>
      <c r="U651" s="395"/>
    </row>
    <row r="652" spans="1:21" s="407" customFormat="1" ht="12" hidden="1" customHeight="1" outlineLevel="2">
      <c r="A652" s="508"/>
      <c r="B652" s="503" t="s">
        <v>13</v>
      </c>
      <c r="C652" s="504" t="s">
        <v>2170</v>
      </c>
      <c r="D652" s="531" t="s">
        <v>1160</v>
      </c>
      <c r="E652" s="505" t="s">
        <v>2204</v>
      </c>
      <c r="F652" s="503" t="s">
        <v>48</v>
      </c>
      <c r="G652" s="400" t="str">
        <f t="shared" si="39"/>
        <v>BB01-8</v>
      </c>
      <c r="H652" s="507">
        <v>8</v>
      </c>
      <c r="I652" s="506"/>
      <c r="J652" s="500"/>
      <c r="K652" s="397" t="s">
        <v>193</v>
      </c>
      <c r="L652" s="395">
        <f t="shared" si="40"/>
        <v>1</v>
      </c>
      <c r="M652" s="395">
        <v>1</v>
      </c>
      <c r="N652" s="395"/>
      <c r="O652" s="395"/>
      <c r="P652" s="395"/>
      <c r="Q652" s="395">
        <v>1</v>
      </c>
      <c r="R652" s="395">
        <v>1</v>
      </c>
      <c r="S652" s="395"/>
      <c r="T652" s="395"/>
      <c r="U652" s="395"/>
    </row>
    <row r="653" spans="1:21" s="407" customFormat="1" ht="12" hidden="1" customHeight="1" outlineLevel="2">
      <c r="A653" s="508"/>
      <c r="B653" s="503" t="s">
        <v>13</v>
      </c>
      <c r="C653" s="504" t="s">
        <v>2170</v>
      </c>
      <c r="D653" s="531" t="s">
        <v>1160</v>
      </c>
      <c r="E653" s="505" t="s">
        <v>2204</v>
      </c>
      <c r="F653" s="503" t="s">
        <v>48</v>
      </c>
      <c r="G653" s="400" t="str">
        <f t="shared" si="39"/>
        <v>BB01-8</v>
      </c>
      <c r="H653" s="507">
        <v>8</v>
      </c>
      <c r="I653" s="506"/>
      <c r="J653" s="500"/>
      <c r="K653" s="397" t="s">
        <v>193</v>
      </c>
      <c r="L653" s="395">
        <f t="shared" si="40"/>
        <v>1</v>
      </c>
      <c r="M653" s="395">
        <v>1</v>
      </c>
      <c r="N653" s="395"/>
      <c r="O653" s="395"/>
      <c r="P653" s="395"/>
      <c r="Q653" s="395">
        <v>1</v>
      </c>
      <c r="R653" s="395">
        <v>1</v>
      </c>
      <c r="S653" s="395"/>
      <c r="T653" s="395"/>
      <c r="U653" s="395"/>
    </row>
    <row r="654" spans="1:21" s="407" customFormat="1" ht="12" hidden="1" customHeight="1" outlineLevel="2">
      <c r="A654" s="508"/>
      <c r="B654" s="503" t="s">
        <v>13</v>
      </c>
      <c r="C654" s="504" t="s">
        <v>2170</v>
      </c>
      <c r="D654" s="531" t="s">
        <v>1160</v>
      </c>
      <c r="E654" s="505" t="s">
        <v>2204</v>
      </c>
      <c r="F654" s="503" t="s">
        <v>48</v>
      </c>
      <c r="G654" s="400" t="str">
        <f t="shared" si="39"/>
        <v>BB01-8</v>
      </c>
      <c r="H654" s="507">
        <v>8</v>
      </c>
      <c r="I654" s="506"/>
      <c r="J654" s="500"/>
      <c r="K654" s="397" t="s">
        <v>193</v>
      </c>
      <c r="L654" s="395">
        <f t="shared" si="40"/>
        <v>1</v>
      </c>
      <c r="M654" s="395">
        <v>1</v>
      </c>
      <c r="N654" s="395"/>
      <c r="O654" s="395"/>
      <c r="P654" s="395"/>
      <c r="Q654" s="395">
        <v>1</v>
      </c>
      <c r="R654" s="395">
        <v>1</v>
      </c>
      <c r="S654" s="395"/>
      <c r="T654" s="395"/>
      <c r="U654" s="395"/>
    </row>
    <row r="655" spans="1:21" s="407" customFormat="1" ht="12" hidden="1" customHeight="1" outlineLevel="2">
      <c r="A655" s="508"/>
      <c r="B655" s="503" t="s">
        <v>13</v>
      </c>
      <c r="C655" s="504" t="s">
        <v>2170</v>
      </c>
      <c r="D655" s="531" t="s">
        <v>1160</v>
      </c>
      <c r="E655" s="505" t="s">
        <v>2205</v>
      </c>
      <c r="F655" s="503" t="s">
        <v>48</v>
      </c>
      <c r="G655" s="400" t="str">
        <f t="shared" si="39"/>
        <v>BB01-8</v>
      </c>
      <c r="H655" s="507">
        <v>8</v>
      </c>
      <c r="I655" s="506"/>
      <c r="J655" s="500"/>
      <c r="K655" s="397" t="s">
        <v>193</v>
      </c>
      <c r="L655" s="395">
        <f t="shared" si="40"/>
        <v>1</v>
      </c>
      <c r="M655" s="395">
        <v>1</v>
      </c>
      <c r="N655" s="395"/>
      <c r="O655" s="395"/>
      <c r="P655" s="395"/>
      <c r="Q655" s="395">
        <v>1</v>
      </c>
      <c r="R655" s="395">
        <v>1</v>
      </c>
      <c r="S655" s="395"/>
      <c r="T655" s="395"/>
      <c r="U655" s="395"/>
    </row>
    <row r="656" spans="1:21" s="407" customFormat="1" ht="12" hidden="1" customHeight="1" outlineLevel="2">
      <c r="A656" s="508"/>
      <c r="B656" s="503" t="s">
        <v>13</v>
      </c>
      <c r="C656" s="504" t="s">
        <v>2170</v>
      </c>
      <c r="D656" s="531" t="s">
        <v>1160</v>
      </c>
      <c r="E656" s="505" t="s">
        <v>2206</v>
      </c>
      <c r="F656" s="503" t="s">
        <v>48</v>
      </c>
      <c r="G656" s="400" t="str">
        <f t="shared" si="39"/>
        <v>BB01-8</v>
      </c>
      <c r="H656" s="507">
        <v>8</v>
      </c>
      <c r="I656" s="506"/>
      <c r="J656" s="500"/>
      <c r="K656" s="397" t="s">
        <v>193</v>
      </c>
      <c r="L656" s="395">
        <f t="shared" si="40"/>
        <v>1</v>
      </c>
      <c r="M656" s="395">
        <v>1</v>
      </c>
      <c r="N656" s="395"/>
      <c r="O656" s="395"/>
      <c r="P656" s="395"/>
      <c r="Q656" s="395">
        <v>1</v>
      </c>
      <c r="R656" s="395">
        <v>1</v>
      </c>
      <c r="S656" s="395"/>
      <c r="T656" s="395"/>
      <c r="U656" s="395"/>
    </row>
    <row r="657" spans="1:21" s="407" customFormat="1" ht="12" hidden="1" customHeight="1" outlineLevel="2">
      <c r="A657" s="508"/>
      <c r="B657" s="503" t="s">
        <v>13</v>
      </c>
      <c r="C657" s="504" t="s">
        <v>2170</v>
      </c>
      <c r="D657" s="531" t="s">
        <v>1160</v>
      </c>
      <c r="E657" s="505" t="s">
        <v>2206</v>
      </c>
      <c r="F657" s="503" t="s">
        <v>48</v>
      </c>
      <c r="G657" s="400" t="str">
        <f t="shared" si="39"/>
        <v>BB01-8</v>
      </c>
      <c r="H657" s="507">
        <v>8</v>
      </c>
      <c r="I657" s="506"/>
      <c r="J657" s="500"/>
      <c r="K657" s="397" t="s">
        <v>193</v>
      </c>
      <c r="L657" s="395">
        <f t="shared" si="40"/>
        <v>1</v>
      </c>
      <c r="M657" s="395">
        <v>1</v>
      </c>
      <c r="N657" s="395"/>
      <c r="O657" s="395"/>
      <c r="P657" s="395"/>
      <c r="Q657" s="395">
        <v>1</v>
      </c>
      <c r="R657" s="395">
        <v>1</v>
      </c>
      <c r="S657" s="395"/>
      <c r="T657" s="395"/>
      <c r="U657" s="395"/>
    </row>
    <row r="658" spans="1:21" s="407" customFormat="1" ht="12" hidden="1" customHeight="1" outlineLevel="2">
      <c r="A658" s="508"/>
      <c r="B658" s="503" t="s">
        <v>13</v>
      </c>
      <c r="C658" s="504" t="s">
        <v>2170</v>
      </c>
      <c r="D658" s="531" t="s">
        <v>1160</v>
      </c>
      <c r="E658" s="505" t="s">
        <v>2206</v>
      </c>
      <c r="F658" s="503" t="s">
        <v>48</v>
      </c>
      <c r="G658" s="400" t="str">
        <f t="shared" si="39"/>
        <v>BB01-8</v>
      </c>
      <c r="H658" s="507">
        <v>8</v>
      </c>
      <c r="I658" s="506"/>
      <c r="J658" s="500"/>
      <c r="K658" s="397" t="s">
        <v>193</v>
      </c>
      <c r="L658" s="395">
        <f t="shared" si="40"/>
        <v>1</v>
      </c>
      <c r="M658" s="395">
        <v>1</v>
      </c>
      <c r="N658" s="395"/>
      <c r="O658" s="395"/>
      <c r="P658" s="395"/>
      <c r="Q658" s="395">
        <v>1</v>
      </c>
      <c r="R658" s="395">
        <v>1</v>
      </c>
      <c r="S658" s="395"/>
      <c r="T658" s="395"/>
      <c r="U658" s="395"/>
    </row>
    <row r="659" spans="1:21" s="407" customFormat="1" ht="12" hidden="1" customHeight="1" outlineLevel="2">
      <c r="A659" s="508"/>
      <c r="B659" s="503" t="s">
        <v>13</v>
      </c>
      <c r="C659" s="504" t="s">
        <v>2170</v>
      </c>
      <c r="D659" s="531" t="s">
        <v>1160</v>
      </c>
      <c r="E659" s="505" t="s">
        <v>2207</v>
      </c>
      <c r="F659" s="503" t="s">
        <v>48</v>
      </c>
      <c r="G659" s="400" t="str">
        <f t="shared" si="39"/>
        <v>BB01-8</v>
      </c>
      <c r="H659" s="507">
        <v>8</v>
      </c>
      <c r="I659" s="506"/>
      <c r="J659" s="500"/>
      <c r="K659" s="397" t="s">
        <v>193</v>
      </c>
      <c r="L659" s="395">
        <f t="shared" si="40"/>
        <v>1</v>
      </c>
      <c r="M659" s="395">
        <v>1</v>
      </c>
      <c r="N659" s="395"/>
      <c r="O659" s="395"/>
      <c r="P659" s="395"/>
      <c r="Q659" s="395">
        <v>1</v>
      </c>
      <c r="R659" s="395">
        <v>1</v>
      </c>
      <c r="S659" s="395"/>
      <c r="T659" s="395"/>
      <c r="U659" s="395"/>
    </row>
    <row r="660" spans="1:21" s="407" customFormat="1" ht="12" hidden="1" customHeight="1" outlineLevel="2">
      <c r="A660" s="508"/>
      <c r="B660" s="503" t="s">
        <v>13</v>
      </c>
      <c r="C660" s="504" t="s">
        <v>2170</v>
      </c>
      <c r="D660" s="531" t="s">
        <v>1160</v>
      </c>
      <c r="E660" s="505" t="s">
        <v>2208</v>
      </c>
      <c r="F660" s="503" t="s">
        <v>48</v>
      </c>
      <c r="G660" s="400" t="str">
        <f t="shared" si="39"/>
        <v>BB01-8</v>
      </c>
      <c r="H660" s="507">
        <v>8</v>
      </c>
      <c r="I660" s="506"/>
      <c r="J660" s="500"/>
      <c r="K660" s="397" t="s">
        <v>193</v>
      </c>
      <c r="L660" s="395">
        <f t="shared" si="40"/>
        <v>1</v>
      </c>
      <c r="M660" s="395">
        <v>1</v>
      </c>
      <c r="N660" s="395"/>
      <c r="O660" s="395"/>
      <c r="P660" s="395"/>
      <c r="Q660" s="395">
        <v>1</v>
      </c>
      <c r="R660" s="395">
        <v>1</v>
      </c>
      <c r="S660" s="395"/>
      <c r="T660" s="395"/>
      <c r="U660" s="395"/>
    </row>
    <row r="661" spans="1:21" s="407" customFormat="1" ht="12" hidden="1" customHeight="1" outlineLevel="2">
      <c r="A661" s="508"/>
      <c r="B661" s="503" t="s">
        <v>13</v>
      </c>
      <c r="C661" s="504" t="s">
        <v>2170</v>
      </c>
      <c r="D661" s="531" t="s">
        <v>1160</v>
      </c>
      <c r="E661" s="505" t="s">
        <v>2208</v>
      </c>
      <c r="F661" s="503" t="s">
        <v>48</v>
      </c>
      <c r="G661" s="400" t="str">
        <f t="shared" si="39"/>
        <v>BB01-8</v>
      </c>
      <c r="H661" s="507">
        <v>8</v>
      </c>
      <c r="I661" s="506"/>
      <c r="J661" s="500"/>
      <c r="K661" s="397" t="s">
        <v>193</v>
      </c>
      <c r="L661" s="395">
        <f t="shared" si="40"/>
        <v>1</v>
      </c>
      <c r="M661" s="395">
        <v>1</v>
      </c>
      <c r="N661" s="395"/>
      <c r="O661" s="395"/>
      <c r="P661" s="395"/>
      <c r="Q661" s="395">
        <v>1</v>
      </c>
      <c r="R661" s="395">
        <v>1</v>
      </c>
      <c r="S661" s="395"/>
      <c r="T661" s="395"/>
      <c r="U661" s="395"/>
    </row>
    <row r="662" spans="1:21" s="407" customFormat="1" ht="12" hidden="1" customHeight="1" outlineLevel="2">
      <c r="A662" s="508"/>
      <c r="B662" s="503" t="s">
        <v>13</v>
      </c>
      <c r="C662" s="504" t="s">
        <v>2170</v>
      </c>
      <c r="D662" s="531" t="s">
        <v>1160</v>
      </c>
      <c r="E662" s="505" t="s">
        <v>2209</v>
      </c>
      <c r="F662" s="503" t="s">
        <v>48</v>
      </c>
      <c r="G662" s="400" t="str">
        <f t="shared" si="39"/>
        <v>BB01-8</v>
      </c>
      <c r="H662" s="507">
        <v>8</v>
      </c>
      <c r="I662" s="506"/>
      <c r="J662" s="500"/>
      <c r="K662" s="397" t="s">
        <v>193</v>
      </c>
      <c r="L662" s="395">
        <f t="shared" si="40"/>
        <v>1</v>
      </c>
      <c r="M662" s="395">
        <v>1</v>
      </c>
      <c r="N662" s="395"/>
      <c r="O662" s="395"/>
      <c r="P662" s="395"/>
      <c r="Q662" s="395">
        <v>1</v>
      </c>
      <c r="R662" s="395">
        <v>1</v>
      </c>
      <c r="S662" s="395"/>
      <c r="T662" s="395"/>
      <c r="U662" s="395"/>
    </row>
    <row r="663" spans="1:21" s="407" customFormat="1" ht="12" hidden="1" customHeight="1" outlineLevel="2">
      <c r="A663" s="508"/>
      <c r="B663" s="503" t="s">
        <v>13</v>
      </c>
      <c r="C663" s="504" t="s">
        <v>2170</v>
      </c>
      <c r="D663" s="531" t="s">
        <v>1160</v>
      </c>
      <c r="E663" s="505" t="s">
        <v>2210</v>
      </c>
      <c r="F663" s="503" t="s">
        <v>48</v>
      </c>
      <c r="G663" s="400" t="str">
        <f t="shared" si="39"/>
        <v>BB01-8</v>
      </c>
      <c r="H663" s="507">
        <v>8</v>
      </c>
      <c r="I663" s="506"/>
      <c r="J663" s="500"/>
      <c r="K663" s="397" t="s">
        <v>193</v>
      </c>
      <c r="L663" s="395">
        <f t="shared" si="40"/>
        <v>1</v>
      </c>
      <c r="M663" s="395">
        <v>1</v>
      </c>
      <c r="N663" s="395"/>
      <c r="O663" s="395"/>
      <c r="P663" s="395"/>
      <c r="Q663" s="395">
        <v>1</v>
      </c>
      <c r="R663" s="395">
        <v>1</v>
      </c>
      <c r="S663" s="395"/>
      <c r="T663" s="395"/>
      <c r="U663" s="395"/>
    </row>
    <row r="664" spans="1:21" s="407" customFormat="1" ht="12" hidden="1" customHeight="1" outlineLevel="2">
      <c r="A664" s="508"/>
      <c r="B664" s="503" t="s">
        <v>13</v>
      </c>
      <c r="C664" s="504" t="s">
        <v>2170</v>
      </c>
      <c r="D664" s="531" t="s">
        <v>1160</v>
      </c>
      <c r="E664" s="505" t="s">
        <v>2210</v>
      </c>
      <c r="F664" s="503" t="s">
        <v>48</v>
      </c>
      <c r="G664" s="400" t="str">
        <f t="shared" si="39"/>
        <v>BB01-8</v>
      </c>
      <c r="H664" s="507">
        <v>8</v>
      </c>
      <c r="I664" s="506"/>
      <c r="J664" s="500"/>
      <c r="K664" s="397" t="s">
        <v>193</v>
      </c>
      <c r="L664" s="395">
        <f t="shared" si="40"/>
        <v>1</v>
      </c>
      <c r="M664" s="395">
        <v>1</v>
      </c>
      <c r="N664" s="395"/>
      <c r="O664" s="395"/>
      <c r="P664" s="395"/>
      <c r="Q664" s="395">
        <v>1</v>
      </c>
      <c r="R664" s="395">
        <v>1</v>
      </c>
      <c r="S664" s="395"/>
      <c r="T664" s="395"/>
      <c r="U664" s="395"/>
    </row>
    <row r="665" spans="1:21" s="407" customFormat="1" ht="12" hidden="1" customHeight="1" outlineLevel="2">
      <c r="A665" s="508"/>
      <c r="B665" s="503" t="s">
        <v>13</v>
      </c>
      <c r="C665" s="504" t="s">
        <v>2170</v>
      </c>
      <c r="D665" s="531" t="s">
        <v>1160</v>
      </c>
      <c r="E665" s="505" t="s">
        <v>2211</v>
      </c>
      <c r="F665" s="503" t="s">
        <v>48</v>
      </c>
      <c r="G665" s="400" t="str">
        <f t="shared" si="39"/>
        <v>BB01-8</v>
      </c>
      <c r="H665" s="507">
        <v>8</v>
      </c>
      <c r="I665" s="506"/>
      <c r="J665" s="500"/>
      <c r="K665" s="397" t="s">
        <v>193</v>
      </c>
      <c r="L665" s="395">
        <f t="shared" si="40"/>
        <v>1</v>
      </c>
      <c r="M665" s="395">
        <v>1</v>
      </c>
      <c r="N665" s="395"/>
      <c r="O665" s="395"/>
      <c r="P665" s="395"/>
      <c r="Q665" s="395">
        <v>1</v>
      </c>
      <c r="R665" s="395">
        <v>1</v>
      </c>
      <c r="S665" s="395"/>
      <c r="T665" s="395"/>
      <c r="U665" s="395"/>
    </row>
    <row r="666" spans="1:21" s="407" customFormat="1" ht="12" hidden="1" customHeight="1" outlineLevel="2">
      <c r="A666" s="508"/>
      <c r="B666" s="503" t="s">
        <v>13</v>
      </c>
      <c r="C666" s="504" t="s">
        <v>2170</v>
      </c>
      <c r="D666" s="531" t="s">
        <v>1160</v>
      </c>
      <c r="E666" s="505" t="s">
        <v>2212</v>
      </c>
      <c r="F666" s="503" t="s">
        <v>48</v>
      </c>
      <c r="G666" s="400" t="str">
        <f t="shared" si="39"/>
        <v>BB01-8</v>
      </c>
      <c r="H666" s="507">
        <v>8</v>
      </c>
      <c r="I666" s="506"/>
      <c r="J666" s="500"/>
      <c r="K666" s="397" t="s">
        <v>193</v>
      </c>
      <c r="L666" s="395">
        <f t="shared" si="40"/>
        <v>1</v>
      </c>
      <c r="M666" s="395">
        <v>1</v>
      </c>
      <c r="N666" s="395"/>
      <c r="O666" s="395"/>
      <c r="P666" s="395"/>
      <c r="Q666" s="395">
        <v>1</v>
      </c>
      <c r="R666" s="395">
        <v>1</v>
      </c>
      <c r="S666" s="395"/>
      <c r="T666" s="395"/>
      <c r="U666" s="395"/>
    </row>
    <row r="667" spans="1:21" s="407" customFormat="1" ht="12" hidden="1" customHeight="1" outlineLevel="2">
      <c r="A667" s="508"/>
      <c r="B667" s="503" t="s">
        <v>13</v>
      </c>
      <c r="C667" s="504" t="s">
        <v>2170</v>
      </c>
      <c r="D667" s="531" t="s">
        <v>1160</v>
      </c>
      <c r="E667" s="505" t="s">
        <v>2212</v>
      </c>
      <c r="F667" s="503" t="s">
        <v>48</v>
      </c>
      <c r="G667" s="400" t="str">
        <f t="shared" si="39"/>
        <v>BB01-8</v>
      </c>
      <c r="H667" s="507">
        <v>8</v>
      </c>
      <c r="I667" s="506"/>
      <c r="J667" s="500"/>
      <c r="K667" s="397" t="s">
        <v>193</v>
      </c>
      <c r="L667" s="395">
        <f t="shared" si="40"/>
        <v>1</v>
      </c>
      <c r="M667" s="395">
        <v>1</v>
      </c>
      <c r="N667" s="395"/>
      <c r="O667" s="395"/>
      <c r="P667" s="395"/>
      <c r="Q667" s="395">
        <v>1</v>
      </c>
      <c r="R667" s="395">
        <v>1</v>
      </c>
      <c r="S667" s="395"/>
      <c r="T667" s="395"/>
      <c r="U667" s="395"/>
    </row>
    <row r="668" spans="1:21" s="407" customFormat="1" ht="12" hidden="1" customHeight="1" outlineLevel="2">
      <c r="A668" s="508"/>
      <c r="B668" s="503" t="s">
        <v>13</v>
      </c>
      <c r="C668" s="504" t="s">
        <v>2170</v>
      </c>
      <c r="D668" s="531" t="s">
        <v>1160</v>
      </c>
      <c r="E668" s="505" t="s">
        <v>2213</v>
      </c>
      <c r="F668" s="503" t="s">
        <v>48</v>
      </c>
      <c r="G668" s="400" t="str">
        <f t="shared" si="39"/>
        <v>BB01-8</v>
      </c>
      <c r="H668" s="507">
        <v>8</v>
      </c>
      <c r="I668" s="506"/>
      <c r="J668" s="500"/>
      <c r="K668" s="397" t="s">
        <v>193</v>
      </c>
      <c r="L668" s="395">
        <f t="shared" si="40"/>
        <v>1</v>
      </c>
      <c r="M668" s="395">
        <v>1</v>
      </c>
      <c r="N668" s="395"/>
      <c r="O668" s="395"/>
      <c r="P668" s="395"/>
      <c r="Q668" s="395">
        <v>1</v>
      </c>
      <c r="R668" s="395">
        <v>1</v>
      </c>
      <c r="S668" s="395"/>
      <c r="T668" s="395"/>
      <c r="U668" s="395"/>
    </row>
    <row r="669" spans="1:21" s="407" customFormat="1" ht="12" hidden="1" customHeight="1" outlineLevel="2">
      <c r="A669" s="508"/>
      <c r="B669" s="503" t="s">
        <v>13</v>
      </c>
      <c r="C669" s="504" t="s">
        <v>2170</v>
      </c>
      <c r="D669" s="531" t="s">
        <v>1160</v>
      </c>
      <c r="E669" s="505" t="s">
        <v>2214</v>
      </c>
      <c r="F669" s="503" t="s">
        <v>48</v>
      </c>
      <c r="G669" s="400" t="str">
        <f t="shared" si="39"/>
        <v>BB01-8</v>
      </c>
      <c r="H669" s="507">
        <v>8</v>
      </c>
      <c r="I669" s="506"/>
      <c r="J669" s="500"/>
      <c r="K669" s="397" t="s">
        <v>193</v>
      </c>
      <c r="L669" s="395">
        <f t="shared" si="40"/>
        <v>1</v>
      </c>
      <c r="M669" s="395">
        <v>1</v>
      </c>
      <c r="N669" s="395"/>
      <c r="O669" s="395"/>
      <c r="P669" s="395"/>
      <c r="Q669" s="395">
        <v>1</v>
      </c>
      <c r="R669" s="395">
        <v>1</v>
      </c>
      <c r="S669" s="395"/>
      <c r="T669" s="395"/>
      <c r="U669" s="395"/>
    </row>
    <row r="670" spans="1:21" s="407" customFormat="1" ht="12" hidden="1" customHeight="1" outlineLevel="2">
      <c r="A670" s="508"/>
      <c r="B670" s="503" t="s">
        <v>13</v>
      </c>
      <c r="C670" s="504" t="s">
        <v>2170</v>
      </c>
      <c r="D670" s="531" t="s">
        <v>1160</v>
      </c>
      <c r="E670" s="505" t="s">
        <v>2214</v>
      </c>
      <c r="F670" s="503" t="s">
        <v>48</v>
      </c>
      <c r="G670" s="400" t="str">
        <f t="shared" si="39"/>
        <v>BB01-8</v>
      </c>
      <c r="H670" s="507">
        <v>8</v>
      </c>
      <c r="I670" s="506"/>
      <c r="J670" s="500"/>
      <c r="K670" s="397" t="s">
        <v>193</v>
      </c>
      <c r="L670" s="395">
        <f t="shared" si="40"/>
        <v>1</v>
      </c>
      <c r="M670" s="395">
        <v>1</v>
      </c>
      <c r="N670" s="395"/>
      <c r="O670" s="395"/>
      <c r="P670" s="395"/>
      <c r="Q670" s="395">
        <v>1</v>
      </c>
      <c r="R670" s="395">
        <v>1</v>
      </c>
      <c r="S670" s="395"/>
      <c r="T670" s="395"/>
      <c r="U670" s="395"/>
    </row>
    <row r="671" spans="1:21" s="407" customFormat="1" ht="12" hidden="1" customHeight="1" outlineLevel="2">
      <c r="A671" s="508"/>
      <c r="B671" s="503" t="s">
        <v>13</v>
      </c>
      <c r="C671" s="504" t="s">
        <v>2170</v>
      </c>
      <c r="D671" s="531" t="s">
        <v>1160</v>
      </c>
      <c r="E671" s="505" t="s">
        <v>2214</v>
      </c>
      <c r="F671" s="503" t="s">
        <v>48</v>
      </c>
      <c r="G671" s="400" t="str">
        <f t="shared" si="39"/>
        <v>BB01-8</v>
      </c>
      <c r="H671" s="507">
        <v>8</v>
      </c>
      <c r="I671" s="506"/>
      <c r="J671" s="500"/>
      <c r="K671" s="397" t="s">
        <v>193</v>
      </c>
      <c r="L671" s="395">
        <f t="shared" si="40"/>
        <v>1</v>
      </c>
      <c r="M671" s="395">
        <v>1</v>
      </c>
      <c r="N671" s="395"/>
      <c r="O671" s="395"/>
      <c r="P671" s="395"/>
      <c r="Q671" s="395">
        <v>1</v>
      </c>
      <c r="R671" s="395">
        <v>1</v>
      </c>
      <c r="S671" s="395"/>
      <c r="T671" s="395"/>
      <c r="U671" s="395"/>
    </row>
    <row r="672" spans="1:21" s="407" customFormat="1" ht="12" hidden="1" customHeight="1" outlineLevel="2">
      <c r="A672" s="508"/>
      <c r="B672" s="503"/>
      <c r="C672" s="504"/>
      <c r="D672" s="531"/>
      <c r="E672" s="505"/>
      <c r="F672" s="503"/>
      <c r="G672" s="400"/>
      <c r="H672" s="507"/>
      <c r="I672" s="506"/>
      <c r="J672" s="500"/>
      <c r="K672" s="397"/>
      <c r="L672" s="395"/>
      <c r="M672" s="395"/>
      <c r="N672" s="395"/>
      <c r="O672" s="395"/>
      <c r="P672" s="395"/>
      <c r="Q672" s="395"/>
      <c r="R672" s="395"/>
      <c r="S672" s="395"/>
      <c r="T672" s="395"/>
      <c r="U672" s="395"/>
    </row>
    <row r="673" spans="1:21" s="407" customFormat="1" ht="12" hidden="1" customHeight="1" outlineLevel="2">
      <c r="A673" s="508"/>
      <c r="B673" s="503" t="s">
        <v>13</v>
      </c>
      <c r="C673" s="504" t="s">
        <v>2170</v>
      </c>
      <c r="D673" s="531" t="s">
        <v>1160</v>
      </c>
      <c r="E673" s="505" t="s">
        <v>2215</v>
      </c>
      <c r="F673" s="503" t="s">
        <v>48</v>
      </c>
      <c r="G673" s="400" t="str">
        <f t="shared" si="36"/>
        <v>BB01-8</v>
      </c>
      <c r="H673" s="507">
        <v>8</v>
      </c>
      <c r="I673" s="506"/>
      <c r="J673" s="500">
        <v>0</v>
      </c>
      <c r="K673" s="397"/>
      <c r="L673" s="395">
        <f t="shared" si="37"/>
        <v>1</v>
      </c>
      <c r="M673" s="395">
        <v>1</v>
      </c>
      <c r="N673" s="395"/>
      <c r="O673" s="395"/>
      <c r="P673" s="395"/>
      <c r="Q673" s="395">
        <f t="shared" si="38"/>
        <v>0</v>
      </c>
      <c r="R673" s="395"/>
      <c r="S673" s="395"/>
      <c r="T673" s="395"/>
      <c r="U673" s="395"/>
    </row>
    <row r="674" spans="1:21" s="407" customFormat="1" ht="12" hidden="1" customHeight="1" outlineLevel="2">
      <c r="A674" s="508"/>
      <c r="B674" s="503" t="s">
        <v>13</v>
      </c>
      <c r="C674" s="504" t="s">
        <v>2170</v>
      </c>
      <c r="D674" s="531" t="s">
        <v>1165</v>
      </c>
      <c r="E674" s="505" t="s">
        <v>2216</v>
      </c>
      <c r="F674" s="503" t="s">
        <v>48</v>
      </c>
      <c r="G674" s="400" t="str">
        <f t="shared" si="36"/>
        <v>BB01-8</v>
      </c>
      <c r="H674" s="507">
        <v>8</v>
      </c>
      <c r="I674" s="506"/>
      <c r="J674" s="500">
        <v>0</v>
      </c>
      <c r="K674" s="397"/>
      <c r="L674" s="395">
        <f t="shared" si="37"/>
        <v>1</v>
      </c>
      <c r="M674" s="395">
        <v>1</v>
      </c>
      <c r="N674" s="395"/>
      <c r="O674" s="395"/>
      <c r="P674" s="395"/>
      <c r="Q674" s="395">
        <f t="shared" si="38"/>
        <v>0</v>
      </c>
      <c r="R674" s="395"/>
      <c r="S674" s="395"/>
      <c r="T674" s="395"/>
      <c r="U674" s="395"/>
    </row>
    <row r="675" spans="1:21" s="407" customFormat="1" ht="12" hidden="1" customHeight="1" outlineLevel="2">
      <c r="A675" s="508"/>
      <c r="B675" s="503" t="s">
        <v>13</v>
      </c>
      <c r="C675" s="504" t="s">
        <v>2170</v>
      </c>
      <c r="D675" s="531" t="s">
        <v>1165</v>
      </c>
      <c r="E675" s="505" t="s">
        <v>2217</v>
      </c>
      <c r="F675" s="503" t="s">
        <v>48</v>
      </c>
      <c r="G675" s="400" t="str">
        <f t="shared" si="36"/>
        <v>BB01-8</v>
      </c>
      <c r="H675" s="507">
        <v>8</v>
      </c>
      <c r="I675" s="506"/>
      <c r="J675" s="500">
        <v>0</v>
      </c>
      <c r="K675" s="397"/>
      <c r="L675" s="395">
        <f t="shared" si="37"/>
        <v>1</v>
      </c>
      <c r="M675" s="395">
        <v>1</v>
      </c>
      <c r="N675" s="395"/>
      <c r="O675" s="395"/>
      <c r="P675" s="395"/>
      <c r="Q675" s="395">
        <f t="shared" si="38"/>
        <v>0</v>
      </c>
      <c r="R675" s="395"/>
      <c r="S675" s="395"/>
      <c r="T675" s="395"/>
      <c r="U675" s="395"/>
    </row>
    <row r="676" spans="1:21" s="407" customFormat="1" ht="12" hidden="1" customHeight="1" outlineLevel="2">
      <c r="A676" s="509"/>
      <c r="B676" s="503" t="s">
        <v>13</v>
      </c>
      <c r="C676" s="504" t="s">
        <v>2170</v>
      </c>
      <c r="D676" s="531" t="s">
        <v>2218</v>
      </c>
      <c r="E676" s="505" t="s">
        <v>2219</v>
      </c>
      <c r="F676" s="503" t="s">
        <v>48</v>
      </c>
      <c r="G676" s="400" t="str">
        <f t="shared" si="36"/>
        <v>BB01-8</v>
      </c>
      <c r="H676" s="507">
        <v>8</v>
      </c>
      <c r="I676" s="506"/>
      <c r="J676" s="500">
        <v>0</v>
      </c>
      <c r="K676" s="397"/>
      <c r="L676" s="395">
        <f t="shared" si="37"/>
        <v>1</v>
      </c>
      <c r="M676" s="395">
        <v>1</v>
      </c>
      <c r="N676" s="395"/>
      <c r="O676" s="395"/>
      <c r="P676" s="395"/>
      <c r="Q676" s="395">
        <f t="shared" si="38"/>
        <v>0</v>
      </c>
      <c r="R676" s="395"/>
      <c r="S676" s="395"/>
      <c r="T676" s="395"/>
      <c r="U676" s="395"/>
    </row>
    <row r="677" spans="1:21" s="407" customFormat="1" ht="12" hidden="1" customHeight="1" outlineLevel="2">
      <c r="A677" s="509"/>
      <c r="B677" s="503" t="s">
        <v>13</v>
      </c>
      <c r="C677" s="504" t="s">
        <v>2170</v>
      </c>
      <c r="D677" s="531" t="s">
        <v>2218</v>
      </c>
      <c r="E677" s="505" t="s">
        <v>2220</v>
      </c>
      <c r="F677" s="503" t="s">
        <v>48</v>
      </c>
      <c r="G677" s="400" t="str">
        <f t="shared" si="36"/>
        <v>BB01-8</v>
      </c>
      <c r="H677" s="507">
        <v>8</v>
      </c>
      <c r="I677" s="506"/>
      <c r="J677" s="500">
        <v>0</v>
      </c>
      <c r="K677" s="397"/>
      <c r="L677" s="395">
        <f t="shared" si="37"/>
        <v>1</v>
      </c>
      <c r="M677" s="395">
        <v>1</v>
      </c>
      <c r="N677" s="395"/>
      <c r="O677" s="395"/>
      <c r="P677" s="395"/>
      <c r="Q677" s="395">
        <f t="shared" si="38"/>
        <v>0</v>
      </c>
      <c r="R677" s="395"/>
      <c r="S677" s="395"/>
      <c r="T677" s="395"/>
      <c r="U677" s="395"/>
    </row>
    <row r="678" spans="1:21" s="407" customFormat="1" ht="12" hidden="1" customHeight="1" outlineLevel="2">
      <c r="A678" s="509"/>
      <c r="B678" s="503" t="s">
        <v>13</v>
      </c>
      <c r="C678" s="504" t="s">
        <v>2170</v>
      </c>
      <c r="D678" s="531" t="s">
        <v>2218</v>
      </c>
      <c r="E678" s="505" t="s">
        <v>2221</v>
      </c>
      <c r="F678" s="503" t="s">
        <v>48</v>
      </c>
      <c r="G678" s="400" t="str">
        <f t="shared" si="36"/>
        <v>BB01-8</v>
      </c>
      <c r="H678" s="507">
        <v>8</v>
      </c>
      <c r="I678" s="506"/>
      <c r="J678" s="500">
        <v>0</v>
      </c>
      <c r="K678" s="397"/>
      <c r="L678" s="395">
        <f t="shared" si="37"/>
        <v>1</v>
      </c>
      <c r="M678" s="395">
        <v>1</v>
      </c>
      <c r="N678" s="395"/>
      <c r="O678" s="395"/>
      <c r="P678" s="395"/>
      <c r="Q678" s="395">
        <f t="shared" si="38"/>
        <v>0</v>
      </c>
      <c r="R678" s="395"/>
      <c r="S678" s="395"/>
      <c r="T678" s="395"/>
      <c r="U678" s="395"/>
    </row>
    <row r="679" spans="1:21" s="407" customFormat="1" ht="3" hidden="1" customHeight="1" outlineLevel="1">
      <c r="A679" s="369"/>
      <c r="B679" s="503"/>
      <c r="C679" s="504"/>
      <c r="D679" s="531"/>
      <c r="E679" s="505"/>
      <c r="F679" s="503"/>
      <c r="G679" s="400"/>
      <c r="H679" s="507"/>
      <c r="I679" s="506"/>
      <c r="J679" s="500"/>
      <c r="K679" s="397"/>
      <c r="L679" s="501"/>
      <c r="M679" s="395"/>
      <c r="N679" s="395"/>
      <c r="O679" s="395"/>
      <c r="P679" s="395"/>
      <c r="Q679" s="395"/>
      <c r="R679" s="395"/>
      <c r="S679" s="395"/>
      <c r="T679" s="395"/>
      <c r="U679" s="395"/>
    </row>
    <row r="680" spans="1:21" s="407" customFormat="1" ht="12" hidden="1" customHeight="1" outlineLevel="1">
      <c r="A680" s="460" t="s">
        <v>159</v>
      </c>
      <c r="B680" s="460" t="s">
        <v>67</v>
      </c>
      <c r="C680" s="460"/>
      <c r="D680" s="459"/>
      <c r="E680" s="460"/>
      <c r="F680" s="503"/>
      <c r="G680" s="400"/>
      <c r="H680" s="507"/>
      <c r="I680" s="506"/>
      <c r="J680" s="500"/>
      <c r="K680" s="397"/>
      <c r="L680" s="395"/>
      <c r="M680" s="395"/>
      <c r="N680" s="395"/>
      <c r="O680" s="395"/>
      <c r="P680" s="395"/>
      <c r="Q680" s="395"/>
      <c r="R680" s="395"/>
      <c r="S680" s="395"/>
      <c r="T680" s="395"/>
      <c r="U680" s="395"/>
    </row>
    <row r="681" spans="1:21" s="407" customFormat="1" ht="12" hidden="1" customHeight="1" outlineLevel="2">
      <c r="A681" s="508"/>
      <c r="B681" s="503"/>
      <c r="C681" s="504"/>
      <c r="D681" s="531" t="s">
        <v>2222</v>
      </c>
      <c r="E681" s="505" t="s">
        <v>2223</v>
      </c>
      <c r="F681" s="503"/>
      <c r="G681" s="400"/>
      <c r="H681" s="507">
        <v>9</v>
      </c>
      <c r="I681" s="506"/>
      <c r="J681" s="500">
        <v>1</v>
      </c>
      <c r="K681" s="397" t="s">
        <v>193</v>
      </c>
      <c r="L681" s="395"/>
      <c r="M681" s="395"/>
      <c r="O681" s="395"/>
      <c r="P681" s="395"/>
      <c r="Q681" s="395"/>
      <c r="R681" s="395"/>
      <c r="S681" s="395"/>
      <c r="T681" s="395"/>
      <c r="U681" s="395"/>
    </row>
    <row r="682" spans="1:21" s="407" customFormat="1" ht="12" customHeight="1" outlineLevel="2">
      <c r="A682" s="508"/>
      <c r="B682" s="503" t="s">
        <v>13</v>
      </c>
      <c r="C682" s="504" t="s">
        <v>2170</v>
      </c>
      <c r="D682" s="531" t="s">
        <v>1158</v>
      </c>
      <c r="E682" s="505" t="s">
        <v>2224</v>
      </c>
      <c r="F682" s="503" t="s">
        <v>48</v>
      </c>
      <c r="G682" s="400" t="str">
        <f t="shared" ref="G682:G686" si="41">CONCATENATE(F682,"-",H682)</f>
        <v>BB01-9</v>
      </c>
      <c r="H682" s="507">
        <v>9</v>
      </c>
      <c r="I682" s="506"/>
      <c r="J682" s="500">
        <v>0</v>
      </c>
      <c r="K682" s="397"/>
      <c r="L682" s="395">
        <f t="shared" ref="L682:L686" si="42">--(COUNTIF(M682:P682,1)&gt;0)</f>
        <v>1</v>
      </c>
      <c r="M682" s="395">
        <v>1</v>
      </c>
      <c r="O682" s="395"/>
      <c r="P682" s="395"/>
      <c r="Q682" s="395">
        <f t="shared" ref="Q682:Q686" si="43">--(COUNTIF(R682:U682,1)&gt;0)</f>
        <v>0</v>
      </c>
      <c r="R682" s="395"/>
      <c r="S682" s="395"/>
      <c r="T682" s="395"/>
      <c r="U682" s="395"/>
    </row>
    <row r="683" spans="1:21" s="407" customFormat="1" ht="12" customHeight="1" outlineLevel="2">
      <c r="A683" s="508"/>
      <c r="B683" s="503" t="s">
        <v>13</v>
      </c>
      <c r="C683" s="504" t="s">
        <v>2170</v>
      </c>
      <c r="D683" s="531" t="s">
        <v>1160</v>
      </c>
      <c r="E683" s="505" t="s">
        <v>2225</v>
      </c>
      <c r="F683" s="503" t="s">
        <v>48</v>
      </c>
      <c r="G683" s="400" t="str">
        <f t="shared" si="41"/>
        <v>BB01-9</v>
      </c>
      <c r="H683" s="507">
        <v>9</v>
      </c>
      <c r="I683" s="506"/>
      <c r="J683" s="500">
        <v>0</v>
      </c>
      <c r="K683" s="397"/>
      <c r="L683" s="395">
        <f t="shared" si="42"/>
        <v>1</v>
      </c>
      <c r="M683" s="395">
        <v>1</v>
      </c>
      <c r="O683" s="395"/>
      <c r="P683" s="395"/>
      <c r="Q683" s="395">
        <f t="shared" si="43"/>
        <v>0</v>
      </c>
      <c r="R683" s="395"/>
      <c r="S683" s="395"/>
      <c r="T683" s="395"/>
      <c r="U683" s="395"/>
    </row>
    <row r="684" spans="1:21" s="407" customFormat="1" ht="12" customHeight="1" outlineLevel="2">
      <c r="A684" s="508"/>
      <c r="B684" s="503" t="s">
        <v>13</v>
      </c>
      <c r="C684" s="504" t="s">
        <v>2170</v>
      </c>
      <c r="D684" s="531" t="s">
        <v>1160</v>
      </c>
      <c r="E684" s="505" t="s">
        <v>2226</v>
      </c>
      <c r="F684" s="503" t="s">
        <v>48</v>
      </c>
      <c r="G684" s="400" t="str">
        <f t="shared" si="41"/>
        <v>BB01-9</v>
      </c>
      <c r="H684" s="507">
        <v>9</v>
      </c>
      <c r="I684" s="506"/>
      <c r="J684" s="500">
        <v>0</v>
      </c>
      <c r="K684" s="397"/>
      <c r="L684" s="395">
        <f t="shared" si="42"/>
        <v>1</v>
      </c>
      <c r="M684" s="395">
        <v>1</v>
      </c>
      <c r="O684" s="395"/>
      <c r="P684" s="395"/>
      <c r="Q684" s="395">
        <f t="shared" si="43"/>
        <v>0</v>
      </c>
      <c r="R684" s="395"/>
      <c r="S684" s="395"/>
      <c r="T684" s="395"/>
      <c r="U684" s="395"/>
    </row>
    <row r="685" spans="1:21" s="407" customFormat="1" ht="12" customHeight="1" outlineLevel="2">
      <c r="A685" s="508"/>
      <c r="B685" s="503" t="s">
        <v>13</v>
      </c>
      <c r="C685" s="504" t="s">
        <v>2170</v>
      </c>
      <c r="D685" s="531" t="s">
        <v>1165</v>
      </c>
      <c r="E685" s="505" t="s">
        <v>2227</v>
      </c>
      <c r="F685" s="503" t="s">
        <v>48</v>
      </c>
      <c r="G685" s="400" t="str">
        <f t="shared" si="41"/>
        <v>BB01-9</v>
      </c>
      <c r="H685" s="507">
        <v>9</v>
      </c>
      <c r="I685" s="506"/>
      <c r="J685" s="500">
        <v>0</v>
      </c>
      <c r="K685" s="397"/>
      <c r="L685" s="395">
        <f t="shared" si="42"/>
        <v>1</v>
      </c>
      <c r="M685" s="395">
        <v>1</v>
      </c>
      <c r="O685" s="395"/>
      <c r="P685" s="395"/>
      <c r="Q685" s="395">
        <f t="shared" si="43"/>
        <v>0</v>
      </c>
      <c r="R685" s="395"/>
      <c r="S685" s="395"/>
      <c r="T685" s="395"/>
      <c r="U685" s="395"/>
    </row>
    <row r="686" spans="1:21" s="407" customFormat="1" ht="12" customHeight="1" outlineLevel="2">
      <c r="A686" s="508"/>
      <c r="B686" s="503" t="s">
        <v>13</v>
      </c>
      <c r="C686" s="504" t="s">
        <v>2170</v>
      </c>
      <c r="D686" s="531" t="s">
        <v>1165</v>
      </c>
      <c r="E686" s="505" t="s">
        <v>2228</v>
      </c>
      <c r="F686" s="503" t="s">
        <v>48</v>
      </c>
      <c r="G686" s="400" t="str">
        <f t="shared" si="41"/>
        <v>BB01-9</v>
      </c>
      <c r="H686" s="507">
        <v>9</v>
      </c>
      <c r="I686" s="506"/>
      <c r="J686" s="500">
        <v>0</v>
      </c>
      <c r="K686" s="397"/>
      <c r="L686" s="395">
        <f t="shared" si="42"/>
        <v>1</v>
      </c>
      <c r="M686" s="395">
        <v>1</v>
      </c>
      <c r="O686" s="395"/>
      <c r="P686" s="395"/>
      <c r="Q686" s="395">
        <f t="shared" si="43"/>
        <v>0</v>
      </c>
      <c r="R686" s="395"/>
      <c r="S686" s="395"/>
      <c r="T686" s="395"/>
      <c r="U686" s="395"/>
    </row>
    <row r="687" spans="1:21" s="407" customFormat="1" ht="3" hidden="1" customHeight="1">
      <c r="A687" s="512"/>
      <c r="B687" s="503"/>
      <c r="C687" s="504"/>
      <c r="D687" s="531"/>
      <c r="E687" s="505"/>
      <c r="F687" s="503"/>
      <c r="G687" s="400"/>
      <c r="H687" s="507"/>
      <c r="I687" s="506"/>
      <c r="J687" s="500"/>
      <c r="K687" s="397"/>
      <c r="L687" s="501"/>
      <c r="M687" s="395"/>
      <c r="N687" s="395"/>
      <c r="O687" s="395"/>
      <c r="P687" s="395"/>
      <c r="Q687" s="395"/>
      <c r="R687" s="395"/>
      <c r="S687" s="395"/>
      <c r="T687" s="395"/>
      <c r="U687" s="395"/>
    </row>
    <row r="688" spans="1:21" s="407" customFormat="1" ht="12" hidden="1" customHeight="1" collapsed="1">
      <c r="A688" s="466" t="s">
        <v>102</v>
      </c>
      <c r="B688" s="491"/>
      <c r="C688" s="491"/>
      <c r="D688" s="493"/>
      <c r="E688" s="493"/>
      <c r="F688" s="493"/>
      <c r="G688" s="493"/>
      <c r="H688" s="493"/>
      <c r="I688" s="506"/>
      <c r="J688" s="493"/>
      <c r="K688" s="493"/>
      <c r="L688" s="493"/>
      <c r="M688" s="493"/>
      <c r="N688" s="493"/>
      <c r="O688" s="493"/>
      <c r="P688" s="493"/>
      <c r="Q688" s="493"/>
      <c r="R688" s="493"/>
      <c r="S688" s="493"/>
      <c r="T688" s="493"/>
      <c r="U688" s="493"/>
    </row>
    <row r="689" spans="1:21" s="407" customFormat="1" ht="3" hidden="1" customHeight="1" outlineLevel="1">
      <c r="A689" s="369"/>
      <c r="B689" s="503"/>
      <c r="C689" s="504"/>
      <c r="D689" s="531"/>
      <c r="E689" s="505"/>
      <c r="F689" s="503"/>
      <c r="G689" s="400"/>
      <c r="H689" s="507"/>
      <c r="I689" s="506"/>
      <c r="J689" s="500"/>
      <c r="K689" s="397"/>
      <c r="L689" s="501"/>
      <c r="M689" s="395"/>
      <c r="N689" s="395"/>
      <c r="O689" s="395"/>
      <c r="P689" s="395"/>
      <c r="Q689" s="395"/>
      <c r="R689" s="395"/>
      <c r="S689" s="395"/>
      <c r="T689" s="395"/>
      <c r="U689" s="395"/>
    </row>
    <row r="690" spans="1:21" s="407" customFormat="1" ht="12" hidden="1" customHeight="1" outlineLevel="1">
      <c r="A690" s="460" t="s">
        <v>164</v>
      </c>
      <c r="B690" s="460" t="s">
        <v>102</v>
      </c>
      <c r="C690" s="460"/>
      <c r="D690" s="459"/>
      <c r="E690" s="460"/>
      <c r="F690" s="503"/>
      <c r="G690" s="400"/>
      <c r="H690" s="507"/>
      <c r="I690" s="506"/>
      <c r="J690" s="500"/>
      <c r="K690" s="397"/>
      <c r="L690" s="395"/>
      <c r="M690" s="395"/>
      <c r="N690" s="395"/>
      <c r="O690" s="395"/>
      <c r="P690" s="395"/>
      <c r="Q690" s="395"/>
      <c r="R690" s="395"/>
      <c r="S690" s="395"/>
      <c r="T690" s="395"/>
      <c r="U690" s="395"/>
    </row>
    <row r="691" spans="1:21" s="407" customFormat="1" ht="12" hidden="1" customHeight="1" outlineLevel="2">
      <c r="A691" s="513"/>
      <c r="B691" s="503" t="s">
        <v>13</v>
      </c>
      <c r="C691" s="504" t="s">
        <v>2229</v>
      </c>
      <c r="D691" s="531"/>
      <c r="E691" s="505" t="s">
        <v>2230</v>
      </c>
      <c r="F691" s="503" t="s">
        <v>98</v>
      </c>
      <c r="G691" s="400" t="str">
        <f>CONCATENATE(F691,"-",H691)</f>
        <v>MP-2</v>
      </c>
      <c r="H691" s="507">
        <v>2</v>
      </c>
      <c r="I691" s="506"/>
      <c r="J691" s="500">
        <v>0</v>
      </c>
      <c r="K691" s="397"/>
      <c r="L691" s="395">
        <f t="shared" ref="L691:L694" si="44">--(COUNTIF(M691:P691,1)&gt;0)</f>
        <v>1</v>
      </c>
      <c r="M691" s="395">
        <v>1</v>
      </c>
      <c r="N691" s="395"/>
      <c r="O691" s="395"/>
      <c r="P691" s="395"/>
      <c r="Q691" s="395">
        <f t="shared" ref="Q691:Q694" si="45">--(COUNTIF(R691:U691,1)&gt;0)</f>
        <v>0</v>
      </c>
      <c r="R691" s="395"/>
      <c r="S691" s="395"/>
      <c r="T691" s="395"/>
      <c r="U691" s="395"/>
    </row>
    <row r="692" spans="1:21" s="407" customFormat="1" ht="12" hidden="1" customHeight="1" outlineLevel="2">
      <c r="A692" s="513"/>
      <c r="B692" s="503" t="s">
        <v>13</v>
      </c>
      <c r="C692" s="504" t="s">
        <v>2229</v>
      </c>
      <c r="D692" s="531"/>
      <c r="E692" s="505" t="s">
        <v>2231</v>
      </c>
      <c r="F692" s="503" t="s">
        <v>98</v>
      </c>
      <c r="G692" s="400" t="str">
        <f>CONCATENATE(F692,"-",H692)</f>
        <v>MP-2</v>
      </c>
      <c r="H692" s="507">
        <v>2</v>
      </c>
      <c r="I692" s="506"/>
      <c r="J692" s="500">
        <v>0</v>
      </c>
      <c r="K692" s="397"/>
      <c r="L692" s="395">
        <f t="shared" si="44"/>
        <v>1</v>
      </c>
      <c r="M692" s="395">
        <v>1</v>
      </c>
      <c r="N692" s="395"/>
      <c r="O692" s="395"/>
      <c r="P692" s="395"/>
      <c r="Q692" s="395">
        <f t="shared" si="45"/>
        <v>0</v>
      </c>
      <c r="R692" s="395"/>
      <c r="S692" s="395"/>
      <c r="T692" s="395"/>
      <c r="U692" s="395"/>
    </row>
    <row r="693" spans="1:21" s="407" customFormat="1" ht="12" hidden="1" customHeight="1" outlineLevel="2">
      <c r="A693" s="513"/>
      <c r="B693" s="503" t="s">
        <v>13</v>
      </c>
      <c r="C693" s="504" t="s">
        <v>2229</v>
      </c>
      <c r="D693" s="531"/>
      <c r="E693" s="505" t="s">
        <v>2232</v>
      </c>
      <c r="F693" s="503" t="s">
        <v>98</v>
      </c>
      <c r="G693" s="400" t="str">
        <f>CONCATENATE(F693,"-",H693)</f>
        <v>MP-2</v>
      </c>
      <c r="H693" s="507">
        <v>2</v>
      </c>
      <c r="I693" s="506"/>
      <c r="J693" s="500">
        <v>0</v>
      </c>
      <c r="K693" s="397"/>
      <c r="L693" s="395">
        <f t="shared" si="44"/>
        <v>1</v>
      </c>
      <c r="M693" s="395">
        <v>1</v>
      </c>
      <c r="N693" s="395"/>
      <c r="O693" s="395"/>
      <c r="P693" s="395"/>
      <c r="Q693" s="395">
        <f t="shared" si="45"/>
        <v>0</v>
      </c>
      <c r="R693" s="395"/>
      <c r="S693" s="395"/>
      <c r="T693" s="395"/>
      <c r="U693" s="395"/>
    </row>
    <row r="694" spans="1:21" s="407" customFormat="1" ht="12" hidden="1" customHeight="1" outlineLevel="2">
      <c r="A694" s="513"/>
      <c r="B694" s="503" t="s">
        <v>13</v>
      </c>
      <c r="C694" s="504" t="s">
        <v>2229</v>
      </c>
      <c r="D694" s="531"/>
      <c r="E694" s="505" t="s">
        <v>2233</v>
      </c>
      <c r="F694" s="503" t="s">
        <v>98</v>
      </c>
      <c r="G694" s="400" t="str">
        <f>CONCATENATE(F694,"-",H694)</f>
        <v>MP-2</v>
      </c>
      <c r="H694" s="507">
        <v>2</v>
      </c>
      <c r="I694" s="506"/>
      <c r="J694" s="500">
        <v>0</v>
      </c>
      <c r="K694" s="397"/>
      <c r="L694" s="395">
        <f t="shared" si="44"/>
        <v>1</v>
      </c>
      <c r="M694" s="395">
        <v>1</v>
      </c>
      <c r="N694" s="395"/>
      <c r="O694" s="395"/>
      <c r="P694" s="395"/>
      <c r="Q694" s="395">
        <f t="shared" si="45"/>
        <v>0</v>
      </c>
      <c r="R694" s="395"/>
      <c r="S694" s="395"/>
      <c r="T694" s="395"/>
      <c r="U694" s="395"/>
    </row>
    <row r="695" spans="1:21" s="407" customFormat="1" ht="3" hidden="1" customHeight="1" outlineLevel="1">
      <c r="A695" s="369"/>
      <c r="B695" s="503"/>
      <c r="C695" s="504"/>
      <c r="D695" s="531"/>
      <c r="E695" s="505"/>
      <c r="F695" s="503"/>
      <c r="G695" s="400"/>
      <c r="H695" s="507"/>
      <c r="I695" s="506"/>
      <c r="J695" s="500"/>
      <c r="K695" s="397"/>
      <c r="L695" s="501"/>
      <c r="M695" s="395"/>
      <c r="N695" s="395"/>
      <c r="O695" s="395"/>
      <c r="P695" s="395"/>
      <c r="Q695" s="395"/>
      <c r="R695" s="395"/>
      <c r="S695" s="395"/>
      <c r="T695" s="395"/>
      <c r="U695" s="395"/>
    </row>
    <row r="696" spans="1:21" s="407" customFormat="1" ht="12" hidden="1" customHeight="1" outlineLevel="1">
      <c r="A696" s="460" t="s">
        <v>165</v>
      </c>
      <c r="B696" s="460" t="s">
        <v>104</v>
      </c>
      <c r="C696" s="460"/>
      <c r="D696" s="459"/>
      <c r="E696" s="460"/>
      <c r="F696" s="503"/>
      <c r="G696" s="400"/>
      <c r="H696" s="507"/>
      <c r="I696" s="506"/>
      <c r="J696" s="500"/>
      <c r="K696" s="397"/>
      <c r="L696" s="395"/>
      <c r="M696" s="395"/>
      <c r="N696" s="395"/>
      <c r="O696" s="395"/>
      <c r="P696" s="395"/>
      <c r="Q696" s="395"/>
      <c r="R696" s="395"/>
      <c r="S696" s="395"/>
      <c r="T696" s="395"/>
      <c r="U696" s="395"/>
    </row>
    <row r="697" spans="1:21" s="407" customFormat="1" ht="12" hidden="1" customHeight="1" outlineLevel="2">
      <c r="A697" s="513"/>
      <c r="B697" s="503" t="s">
        <v>13</v>
      </c>
      <c r="C697" s="504" t="s">
        <v>2229</v>
      </c>
      <c r="D697" s="531"/>
      <c r="E697" s="505" t="s">
        <v>2234</v>
      </c>
      <c r="F697" s="503" t="s">
        <v>98</v>
      </c>
      <c r="G697" s="400" t="str">
        <f>CONCATENATE(F697,"-",H697)</f>
        <v>MP-3</v>
      </c>
      <c r="H697" s="507">
        <v>3</v>
      </c>
      <c r="I697" s="506"/>
      <c r="J697" s="500">
        <v>0</v>
      </c>
      <c r="K697" s="397"/>
      <c r="L697" s="395">
        <f t="shared" ref="L697:L699" si="46">--(COUNTIF(M697:P697,1)&gt;0)</f>
        <v>1</v>
      </c>
      <c r="M697" s="395">
        <v>1</v>
      </c>
      <c r="O697" s="395"/>
      <c r="P697" s="395"/>
      <c r="Q697" s="395">
        <f t="shared" ref="Q697:Q699" si="47">--(COUNTIF(R697:U697,1)&gt;0)</f>
        <v>0</v>
      </c>
      <c r="R697" s="395"/>
      <c r="S697" s="395"/>
      <c r="T697" s="395"/>
      <c r="U697" s="395"/>
    </row>
    <row r="698" spans="1:21" s="407" customFormat="1" ht="12" hidden="1" customHeight="1" outlineLevel="2">
      <c r="A698" s="513"/>
      <c r="B698" s="503" t="s">
        <v>13</v>
      </c>
      <c r="C698" s="504" t="s">
        <v>2229</v>
      </c>
      <c r="D698" s="531"/>
      <c r="E698" s="505" t="s">
        <v>2235</v>
      </c>
      <c r="F698" s="503" t="s">
        <v>98</v>
      </c>
      <c r="G698" s="400" t="str">
        <f>CONCATENATE(F698,"-",H698)</f>
        <v>MP-3</v>
      </c>
      <c r="H698" s="507">
        <v>3</v>
      </c>
      <c r="I698" s="506"/>
      <c r="J698" s="500">
        <v>0</v>
      </c>
      <c r="K698" s="397"/>
      <c r="L698" s="395">
        <f t="shared" si="46"/>
        <v>1</v>
      </c>
      <c r="M698" s="395">
        <v>1</v>
      </c>
      <c r="O698" s="395"/>
      <c r="P698" s="395"/>
      <c r="Q698" s="395">
        <f t="shared" si="47"/>
        <v>0</v>
      </c>
      <c r="R698" s="395"/>
      <c r="S698" s="395"/>
      <c r="T698" s="395"/>
      <c r="U698" s="395"/>
    </row>
    <row r="699" spans="1:21" s="407" customFormat="1" ht="12" hidden="1" customHeight="1" outlineLevel="2">
      <c r="A699" s="513"/>
      <c r="B699" s="503" t="s">
        <v>13</v>
      </c>
      <c r="C699" s="504" t="s">
        <v>2229</v>
      </c>
      <c r="D699" s="531"/>
      <c r="E699" s="505" t="s">
        <v>2236</v>
      </c>
      <c r="F699" s="503" t="s">
        <v>98</v>
      </c>
      <c r="G699" s="400" t="str">
        <f>CONCATENATE(F699,"-",H699)</f>
        <v>MP-3</v>
      </c>
      <c r="H699" s="507">
        <v>3</v>
      </c>
      <c r="I699" s="506"/>
      <c r="J699" s="500">
        <v>0</v>
      </c>
      <c r="K699" s="397"/>
      <c r="L699" s="395">
        <f t="shared" si="46"/>
        <v>1</v>
      </c>
      <c r="M699" s="395">
        <v>1</v>
      </c>
      <c r="O699" s="395"/>
      <c r="P699" s="395"/>
      <c r="Q699" s="395">
        <f t="shared" si="47"/>
        <v>0</v>
      </c>
      <c r="R699" s="395"/>
      <c r="S699" s="395"/>
      <c r="T699" s="395"/>
      <c r="U699" s="395"/>
    </row>
    <row r="700" spans="1:21" ht="12" hidden="1" customHeight="1"/>
  </sheetData>
  <autoFilter ref="A7:U700" xr:uid="{719B5B23-E41E-401C-B37D-3715A912B555}">
    <filterColumn colId="6">
      <filters>
        <filter val="BB01-9"/>
      </filters>
    </filterColumn>
  </autoFilter>
  <mergeCells count="9">
    <mergeCell ref="A5:E5"/>
    <mergeCell ref="L3:L5"/>
    <mergeCell ref="Q3:Q5"/>
    <mergeCell ref="A3:E3"/>
    <mergeCell ref="F3:F5"/>
    <mergeCell ref="G3:G5"/>
    <mergeCell ref="H3:H5"/>
    <mergeCell ref="J3:J5"/>
    <mergeCell ref="K3:K5"/>
  </mergeCells>
  <phoneticPr fontId="44" type="noConversion"/>
  <conditionalFormatting sqref="B12:E13 B71:E74 B76:E76 F76:H266 B78:E265 B409:E450 B681:E687 B689:E689 F689:H702 B691:E695 B697:E702 F409:H464 B452:E464 B473:E473 B267:H408 B465:H472 B524:H566 B569:E616 B618:E679 F567:H687 B64:E69 F12:H74 B475:E523 F473:H524 B15:E62">
    <cfRule type="expression" dxfId="53" priority="144">
      <formula>AND($L12=1,$Q12&lt;&gt;1)</formula>
    </cfRule>
    <cfRule type="expression" dxfId="52" priority="145">
      <formula>OR($J12=1,$Q12=1)</formula>
    </cfRule>
    <cfRule type="expression" dxfId="51" priority="146">
      <formula>($H12="NA")</formula>
    </cfRule>
  </conditionalFormatting>
  <conditionalFormatting sqref="J267:J449 J465:J472">
    <cfRule type="iconSet" priority="147381">
      <iconSet iconSet="3Symbols2" showValue="0">
        <cfvo type="percent" val="0"/>
        <cfvo type="num" val="0"/>
        <cfvo type="num" val="1"/>
      </iconSet>
    </cfRule>
  </conditionalFormatting>
  <conditionalFormatting sqref="L570 L78:L264 L474 L680:L686 L690:L694 L696:L699 L266:L449 L451:L472 L617:L678 L12:L73">
    <cfRule type="iconSet" priority="133217">
      <iconSet iconSet="3Symbols2" showValue="0">
        <cfvo type="percent" val="0"/>
        <cfvo type="num" val="0"/>
        <cfvo type="num" val="1"/>
      </iconSet>
    </cfRule>
  </conditionalFormatting>
  <conditionalFormatting sqref="M7:P7">
    <cfRule type="iconSet" priority="139">
      <iconSet iconSet="3Symbols2" showValue="0">
        <cfvo type="percent" val="0"/>
        <cfvo type="num" val="0"/>
        <cfvo type="num" val="1"/>
      </iconSet>
    </cfRule>
  </conditionalFormatting>
  <conditionalFormatting sqref="N10:N11">
    <cfRule type="iconSet" priority="138">
      <iconSet iconSet="3Symbols2" showValue="0">
        <cfvo type="percent" val="0"/>
        <cfvo type="num" val="0"/>
        <cfvo type="num" val="1"/>
      </iconSet>
    </cfRule>
  </conditionalFormatting>
  <conditionalFormatting sqref="N677 N619:N672">
    <cfRule type="iconSet" priority="13">
      <iconSet iconSet="3Symbols2" showValue="0">
        <cfvo type="percent" val="0"/>
        <cfvo type="num" val="0"/>
        <cfvo type="num" val="1"/>
      </iconSet>
    </cfRule>
  </conditionalFormatting>
  <conditionalFormatting sqref="O10:O11">
    <cfRule type="iconSet" priority="136">
      <iconSet iconSet="3Symbols2" showValue="0">
        <cfvo type="percent" val="0"/>
        <cfvo type="num" val="0"/>
        <cfvo type="num" val="1"/>
      </iconSet>
    </cfRule>
  </conditionalFormatting>
  <conditionalFormatting sqref="O681:O686">
    <cfRule type="iconSet" priority="12">
      <iconSet iconSet="3Symbols2" showValue="0">
        <cfvo type="percent" val="0"/>
        <cfvo type="num" val="0"/>
        <cfvo type="num" val="1"/>
      </iconSet>
    </cfRule>
  </conditionalFormatting>
  <conditionalFormatting sqref="P10:P11">
    <cfRule type="iconSet" priority="135">
      <iconSet iconSet="3Symbols2" showValue="0">
        <cfvo type="percent" val="0"/>
        <cfvo type="num" val="0"/>
        <cfvo type="num" val="1"/>
      </iconSet>
    </cfRule>
  </conditionalFormatting>
  <conditionalFormatting sqref="R10:R11">
    <cfRule type="iconSet" priority="131">
      <iconSet iconSet="3Symbols2" showValue="0">
        <cfvo type="percent" val="0"/>
        <cfvo type="num" val="0"/>
        <cfvo type="num" val="1"/>
      </iconSet>
    </cfRule>
  </conditionalFormatting>
  <conditionalFormatting sqref="R7:U7">
    <cfRule type="iconSet" priority="130">
      <iconSet iconSet="3Symbols2" showValue="0">
        <cfvo type="percent" val="0"/>
        <cfvo type="num" val="0"/>
        <cfvo type="num" val="1"/>
      </iconSet>
    </cfRule>
  </conditionalFormatting>
  <conditionalFormatting sqref="R689:U700 R570:U570 R12:U63 R616:U687 T409:U430 S431:T449 R409:R449 S475:T569 S571:T615 R76:U408 R450:U474 R69:U74 S66:U67 T64:U65 R68 T68:U68">
    <cfRule type="iconSet" priority="147246">
      <iconSet iconSet="3Symbols2" showValue="0">
        <cfvo type="percent" val="0"/>
        <cfvo type="num" val="0"/>
        <cfvo type="num" val="1"/>
      </iconSet>
    </cfRule>
  </conditionalFormatting>
  <conditionalFormatting sqref="S10:S11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S409:S449">
    <cfRule type="iconSet" priority="6">
      <iconSet iconSet="3Symbols2" showValue="0">
        <cfvo type="percent" val="0"/>
        <cfvo type="num" val="0"/>
        <cfvo type="num" val="1"/>
      </iconSet>
    </cfRule>
  </conditionalFormatting>
  <conditionalFormatting sqref="T10:T11">
    <cfRule type="iconSet" priority="127">
      <iconSet iconSet="3Symbols2" showValue="0">
        <cfvo type="percent" val="0"/>
        <cfvo type="num" val="0"/>
        <cfvo type="num" val="1"/>
      </iconSet>
    </cfRule>
  </conditionalFormatting>
  <conditionalFormatting sqref="U10:U11">
    <cfRule type="iconSet" priority="126">
      <iconSet iconSet="3Symbols2" showValue="0">
        <cfvo type="percent" val="0"/>
        <cfvo type="num" val="0"/>
        <cfvo type="num" val="1"/>
      </iconSet>
    </cfRule>
  </conditionalFormatting>
  <conditionalFormatting sqref="M691:M694 M71:M73">
    <cfRule type="iconSet" priority="4">
      <iconSet iconSet="3Symbols2" showValue="0">
        <cfvo type="percent" val="0"/>
        <cfvo type="num" val="0"/>
        <cfvo type="num" val="1"/>
      </iconSet>
    </cfRule>
  </conditionalFormatting>
  <conditionalFormatting sqref="N678 N570 N673:N676 N618">
    <cfRule type="iconSet" priority="155469">
      <iconSet iconSet="3Symbols2" showValue="0">
        <cfvo type="percent" val="0"/>
        <cfvo type="num" val="0"/>
        <cfvo type="num" val="1"/>
      </iconSet>
    </cfRule>
  </conditionalFormatting>
  <conditionalFormatting sqref="P677 O570 O693:P693 P619:P672 M12:P14 M74:P74 N69:P69 O618:O678 M616:P617 P681:P686 M679:P680 M687:P687 N694:P694 M76:P266 M450:P464 M473:P474 M689:P690 N691:P692 N71:O73 M70:P70 P409:P449 N409:N449 M570 M681:M686 M695:P699 N267:P408 N465:P472 M618:M678 P15:P68 M15:N68">
    <cfRule type="iconSet" priority="155473">
      <iconSet iconSet="3Symbols2" showValue="0">
        <cfvo type="percent" val="0"/>
        <cfvo type="num" val="0"/>
        <cfvo type="num" val="1"/>
      </iconSet>
    </cfRule>
  </conditionalFormatting>
  <conditionalFormatting sqref="P678 P570 N693 P673:P676 P618">
    <cfRule type="iconSet" priority="155503">
      <iconSet iconSet="3Symbols2" showValue="0">
        <cfvo type="percent" val="0"/>
        <cfvo type="num" val="0"/>
        <cfvo type="num" val="1"/>
      </iconSet>
    </cfRule>
  </conditionalFormatting>
  <conditionalFormatting sqref="J569 J571:J615 J475:J566">
    <cfRule type="iconSet" priority="158058">
      <iconSet iconSet="3Symbols2" showValue="0">
        <cfvo type="percent" val="0"/>
        <cfvo type="num" val="0"/>
        <cfvo type="num" val="1"/>
      </iconSet>
    </cfRule>
  </conditionalFormatting>
  <conditionalFormatting sqref="M571:M615 M431:M449 M475:M569">
    <cfRule type="iconSet" priority="158062">
      <iconSet iconSet="3Symbols2" showValue="0">
        <cfvo type="percent" val="0"/>
        <cfvo type="num" val="0"/>
        <cfvo type="num" val="1"/>
      </iconSet>
    </cfRule>
  </conditionalFormatting>
  <conditionalFormatting sqref="N571:P615 N431:P449 N475:P569">
    <cfRule type="iconSet" priority="158066">
      <iconSet iconSet="3Symbols2" showValue="0">
        <cfvo type="percent" val="0"/>
        <cfvo type="num" val="0"/>
        <cfvo type="num" val="1"/>
      </iconSet>
    </cfRule>
  </conditionalFormatting>
  <conditionalFormatting sqref="R571:R615 R431:R449 R475:R569">
    <cfRule type="iconSet" priority="158070">
      <iconSet iconSet="3Symbols2" showValue="0">
        <cfvo type="percent" val="0"/>
        <cfvo type="num" val="0"/>
        <cfvo type="num" val="1"/>
      </iconSet>
    </cfRule>
  </conditionalFormatting>
  <conditionalFormatting sqref="U571:U615 U431:U449 U475:U569">
    <cfRule type="iconSet" priority="158074">
      <iconSet iconSet="3Symbols2" showValue="0">
        <cfvo type="percent" val="0"/>
        <cfvo type="num" val="0"/>
        <cfvo type="num" val="1"/>
      </iconSet>
    </cfRule>
  </conditionalFormatting>
  <conditionalFormatting sqref="Q64:Q67">
    <cfRule type="iconSet" priority="3">
      <iconSet iconSet="3Symbols2" showValue="0">
        <cfvo type="percent" val="0"/>
        <cfvo type="num" val="0"/>
        <cfvo type="num" val="1"/>
      </iconSet>
    </cfRule>
  </conditionalFormatting>
  <conditionalFormatting sqref="R66:R67 S64:S65">
    <cfRule type="iconSet" priority="2">
      <iconSet iconSet="3Symbols2" showValue="0">
        <cfvo type="percent" val="0"/>
        <cfvo type="num" val="0"/>
        <cfvo type="num" val="1"/>
      </iconSet>
    </cfRule>
  </conditionalFormatting>
  <conditionalFormatting sqref="S68">
    <cfRule type="iconSet" priority="1">
      <iconSet iconSet="3Symbols2" showValue="0">
        <cfvo type="percent" val="0"/>
        <cfvo type="num" val="0"/>
        <cfvo type="num" val="1"/>
      </iconSet>
    </cfRule>
  </conditionalFormatting>
  <pageMargins left="0.7" right="0.7" top="0.75" bottom="0.75" header="0.3" footer="0.3"/>
  <pageSetup scale="7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3" id="{1BD416EB-B344-45B2-ADD5-9C998825CFD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J1 J3</xm:sqref>
        </x14:conditionalFormatting>
        <x14:conditionalFormatting xmlns:xm="http://schemas.microsoft.com/office/excel/2006/main">
          <x14:cfRule type="iconSet" priority="147176" id="{E87B6E74-1782-4F0C-87B4-36C3B578B39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J689:J1048576 J76:J266 J1:J8 J431:J464 J10:J74 J473:J687</xm:sqref>
        </x14:conditionalFormatting>
        <x14:conditionalFormatting xmlns:xm="http://schemas.microsoft.com/office/excel/2006/main">
          <x14:cfRule type="iconSet" priority="141" id="{B6627DD7-3DED-421D-8F76-9E0120D1BAE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K689:K1048576 K7 K1 K10:K74 K76:K687</xm:sqref>
        </x14:conditionalFormatting>
        <x14:conditionalFormatting xmlns:xm="http://schemas.microsoft.com/office/excel/2006/main">
          <x14:cfRule type="iconSet" priority="132" id="{0DD39B80-9656-4D85-AFB3-07AEF5EB6C2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Q689:Q1048576 Q616:Q687 Q570 Q2:Q8 Q76:Q474 Q10:Q63 Q68:Q74</xm:sqref>
        </x14:conditionalFormatting>
        <x14:conditionalFormatting xmlns:xm="http://schemas.microsoft.com/office/excel/2006/main">
          <x14:cfRule type="iconSet" priority="158131" id="{05199CC3-46F5-4A84-8EC1-E1FEF2EA9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L571:L615 L431:L449 L475:L569</xm:sqref>
        </x14:conditionalFormatting>
        <x14:conditionalFormatting xmlns:xm="http://schemas.microsoft.com/office/excel/2006/main">
          <x14:cfRule type="iconSet" priority="158135" id="{8D81023A-C887-4DC8-B1A3-6747150C0D5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Q571:Q615 Q431:Q449 Q475:Q569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2B00B-5626-4643-99B6-D7F2DF13649E}">
  <sheetPr codeName="Sheet6" filterMode="1">
    <outlinePr summaryBelow="0" summaryRight="0"/>
  </sheetPr>
  <dimension ref="A1:BE558"/>
  <sheetViews>
    <sheetView zoomScaleNormal="100" workbookViewId="0">
      <pane xSplit="11" ySplit="8" topLeftCell="L526" activePane="bottomRight" state="frozen"/>
      <selection pane="topRight" activeCell="K1" sqref="K1"/>
      <selection pane="bottomLeft" activeCell="A9" sqref="A9"/>
      <selection pane="bottomRight" activeCell="F573" sqref="F573"/>
    </sheetView>
  </sheetViews>
  <sheetFormatPr defaultColWidth="8.5546875" defaultRowHeight="12.75" customHeight="1" outlineLevelRow="7" outlineLevelCol="1"/>
  <cols>
    <col min="1" max="1" width="0.5546875" style="539" hidden="1" customWidth="1"/>
    <col min="2" max="2" width="9.5546875" style="522" customWidth="1"/>
    <col min="3" max="3" width="6.5546875" style="522" customWidth="1"/>
    <col min="4" max="4" width="8.44140625" style="504" customWidth="1"/>
    <col min="5" max="5" width="16.109375" style="544" bestFit="1" customWidth="1"/>
    <col min="6" max="6" width="55.44140625" style="522" customWidth="1"/>
    <col min="7" max="7" width="0.5546875" style="539" hidden="1" customWidth="1"/>
    <col min="8" max="8" width="8.44140625" style="527" bestFit="1" customWidth="1"/>
    <col min="9" max="9" width="12" style="527" bestFit="1" customWidth="1"/>
    <col min="10" max="10" width="6.5546875" style="539" customWidth="1"/>
    <col min="11" max="11" width="0.5546875" style="539" customWidth="1"/>
    <col min="12" max="12" width="9.44140625" style="525" bestFit="1" customWidth="1"/>
    <col min="13" max="13" width="0.5546875" style="539" customWidth="1"/>
    <col min="14" max="14" width="8.5546875" style="409" bestFit="1" customWidth="1"/>
    <col min="15" max="15" width="8.44140625" style="526" customWidth="1"/>
    <col min="16" max="19" width="8.44140625" style="526" customWidth="1" outlineLevel="1"/>
    <col min="20" max="20" width="8.44140625" style="526" customWidth="1"/>
    <col min="21" max="24" width="8.44140625" style="526" customWidth="1" outlineLevel="1"/>
    <col min="25" max="16384" width="8.5546875" style="527"/>
  </cols>
  <sheetData>
    <row r="1" spans="1:57" s="268" customFormat="1" ht="18" customHeight="1">
      <c r="A1" s="375"/>
      <c r="B1" s="435"/>
      <c r="C1" s="373"/>
      <c r="D1" s="371"/>
      <c r="E1" s="474"/>
      <c r="F1" s="373"/>
      <c r="G1" s="375"/>
      <c r="H1" s="374"/>
      <c r="I1" s="374"/>
      <c r="J1" s="570" t="s">
        <v>1122</v>
      </c>
      <c r="K1" s="375"/>
      <c r="L1" s="478" t="s">
        <v>145</v>
      </c>
      <c r="M1" s="479"/>
      <c r="N1" s="478"/>
      <c r="O1" s="480" t="s">
        <v>146</v>
      </c>
      <c r="P1" s="481">
        <v>1</v>
      </c>
      <c r="Q1" s="481">
        <v>2</v>
      </c>
      <c r="R1" s="481">
        <v>3</v>
      </c>
      <c r="S1" s="481">
        <v>4</v>
      </c>
      <c r="T1" s="481" t="s">
        <v>147</v>
      </c>
      <c r="U1" s="481">
        <v>5</v>
      </c>
      <c r="V1" s="481">
        <v>6</v>
      </c>
      <c r="W1" s="481">
        <v>7</v>
      </c>
      <c r="X1" s="481">
        <v>8</v>
      </c>
    </row>
    <row r="2" spans="1:57" s="268" customFormat="1" ht="3" customHeight="1">
      <c r="A2" s="379"/>
      <c r="B2" s="435"/>
      <c r="C2" s="373"/>
      <c r="D2" s="371"/>
      <c r="E2" s="474"/>
      <c r="F2" s="373"/>
      <c r="G2" s="379"/>
      <c r="H2" s="374"/>
      <c r="I2" s="374"/>
      <c r="J2" s="482"/>
      <c r="K2" s="379"/>
      <c r="L2" s="478"/>
      <c r="M2" s="478"/>
      <c r="N2" s="478"/>
      <c r="O2" s="478"/>
      <c r="P2" s="478"/>
      <c r="Q2" s="478"/>
      <c r="R2" s="478"/>
      <c r="S2" s="478"/>
      <c r="T2" s="478"/>
      <c r="U2" s="478"/>
      <c r="V2" s="478"/>
      <c r="W2" s="478"/>
      <c r="X2" s="478"/>
    </row>
    <row r="3" spans="1:57" s="268" customFormat="1" ht="29.25" customHeight="1">
      <c r="A3" s="379"/>
      <c r="B3" s="593" t="s">
        <v>178</v>
      </c>
      <c r="C3" s="594"/>
      <c r="D3" s="594"/>
      <c r="E3" s="594"/>
      <c r="F3" s="595"/>
      <c r="G3" s="379"/>
      <c r="H3" s="633" t="s">
        <v>179</v>
      </c>
      <c r="I3" s="633" t="s">
        <v>180</v>
      </c>
      <c r="J3" s="634" t="s">
        <v>181</v>
      </c>
      <c r="K3" s="379"/>
      <c r="L3" s="635" t="s">
        <v>182</v>
      </c>
      <c r="M3" s="477"/>
      <c r="N3" s="635" t="s">
        <v>183</v>
      </c>
      <c r="O3" s="632" t="s">
        <v>184</v>
      </c>
      <c r="P3" s="519"/>
      <c r="Q3" s="518"/>
      <c r="R3" s="518"/>
      <c r="S3" s="518"/>
      <c r="T3" s="632" t="s">
        <v>185</v>
      </c>
      <c r="U3" s="518"/>
      <c r="V3" s="518"/>
      <c r="W3" s="518"/>
      <c r="X3" s="518"/>
    </row>
    <row r="4" spans="1:57" s="268" customFormat="1" ht="3" customHeight="1">
      <c r="A4" s="379"/>
      <c r="B4" s="435"/>
      <c r="C4" s="373"/>
      <c r="D4" s="371"/>
      <c r="E4" s="474"/>
      <c r="F4" s="373"/>
      <c r="G4" s="379"/>
      <c r="H4" s="633"/>
      <c r="I4" s="633"/>
      <c r="J4" s="634"/>
      <c r="K4" s="379"/>
      <c r="L4" s="635"/>
      <c r="M4" s="477"/>
      <c r="N4" s="635"/>
      <c r="O4" s="632"/>
      <c r="P4" s="519"/>
      <c r="Q4" s="518"/>
      <c r="R4" s="518"/>
      <c r="S4" s="518"/>
      <c r="T4" s="632"/>
      <c r="U4" s="518"/>
      <c r="V4" s="518"/>
      <c r="W4" s="518"/>
      <c r="X4" s="518"/>
    </row>
    <row r="5" spans="1:57" s="268" customFormat="1" ht="17.399999999999999">
      <c r="A5" s="379"/>
      <c r="B5" s="593" t="s">
        <v>2237</v>
      </c>
      <c r="C5" s="594"/>
      <c r="D5" s="594"/>
      <c r="E5" s="594"/>
      <c r="F5" s="595"/>
      <c r="G5" s="379"/>
      <c r="H5" s="633"/>
      <c r="I5" s="633"/>
      <c r="J5" s="634"/>
      <c r="K5" s="379"/>
      <c r="L5" s="635"/>
      <c r="M5" s="477"/>
      <c r="N5" s="635"/>
      <c r="O5" s="632"/>
      <c r="P5" s="519" t="s">
        <v>8</v>
      </c>
      <c r="Q5" s="518" t="s">
        <v>9</v>
      </c>
      <c r="R5" s="518" t="s">
        <v>10</v>
      </c>
      <c r="S5" s="518" t="s">
        <v>11</v>
      </c>
      <c r="T5" s="632"/>
      <c r="U5" s="518" t="s">
        <v>8</v>
      </c>
      <c r="V5" s="518" t="s">
        <v>9</v>
      </c>
      <c r="W5" s="518" t="s">
        <v>10</v>
      </c>
      <c r="X5" s="518" t="s">
        <v>11</v>
      </c>
    </row>
    <row r="6" spans="1:57" s="268" customFormat="1" ht="3" customHeight="1">
      <c r="A6" s="385"/>
      <c r="B6" s="436"/>
      <c r="C6" s="373"/>
      <c r="D6" s="374"/>
      <c r="E6" s="474"/>
      <c r="F6" s="373"/>
      <c r="G6" s="385"/>
      <c r="H6" s="378"/>
      <c r="I6" s="378"/>
      <c r="J6" s="385"/>
      <c r="K6" s="385"/>
      <c r="L6" s="385"/>
      <c r="M6" s="385"/>
      <c r="N6" s="376"/>
      <c r="O6" s="520"/>
      <c r="P6" s="521"/>
      <c r="Q6" s="521"/>
      <c r="R6" s="521"/>
      <c r="S6" s="521"/>
      <c r="T6" s="520"/>
      <c r="U6" s="521"/>
      <c r="V6" s="521"/>
      <c r="W6" s="521"/>
      <c r="X6" s="521"/>
    </row>
    <row r="7" spans="1:57" ht="19.350000000000001" customHeight="1">
      <c r="A7" s="507"/>
      <c r="C7" s="523"/>
      <c r="E7" s="524"/>
      <c r="F7" s="505"/>
      <c r="G7" s="507"/>
      <c r="H7" s="503"/>
      <c r="I7" s="389"/>
      <c r="J7" s="507"/>
      <c r="K7" s="507"/>
      <c r="M7" s="507"/>
      <c r="N7" s="376"/>
      <c r="BE7" s="507"/>
    </row>
    <row r="8" spans="1:57" ht="3" hidden="1" customHeight="1">
      <c r="A8" s="507"/>
      <c r="C8" s="523"/>
      <c r="E8" s="524"/>
      <c r="F8" s="505"/>
      <c r="G8" s="507"/>
      <c r="H8" s="503"/>
      <c r="I8" s="389"/>
      <c r="J8" s="507"/>
      <c r="K8" s="507"/>
      <c r="M8" s="507"/>
      <c r="N8" s="392"/>
      <c r="BE8" s="507"/>
    </row>
    <row r="9" spans="1:57" s="407" customFormat="1" ht="12" hidden="1" customHeight="1" collapsed="1">
      <c r="A9" s="494"/>
      <c r="B9" s="466" t="s">
        <v>1124</v>
      </c>
      <c r="C9" s="491"/>
      <c r="D9" s="491"/>
      <c r="E9" s="528"/>
      <c r="F9" s="493"/>
      <c r="G9" s="494"/>
      <c r="H9" s="493"/>
      <c r="I9" s="493"/>
      <c r="J9" s="493"/>
      <c r="K9" s="499"/>
      <c r="L9" s="493"/>
      <c r="M9" s="494"/>
      <c r="N9" s="493"/>
      <c r="O9" s="493"/>
      <c r="P9" s="493"/>
      <c r="Q9" s="493"/>
      <c r="R9" s="493"/>
      <c r="S9" s="493"/>
      <c r="T9" s="493"/>
      <c r="U9" s="493"/>
      <c r="V9" s="493"/>
      <c r="W9" s="493"/>
      <c r="X9" s="493"/>
    </row>
    <row r="10" spans="1:57" s="407" customFormat="1" ht="3" hidden="1" customHeight="1" outlineLevel="1">
      <c r="A10" s="494"/>
      <c r="B10" s="496"/>
      <c r="C10" s="497"/>
      <c r="D10" s="497"/>
      <c r="E10" s="475"/>
      <c r="F10" s="498"/>
      <c r="G10" s="494"/>
      <c r="H10" s="497"/>
      <c r="I10" s="389"/>
      <c r="J10" s="499"/>
      <c r="K10" s="499"/>
      <c r="L10" s="392"/>
      <c r="M10" s="494"/>
      <c r="N10" s="529"/>
      <c r="O10" s="395"/>
      <c r="P10" s="395"/>
      <c r="Q10" s="395"/>
      <c r="R10" s="395"/>
      <c r="S10" s="530"/>
      <c r="T10" s="529"/>
      <c r="U10" s="529"/>
      <c r="V10" s="529"/>
      <c r="W10" s="529"/>
      <c r="X10" s="499"/>
    </row>
    <row r="11" spans="1:57" s="407" customFormat="1" ht="12" hidden="1" customHeight="1" outlineLevel="1">
      <c r="A11" s="494"/>
      <c r="B11" s="460" t="s">
        <v>74</v>
      </c>
      <c r="C11" s="460" t="s">
        <v>75</v>
      </c>
      <c r="D11" s="460"/>
      <c r="E11" s="476"/>
      <c r="F11" s="460"/>
      <c r="G11" s="494"/>
      <c r="H11" s="497"/>
      <c r="I11" s="389"/>
      <c r="J11" s="499"/>
      <c r="K11" s="499"/>
      <c r="L11" s="392"/>
      <c r="M11" s="494"/>
      <c r="N11" s="529"/>
      <c r="O11" s="395"/>
      <c r="P11" s="395"/>
      <c r="Q11" s="395"/>
      <c r="R11" s="395"/>
      <c r="S11" s="530"/>
      <c r="T11" s="529"/>
      <c r="U11" s="529"/>
      <c r="V11" s="529"/>
      <c r="W11" s="529"/>
      <c r="X11" s="499"/>
    </row>
    <row r="12" spans="1:57" s="407" customFormat="1" ht="12" hidden="1" customHeight="1" outlineLevel="1">
      <c r="A12" s="494"/>
      <c r="B12" s="523" t="s">
        <v>2238</v>
      </c>
      <c r="C12" s="522" t="s">
        <v>2239</v>
      </c>
      <c r="D12" s="531" t="s">
        <v>2170</v>
      </c>
      <c r="E12" s="532" t="s">
        <v>2240</v>
      </c>
      <c r="F12" s="533" t="s">
        <v>2241</v>
      </c>
      <c r="G12" s="494"/>
      <c r="H12" s="503" t="s">
        <v>70</v>
      </c>
      <c r="I12" s="400" t="str">
        <f>CONCATENATE(H12,"-",J12)</f>
        <v>BB02-2</v>
      </c>
      <c r="J12" s="507">
        <v>2</v>
      </c>
      <c r="K12" s="499"/>
      <c r="L12" s="392"/>
      <c r="M12" s="494"/>
      <c r="N12" s="529"/>
      <c r="O12" s="395">
        <v>1</v>
      </c>
      <c r="P12" s="395">
        <v>1</v>
      </c>
      <c r="Q12" s="395"/>
      <c r="R12" s="395"/>
      <c r="S12" s="530"/>
      <c r="T12" s="395" cm="1">
        <f t="array" ref="T12">IFERROR(_xlfn.IFS(W12=1,1,V12=1,1,U12=1,1,X12=1,1),0)</f>
        <v>1</v>
      </c>
      <c r="U12" s="526">
        <v>1</v>
      </c>
      <c r="V12" s="529"/>
      <c r="W12" s="529"/>
      <c r="X12" s="499"/>
    </row>
    <row r="13" spans="1:57" s="535" customFormat="1" ht="12.75" hidden="1" customHeight="1" outlineLevel="2">
      <c r="A13" s="534"/>
      <c r="B13" s="523" t="s">
        <v>2238</v>
      </c>
      <c r="C13" s="522" t="s">
        <v>2239</v>
      </c>
      <c r="D13" s="531" t="s">
        <v>2170</v>
      </c>
      <c r="E13" s="532"/>
      <c r="F13" s="533" t="s">
        <v>2242</v>
      </c>
      <c r="G13" s="534"/>
      <c r="H13" s="503" t="s">
        <v>70</v>
      </c>
      <c r="I13" s="400" t="str">
        <f>CONCATENATE(H13,"-",J13)</f>
        <v>BB02-2</v>
      </c>
      <c r="J13" s="507">
        <v>2</v>
      </c>
      <c r="K13" s="534"/>
      <c r="L13" s="526"/>
      <c r="M13" s="534"/>
      <c r="N13" s="397"/>
      <c r="O13" s="395" cm="1">
        <f t="array" ref="O13">IFERROR(_xlfn.IFS(R13=1,1,Q13=1,1,P13=1,1,S13=1,1),0)</f>
        <v>1</v>
      </c>
      <c r="P13" s="526">
        <v>1</v>
      </c>
      <c r="R13" s="526"/>
      <c r="S13" s="526"/>
      <c r="T13" s="395" cm="1">
        <f t="array" ref="T13">IFERROR(_xlfn.IFS(W13=1,1,V13=1,1,U13=1,1,X13=1,1),0)</f>
        <v>1</v>
      </c>
      <c r="U13" s="526">
        <v>1</v>
      </c>
      <c r="V13" s="526"/>
      <c r="W13" s="526"/>
      <c r="X13" s="526"/>
      <c r="BE13" s="534">
        <v>2</v>
      </c>
    </row>
    <row r="14" spans="1:57" ht="3" hidden="1" customHeight="1" outlineLevel="1">
      <c r="A14" s="507"/>
      <c r="C14" s="523"/>
      <c r="E14" s="524"/>
      <c r="F14" s="505"/>
      <c r="G14" s="507"/>
      <c r="H14" s="503"/>
      <c r="I14" s="389"/>
      <c r="J14" s="507"/>
      <c r="K14" s="507"/>
      <c r="M14" s="507"/>
      <c r="N14" s="392"/>
      <c r="P14" s="527"/>
      <c r="BE14" s="507"/>
    </row>
    <row r="15" spans="1:57" ht="13.2" hidden="1" outlineLevel="1">
      <c r="A15" s="507"/>
      <c r="B15" s="460" t="s">
        <v>76</v>
      </c>
      <c r="C15" s="460" t="s">
        <v>1157</v>
      </c>
      <c r="D15" s="460"/>
      <c r="E15" s="476"/>
      <c r="F15" s="460"/>
      <c r="G15" s="507"/>
      <c r="H15" s="503"/>
      <c r="I15" s="389"/>
      <c r="J15" s="507"/>
      <c r="K15" s="507"/>
      <c r="M15" s="507"/>
      <c r="N15" s="392"/>
      <c r="P15" s="527"/>
      <c r="BE15" s="507"/>
    </row>
    <row r="16" spans="1:57" s="536" customFormat="1" ht="13.2" hidden="1" outlineLevel="2">
      <c r="A16" s="539"/>
      <c r="B16" s="523"/>
      <c r="C16" s="522"/>
      <c r="D16" s="531"/>
      <c r="E16" s="573" t="s">
        <v>2243</v>
      </c>
      <c r="F16" s="533" t="s">
        <v>2244</v>
      </c>
      <c r="G16" s="539"/>
      <c r="H16" s="503" t="s">
        <v>70</v>
      </c>
      <c r="I16" s="400" t="str">
        <f t="shared" ref="I16:I37" si="0">CONCATENATE(H16,"-",J16)</f>
        <v>BB02-3</v>
      </c>
      <c r="J16" s="507">
        <v>3</v>
      </c>
      <c r="K16" s="539"/>
      <c r="L16" s="395">
        <v>1</v>
      </c>
      <c r="M16" s="539"/>
      <c r="N16" s="397" t="s">
        <v>193</v>
      </c>
      <c r="O16" s="395"/>
      <c r="Q16" s="526"/>
      <c r="R16" s="526"/>
      <c r="S16" s="526"/>
      <c r="T16" s="395"/>
      <c r="W16" s="526"/>
    </row>
    <row r="17" spans="1:23" s="536" customFormat="1" ht="13.2" hidden="1" outlineLevel="2">
      <c r="A17" s="539"/>
      <c r="B17" s="523"/>
      <c r="C17" s="522"/>
      <c r="D17" s="531"/>
      <c r="E17" s="573" t="s">
        <v>2245</v>
      </c>
      <c r="F17" s="533" t="s">
        <v>2246</v>
      </c>
      <c r="G17" s="539"/>
      <c r="H17" s="503" t="s">
        <v>70</v>
      </c>
      <c r="I17" s="400" t="str">
        <f t="shared" si="0"/>
        <v>BB02-3</v>
      </c>
      <c r="J17" s="507">
        <v>3</v>
      </c>
      <c r="K17" s="539"/>
      <c r="L17" s="395">
        <v>1</v>
      </c>
      <c r="M17" s="539"/>
      <c r="N17" s="397" t="s">
        <v>193</v>
      </c>
      <c r="O17" s="395"/>
      <c r="Q17" s="526"/>
      <c r="R17" s="526"/>
      <c r="S17" s="526"/>
      <c r="T17" s="395"/>
      <c r="W17" s="526"/>
    </row>
    <row r="18" spans="1:23" s="536" customFormat="1" ht="13.2" hidden="1" outlineLevel="2">
      <c r="A18" s="539"/>
      <c r="B18" s="523"/>
      <c r="C18" s="522"/>
      <c r="D18" s="531"/>
      <c r="E18" s="573" t="s">
        <v>2247</v>
      </c>
      <c r="F18" s="533" t="s">
        <v>2248</v>
      </c>
      <c r="G18" s="539"/>
      <c r="H18" s="503" t="s">
        <v>70</v>
      </c>
      <c r="I18" s="400" t="str">
        <f t="shared" si="0"/>
        <v>BB02-3</v>
      </c>
      <c r="J18" s="507">
        <v>3</v>
      </c>
      <c r="K18" s="539"/>
      <c r="L18" s="395">
        <v>1</v>
      </c>
      <c r="M18" s="539"/>
      <c r="N18" s="397" t="s">
        <v>193</v>
      </c>
      <c r="O18" s="395"/>
      <c r="Q18" s="526"/>
      <c r="R18" s="526"/>
      <c r="S18" s="526"/>
      <c r="T18" s="395"/>
      <c r="W18" s="526"/>
    </row>
    <row r="19" spans="1:23" s="536" customFormat="1" ht="13.2" hidden="1" outlineLevel="2">
      <c r="A19" s="539"/>
      <c r="B19" s="523"/>
      <c r="C19" s="522"/>
      <c r="D19" s="531"/>
      <c r="E19" s="573" t="s">
        <v>2249</v>
      </c>
      <c r="F19" s="533" t="s">
        <v>2250</v>
      </c>
      <c r="G19" s="539"/>
      <c r="H19" s="503" t="s">
        <v>70</v>
      </c>
      <c r="I19" s="400" t="str">
        <f t="shared" si="0"/>
        <v>BB02-3</v>
      </c>
      <c r="J19" s="507">
        <v>3</v>
      </c>
      <c r="K19" s="539"/>
      <c r="L19" s="395">
        <v>1</v>
      </c>
      <c r="M19" s="539"/>
      <c r="N19" s="397" t="s">
        <v>193</v>
      </c>
      <c r="O19" s="395"/>
      <c r="Q19" s="526"/>
      <c r="R19" s="526"/>
      <c r="S19" s="526"/>
      <c r="T19" s="395"/>
      <c r="W19" s="526"/>
    </row>
    <row r="20" spans="1:23" s="536" customFormat="1" ht="13.2" hidden="1" outlineLevel="2">
      <c r="A20" s="539"/>
      <c r="B20" s="523"/>
      <c r="C20" s="522"/>
      <c r="D20" s="531"/>
      <c r="E20" s="573" t="s">
        <v>2251</v>
      </c>
      <c r="F20" s="533" t="s">
        <v>2252</v>
      </c>
      <c r="G20" s="539"/>
      <c r="H20" s="503" t="s">
        <v>70</v>
      </c>
      <c r="I20" s="400" t="str">
        <f t="shared" si="0"/>
        <v>BB02-3</v>
      </c>
      <c r="J20" s="507">
        <v>3</v>
      </c>
      <c r="K20" s="539"/>
      <c r="L20" s="395">
        <v>1</v>
      </c>
      <c r="M20" s="539"/>
      <c r="N20" s="397" t="s">
        <v>193</v>
      </c>
      <c r="O20" s="395"/>
      <c r="Q20" s="526"/>
      <c r="R20" s="526"/>
      <c r="S20" s="526"/>
      <c r="T20" s="395"/>
      <c r="W20" s="526"/>
    </row>
    <row r="21" spans="1:23" s="536" customFormat="1" ht="13.2" hidden="1" outlineLevel="2">
      <c r="A21" s="539"/>
      <c r="B21" s="523"/>
      <c r="C21" s="522"/>
      <c r="D21" s="531"/>
      <c r="E21" s="573" t="s">
        <v>2253</v>
      </c>
      <c r="F21" s="533" t="s">
        <v>2254</v>
      </c>
      <c r="G21" s="539"/>
      <c r="H21" s="503" t="s">
        <v>70</v>
      </c>
      <c r="I21" s="400" t="str">
        <f t="shared" si="0"/>
        <v>BB02-3</v>
      </c>
      <c r="J21" s="507">
        <v>3</v>
      </c>
      <c r="K21" s="539"/>
      <c r="L21" s="395">
        <v>1</v>
      </c>
      <c r="M21" s="539"/>
      <c r="N21" s="397" t="s">
        <v>193</v>
      </c>
      <c r="O21" s="395"/>
      <c r="Q21" s="526"/>
      <c r="R21" s="526"/>
      <c r="S21" s="526"/>
      <c r="T21" s="395"/>
      <c r="W21" s="526"/>
    </row>
    <row r="22" spans="1:23" s="536" customFormat="1" ht="13.2" hidden="1" outlineLevel="2">
      <c r="A22" s="539"/>
      <c r="B22" s="523"/>
      <c r="C22" s="522"/>
      <c r="D22" s="531"/>
      <c r="E22" s="573" t="s">
        <v>2255</v>
      </c>
      <c r="F22" s="533" t="s">
        <v>2256</v>
      </c>
      <c r="G22" s="539"/>
      <c r="H22" s="503" t="s">
        <v>70</v>
      </c>
      <c r="I22" s="400" t="str">
        <f t="shared" si="0"/>
        <v>BB02-3</v>
      </c>
      <c r="J22" s="507">
        <v>3</v>
      </c>
      <c r="K22" s="539"/>
      <c r="L22" s="395">
        <v>1</v>
      </c>
      <c r="M22" s="539"/>
      <c r="N22" s="397" t="s">
        <v>193</v>
      </c>
      <c r="O22" s="395"/>
      <c r="Q22" s="526"/>
      <c r="R22" s="526"/>
      <c r="S22" s="526"/>
      <c r="T22" s="395"/>
      <c r="W22" s="526"/>
    </row>
    <row r="23" spans="1:23" s="536" customFormat="1" ht="13.2" hidden="1" outlineLevel="2">
      <c r="A23" s="539"/>
      <c r="B23" s="523"/>
      <c r="C23" s="522"/>
      <c r="D23" s="531"/>
      <c r="E23" s="573" t="s">
        <v>2257</v>
      </c>
      <c r="F23" s="533" t="s">
        <v>2258</v>
      </c>
      <c r="G23" s="539"/>
      <c r="H23" s="503" t="s">
        <v>70</v>
      </c>
      <c r="I23" s="400" t="str">
        <f t="shared" si="0"/>
        <v>BB02-3</v>
      </c>
      <c r="J23" s="507">
        <v>3</v>
      </c>
      <c r="K23" s="539"/>
      <c r="L23" s="395">
        <v>1</v>
      </c>
      <c r="M23" s="539"/>
      <c r="N23" s="397" t="s">
        <v>193</v>
      </c>
      <c r="O23" s="395"/>
      <c r="Q23" s="526"/>
      <c r="R23" s="526"/>
      <c r="S23" s="526"/>
      <c r="T23" s="395"/>
      <c r="W23" s="526"/>
    </row>
    <row r="24" spans="1:23" s="536" customFormat="1" ht="13.2" hidden="1" outlineLevel="2">
      <c r="A24" s="539"/>
      <c r="B24" s="523"/>
      <c r="C24" s="522"/>
      <c r="D24" s="531"/>
      <c r="E24" s="573" t="s">
        <v>2259</v>
      </c>
      <c r="F24" s="533" t="s">
        <v>2260</v>
      </c>
      <c r="G24" s="539"/>
      <c r="H24" s="503" t="s">
        <v>70</v>
      </c>
      <c r="I24" s="400" t="str">
        <f t="shared" si="0"/>
        <v>BB02-3</v>
      </c>
      <c r="J24" s="507">
        <v>3</v>
      </c>
      <c r="K24" s="539"/>
      <c r="L24" s="395">
        <v>1</v>
      </c>
      <c r="M24" s="539"/>
      <c r="N24" s="397" t="s">
        <v>193</v>
      </c>
      <c r="O24" s="395"/>
      <c r="Q24" s="526"/>
      <c r="R24" s="526"/>
      <c r="S24" s="526"/>
      <c r="T24" s="395"/>
      <c r="W24" s="526"/>
    </row>
    <row r="25" spans="1:23" s="536" customFormat="1" ht="13.2" hidden="1" outlineLevel="2">
      <c r="A25" s="539"/>
      <c r="B25" s="523"/>
      <c r="C25" s="522"/>
      <c r="D25" s="531"/>
      <c r="E25" s="573" t="s">
        <v>2261</v>
      </c>
      <c r="F25" s="533" t="s">
        <v>2262</v>
      </c>
      <c r="G25" s="539"/>
      <c r="H25" s="503" t="s">
        <v>70</v>
      </c>
      <c r="I25" s="400" t="str">
        <f t="shared" si="0"/>
        <v>BB02-3</v>
      </c>
      <c r="J25" s="507">
        <v>3</v>
      </c>
      <c r="K25" s="539"/>
      <c r="L25" s="395">
        <v>1</v>
      </c>
      <c r="M25" s="539"/>
      <c r="N25" s="397" t="s">
        <v>193</v>
      </c>
      <c r="O25" s="395"/>
      <c r="Q25" s="526"/>
      <c r="R25" s="526"/>
      <c r="S25" s="526"/>
      <c r="T25" s="395"/>
      <c r="W25" s="526"/>
    </row>
    <row r="26" spans="1:23" s="536" customFormat="1" ht="13.2" hidden="1" outlineLevel="2">
      <c r="A26" s="539"/>
      <c r="B26" s="523"/>
      <c r="C26" s="522"/>
      <c r="D26" s="531"/>
      <c r="E26" s="573" t="s">
        <v>2263</v>
      </c>
      <c r="F26" s="533" t="s">
        <v>2264</v>
      </c>
      <c r="G26" s="539"/>
      <c r="H26" s="503" t="s">
        <v>70</v>
      </c>
      <c r="I26" s="400" t="str">
        <f t="shared" si="0"/>
        <v>BB02-3</v>
      </c>
      <c r="J26" s="507">
        <v>3</v>
      </c>
      <c r="K26" s="539"/>
      <c r="L26" s="395">
        <v>1</v>
      </c>
      <c r="M26" s="539"/>
      <c r="N26" s="397" t="s">
        <v>193</v>
      </c>
      <c r="O26" s="395"/>
      <c r="Q26" s="526"/>
      <c r="R26" s="526"/>
      <c r="S26" s="526"/>
      <c r="T26" s="395"/>
      <c r="W26" s="526"/>
    </row>
    <row r="27" spans="1:23" s="536" customFormat="1" ht="13.2" hidden="1" outlineLevel="2">
      <c r="A27" s="539"/>
      <c r="B27" s="523"/>
      <c r="C27" s="522"/>
      <c r="D27" s="531"/>
      <c r="E27" s="573" t="s">
        <v>2265</v>
      </c>
      <c r="F27" s="533" t="s">
        <v>2266</v>
      </c>
      <c r="G27" s="539"/>
      <c r="H27" s="503" t="s">
        <v>70</v>
      </c>
      <c r="I27" s="400" t="str">
        <f t="shared" si="0"/>
        <v>BB02-3</v>
      </c>
      <c r="J27" s="507">
        <v>3</v>
      </c>
      <c r="K27" s="539"/>
      <c r="L27" s="395">
        <v>1</v>
      </c>
      <c r="M27" s="539"/>
      <c r="N27" s="397" t="s">
        <v>193</v>
      </c>
      <c r="O27" s="395"/>
      <c r="Q27" s="526"/>
      <c r="R27" s="526"/>
      <c r="S27" s="526"/>
      <c r="T27" s="395"/>
      <c r="W27" s="526"/>
    </row>
    <row r="28" spans="1:23" s="536" customFormat="1" ht="13.2" hidden="1" outlineLevel="2">
      <c r="A28" s="539"/>
      <c r="B28" s="523"/>
      <c r="C28" s="522"/>
      <c r="D28" s="531"/>
      <c r="E28" s="573" t="s">
        <v>2267</v>
      </c>
      <c r="F28" s="533" t="s">
        <v>2268</v>
      </c>
      <c r="G28" s="539"/>
      <c r="H28" s="503" t="s">
        <v>70</v>
      </c>
      <c r="I28" s="400" t="str">
        <f t="shared" si="0"/>
        <v>BB02-3</v>
      </c>
      <c r="J28" s="507">
        <v>3</v>
      </c>
      <c r="K28" s="539"/>
      <c r="L28" s="395">
        <v>1</v>
      </c>
      <c r="M28" s="539"/>
      <c r="N28" s="397" t="s">
        <v>193</v>
      </c>
      <c r="O28" s="395"/>
      <c r="Q28" s="526"/>
      <c r="R28" s="526"/>
      <c r="S28" s="526"/>
      <c r="T28" s="395"/>
      <c r="W28" s="526"/>
    </row>
    <row r="29" spans="1:23" s="536" customFormat="1" ht="13.2" hidden="1" outlineLevel="2">
      <c r="A29" s="539"/>
      <c r="B29" s="523"/>
      <c r="C29" s="522"/>
      <c r="D29" s="531"/>
      <c r="E29" s="573" t="s">
        <v>2269</v>
      </c>
      <c r="F29" s="533" t="s">
        <v>2270</v>
      </c>
      <c r="G29" s="539"/>
      <c r="H29" s="503" t="s">
        <v>70</v>
      </c>
      <c r="I29" s="400" t="str">
        <f t="shared" si="0"/>
        <v>BB02-3</v>
      </c>
      <c r="J29" s="507">
        <v>3</v>
      </c>
      <c r="K29" s="539"/>
      <c r="L29" s="395">
        <v>1</v>
      </c>
      <c r="M29" s="539"/>
      <c r="N29" s="397" t="s">
        <v>193</v>
      </c>
      <c r="O29" s="395"/>
      <c r="Q29" s="526"/>
      <c r="R29" s="526"/>
      <c r="S29" s="526"/>
      <c r="T29" s="395"/>
      <c r="W29" s="526"/>
    </row>
    <row r="30" spans="1:23" s="536" customFormat="1" ht="13.2" hidden="1" outlineLevel="2">
      <c r="A30" s="539"/>
      <c r="B30" s="523"/>
      <c r="C30" s="522"/>
      <c r="D30" s="531"/>
      <c r="E30" s="573" t="s">
        <v>2271</v>
      </c>
      <c r="F30" s="533" t="s">
        <v>2272</v>
      </c>
      <c r="G30" s="539"/>
      <c r="H30" s="503" t="s">
        <v>70</v>
      </c>
      <c r="I30" s="400" t="str">
        <f t="shared" si="0"/>
        <v>BB02-3</v>
      </c>
      <c r="J30" s="507">
        <v>3</v>
      </c>
      <c r="K30" s="539"/>
      <c r="L30" s="395">
        <v>1</v>
      </c>
      <c r="M30" s="539"/>
      <c r="N30" s="397" t="s">
        <v>193</v>
      </c>
      <c r="O30" s="395"/>
      <c r="Q30" s="526"/>
      <c r="R30" s="526"/>
      <c r="S30" s="526"/>
      <c r="T30" s="395"/>
      <c r="W30" s="526"/>
    </row>
    <row r="31" spans="1:23" s="536" customFormat="1" ht="13.2" hidden="1" outlineLevel="2">
      <c r="A31" s="539"/>
      <c r="B31" s="523"/>
      <c r="C31" s="522"/>
      <c r="D31" s="531"/>
      <c r="E31" s="573" t="s">
        <v>2273</v>
      </c>
      <c r="F31" s="533" t="s">
        <v>2274</v>
      </c>
      <c r="G31" s="539"/>
      <c r="H31" s="503" t="s">
        <v>70</v>
      </c>
      <c r="I31" s="400" t="str">
        <f t="shared" si="0"/>
        <v>BB02-3</v>
      </c>
      <c r="J31" s="507">
        <v>3</v>
      </c>
      <c r="K31" s="539"/>
      <c r="L31" s="395">
        <v>1</v>
      </c>
      <c r="M31" s="539"/>
      <c r="N31" s="397" t="s">
        <v>193</v>
      </c>
      <c r="O31" s="395"/>
      <c r="Q31" s="526"/>
      <c r="R31" s="526"/>
      <c r="S31" s="526"/>
      <c r="T31" s="395"/>
      <c r="W31" s="526"/>
    </row>
    <row r="32" spans="1:23" s="536" customFormat="1" ht="13.2" hidden="1" outlineLevel="2">
      <c r="A32" s="539"/>
      <c r="B32" s="523"/>
      <c r="C32" s="522"/>
      <c r="D32" s="531"/>
      <c r="E32" s="573" t="s">
        <v>2275</v>
      </c>
      <c r="F32" s="533" t="s">
        <v>2276</v>
      </c>
      <c r="G32" s="539"/>
      <c r="H32" s="503" t="s">
        <v>70</v>
      </c>
      <c r="I32" s="400" t="str">
        <f t="shared" si="0"/>
        <v>BB02-3</v>
      </c>
      <c r="J32" s="507">
        <v>3</v>
      </c>
      <c r="K32" s="539"/>
      <c r="L32" s="395">
        <v>1</v>
      </c>
      <c r="M32" s="539"/>
      <c r="N32" s="397" t="s">
        <v>193</v>
      </c>
      <c r="O32" s="395"/>
      <c r="Q32" s="526"/>
      <c r="R32" s="526"/>
      <c r="S32" s="526"/>
      <c r="T32" s="395"/>
      <c r="W32" s="526"/>
    </row>
    <row r="33" spans="1:23" s="536" customFormat="1" ht="13.2" hidden="1" outlineLevel="2">
      <c r="A33" s="539"/>
      <c r="B33" s="523"/>
      <c r="C33" s="522"/>
      <c r="D33" s="531"/>
      <c r="E33" s="573" t="s">
        <v>2277</v>
      </c>
      <c r="F33" s="533" t="s">
        <v>2278</v>
      </c>
      <c r="G33" s="539"/>
      <c r="H33" s="503" t="s">
        <v>70</v>
      </c>
      <c r="I33" s="400" t="str">
        <f t="shared" si="0"/>
        <v>BB02-3</v>
      </c>
      <c r="J33" s="507">
        <v>3</v>
      </c>
      <c r="K33" s="539"/>
      <c r="L33" s="395">
        <v>1</v>
      </c>
      <c r="M33" s="539"/>
      <c r="N33" s="397" t="s">
        <v>193</v>
      </c>
      <c r="O33" s="395"/>
      <c r="Q33" s="526"/>
      <c r="R33" s="526"/>
      <c r="S33" s="526"/>
      <c r="T33" s="395"/>
      <c r="W33" s="526"/>
    </row>
    <row r="34" spans="1:23" s="536" customFormat="1" ht="13.2" hidden="1" outlineLevel="2">
      <c r="A34" s="539"/>
      <c r="B34" s="523"/>
      <c r="C34" s="522"/>
      <c r="D34" s="531"/>
      <c r="E34" s="573" t="s">
        <v>2279</v>
      </c>
      <c r="F34" s="533" t="s">
        <v>2280</v>
      </c>
      <c r="G34" s="539"/>
      <c r="H34" s="503" t="s">
        <v>70</v>
      </c>
      <c r="I34" s="400" t="str">
        <f t="shared" si="0"/>
        <v>BB02-3</v>
      </c>
      <c r="J34" s="507">
        <v>3</v>
      </c>
      <c r="K34" s="539"/>
      <c r="L34" s="395">
        <v>1</v>
      </c>
      <c r="M34" s="539"/>
      <c r="N34" s="397" t="s">
        <v>193</v>
      </c>
      <c r="O34" s="395"/>
      <c r="Q34" s="526"/>
      <c r="R34" s="526"/>
      <c r="S34" s="526"/>
      <c r="T34" s="395"/>
      <c r="W34" s="526"/>
    </row>
    <row r="35" spans="1:23" s="536" customFormat="1" ht="13.2" hidden="1" outlineLevel="2">
      <c r="A35" s="539"/>
      <c r="B35" s="523"/>
      <c r="C35" s="522"/>
      <c r="D35" s="531"/>
      <c r="E35" s="573" t="s">
        <v>2281</v>
      </c>
      <c r="F35" s="533" t="s">
        <v>2282</v>
      </c>
      <c r="G35" s="539"/>
      <c r="H35" s="503" t="s">
        <v>70</v>
      </c>
      <c r="I35" s="400" t="str">
        <f t="shared" si="0"/>
        <v>BB02-3</v>
      </c>
      <c r="J35" s="507">
        <v>3</v>
      </c>
      <c r="K35" s="539"/>
      <c r="L35" s="395">
        <v>1</v>
      </c>
      <c r="M35" s="539"/>
      <c r="N35" s="397" t="s">
        <v>193</v>
      </c>
      <c r="O35" s="395"/>
      <c r="Q35" s="526"/>
      <c r="R35" s="526"/>
      <c r="S35" s="526"/>
      <c r="T35" s="395"/>
      <c r="W35" s="526"/>
    </row>
    <row r="36" spans="1:23" s="536" customFormat="1" ht="13.2" hidden="1" outlineLevel="2">
      <c r="A36" s="539"/>
      <c r="B36" s="523"/>
      <c r="C36" s="522"/>
      <c r="D36" s="531"/>
      <c r="E36" s="573" t="s">
        <v>2283</v>
      </c>
      <c r="F36" s="533" t="s">
        <v>2284</v>
      </c>
      <c r="G36" s="539"/>
      <c r="H36" s="503" t="s">
        <v>70</v>
      </c>
      <c r="I36" s="400" t="str">
        <f t="shared" si="0"/>
        <v>BB02-3</v>
      </c>
      <c r="J36" s="507">
        <v>3</v>
      </c>
      <c r="K36" s="539"/>
      <c r="L36" s="395">
        <v>1</v>
      </c>
      <c r="M36" s="539"/>
      <c r="N36" s="397" t="s">
        <v>193</v>
      </c>
      <c r="O36" s="395"/>
      <c r="Q36" s="526"/>
      <c r="R36" s="526"/>
      <c r="S36" s="526"/>
      <c r="T36" s="395"/>
      <c r="W36" s="526"/>
    </row>
    <row r="37" spans="1:23" s="536" customFormat="1" ht="13.2" hidden="1" outlineLevel="2">
      <c r="A37" s="539"/>
      <c r="B37" s="523"/>
      <c r="C37" s="522"/>
      <c r="D37" s="531"/>
      <c r="E37" s="573" t="s">
        <v>2285</v>
      </c>
      <c r="F37" s="533" t="s">
        <v>2286</v>
      </c>
      <c r="G37" s="539"/>
      <c r="H37" s="503" t="s">
        <v>70</v>
      </c>
      <c r="I37" s="400" t="str">
        <f t="shared" si="0"/>
        <v>BB02-3</v>
      </c>
      <c r="J37" s="507">
        <v>3</v>
      </c>
      <c r="K37" s="539"/>
      <c r="L37" s="395">
        <v>1</v>
      </c>
      <c r="M37" s="539"/>
      <c r="N37" s="397" t="s">
        <v>193</v>
      </c>
      <c r="O37" s="395"/>
      <c r="Q37" s="526"/>
      <c r="R37" s="526"/>
      <c r="S37" s="526"/>
      <c r="T37" s="395"/>
      <c r="W37" s="526"/>
    </row>
    <row r="38" spans="1:23" s="536" customFormat="1" ht="13.2" hidden="1" outlineLevel="2">
      <c r="A38" s="539"/>
      <c r="B38" s="523"/>
      <c r="C38" s="522"/>
      <c r="D38" s="531"/>
      <c r="E38" s="573" t="s">
        <v>2287</v>
      </c>
      <c r="F38" s="533" t="s">
        <v>2288</v>
      </c>
      <c r="G38" s="539"/>
      <c r="H38" s="503" t="s">
        <v>70</v>
      </c>
      <c r="I38" s="400" t="str">
        <f t="shared" ref="I38:I42" si="1">CONCATENATE(H38,"-",J38)</f>
        <v>BB02-3</v>
      </c>
      <c r="J38" s="507">
        <v>3</v>
      </c>
      <c r="K38" s="539"/>
      <c r="L38" s="395">
        <v>1</v>
      </c>
      <c r="M38" s="539"/>
      <c r="N38" s="397" t="s">
        <v>193</v>
      </c>
      <c r="O38" s="395"/>
      <c r="Q38" s="526"/>
      <c r="R38" s="526"/>
      <c r="S38" s="526"/>
      <c r="T38" s="395"/>
      <c r="W38" s="526"/>
    </row>
    <row r="39" spans="1:23" s="536" customFormat="1" ht="13.2" hidden="1" outlineLevel="2">
      <c r="A39" s="539"/>
      <c r="B39" s="523"/>
      <c r="C39" s="522"/>
      <c r="D39" s="531"/>
      <c r="E39" s="573" t="s">
        <v>2289</v>
      </c>
      <c r="F39" s="533" t="s">
        <v>2290</v>
      </c>
      <c r="G39" s="539"/>
      <c r="H39" s="503" t="s">
        <v>70</v>
      </c>
      <c r="I39" s="400" t="str">
        <f t="shared" si="1"/>
        <v>BB02-3</v>
      </c>
      <c r="J39" s="507">
        <v>3</v>
      </c>
      <c r="K39" s="539"/>
      <c r="L39" s="395">
        <v>1</v>
      </c>
      <c r="M39" s="539"/>
      <c r="N39" s="397" t="s">
        <v>193</v>
      </c>
      <c r="O39" s="395"/>
      <c r="Q39" s="526"/>
      <c r="R39" s="526"/>
      <c r="S39" s="526"/>
      <c r="T39" s="395"/>
      <c r="W39" s="526"/>
    </row>
    <row r="40" spans="1:23" s="536" customFormat="1" ht="13.2" hidden="1" outlineLevel="2">
      <c r="A40" s="539"/>
      <c r="B40" s="523"/>
      <c r="C40" s="522"/>
      <c r="D40" s="531"/>
      <c r="E40" s="573" t="s">
        <v>2291</v>
      </c>
      <c r="F40" s="533" t="s">
        <v>2292</v>
      </c>
      <c r="G40" s="539"/>
      <c r="H40" s="503" t="s">
        <v>70</v>
      </c>
      <c r="I40" s="400" t="str">
        <f t="shared" si="1"/>
        <v>BB02-3</v>
      </c>
      <c r="J40" s="507">
        <v>3</v>
      </c>
      <c r="K40" s="539"/>
      <c r="L40" s="395">
        <v>1</v>
      </c>
      <c r="M40" s="539"/>
      <c r="N40" s="397" t="s">
        <v>193</v>
      </c>
      <c r="O40" s="395"/>
      <c r="Q40" s="526"/>
      <c r="R40" s="526"/>
      <c r="S40" s="526"/>
      <c r="T40" s="395"/>
      <c r="W40" s="526"/>
    </row>
    <row r="41" spans="1:23" s="536" customFormat="1" ht="13.2" hidden="1" outlineLevel="2">
      <c r="A41" s="539"/>
      <c r="B41" s="523"/>
      <c r="C41" s="522"/>
      <c r="D41" s="531"/>
      <c r="E41" s="573" t="s">
        <v>2293</v>
      </c>
      <c r="F41" s="533" t="s">
        <v>2294</v>
      </c>
      <c r="G41" s="539"/>
      <c r="H41" s="503" t="s">
        <v>70</v>
      </c>
      <c r="I41" s="400" t="str">
        <f t="shared" si="1"/>
        <v>BB02-3</v>
      </c>
      <c r="J41" s="507">
        <v>3</v>
      </c>
      <c r="K41" s="539"/>
      <c r="L41" s="395">
        <v>1</v>
      </c>
      <c r="M41" s="539"/>
      <c r="N41" s="397" t="s">
        <v>193</v>
      </c>
      <c r="O41" s="395"/>
      <c r="Q41" s="526"/>
      <c r="R41" s="526"/>
      <c r="S41" s="526"/>
      <c r="T41" s="395"/>
      <c r="W41" s="526"/>
    </row>
    <row r="42" spans="1:23" s="536" customFormat="1" ht="13.2" hidden="1" outlineLevel="2">
      <c r="A42" s="539"/>
      <c r="B42" s="523"/>
      <c r="C42" s="522"/>
      <c r="D42" s="531"/>
      <c r="E42" s="573" t="s">
        <v>2295</v>
      </c>
      <c r="F42" s="533" t="s">
        <v>2296</v>
      </c>
      <c r="G42" s="539"/>
      <c r="H42" s="503" t="s">
        <v>70</v>
      </c>
      <c r="I42" s="400" t="str">
        <f t="shared" si="1"/>
        <v>BB02-3</v>
      </c>
      <c r="J42" s="507">
        <v>3</v>
      </c>
      <c r="K42" s="539"/>
      <c r="L42" s="395">
        <v>1</v>
      </c>
      <c r="M42" s="539"/>
      <c r="N42" s="397" t="s">
        <v>193</v>
      </c>
      <c r="O42" s="395"/>
      <c r="Q42" s="526"/>
      <c r="R42" s="526"/>
      <c r="S42" s="526"/>
      <c r="T42" s="395"/>
      <c r="W42" s="526"/>
    </row>
    <row r="43" spans="1:23" ht="3" hidden="1" customHeight="1" outlineLevel="1"/>
    <row r="44" spans="1:23" ht="13.2" hidden="1" outlineLevel="1">
      <c r="A44" s="507"/>
      <c r="B44" s="460" t="s">
        <v>78</v>
      </c>
      <c r="C44" s="460" t="s">
        <v>77</v>
      </c>
      <c r="D44" s="460"/>
      <c r="E44" s="476"/>
      <c r="F44" s="460"/>
      <c r="G44" s="507"/>
      <c r="H44" s="503"/>
      <c r="I44" s="389"/>
      <c r="J44" s="507"/>
      <c r="K44" s="507"/>
      <c r="M44" s="507"/>
      <c r="N44" s="392"/>
    </row>
    <row r="45" spans="1:23" s="536" customFormat="1" ht="13.2" hidden="1" outlineLevel="2">
      <c r="A45" s="539"/>
      <c r="B45" s="523"/>
      <c r="C45" s="522"/>
      <c r="D45" s="531"/>
      <c r="E45" s="573" t="s">
        <v>2243</v>
      </c>
      <c r="F45" s="533" t="s">
        <v>2244</v>
      </c>
      <c r="G45" s="539"/>
      <c r="H45" s="503" t="s">
        <v>70</v>
      </c>
      <c r="I45" s="400" t="str">
        <f t="shared" ref="I45:I49" si="2">CONCATENATE(H45,"-",J45)</f>
        <v>BB02-4</v>
      </c>
      <c r="J45" s="507">
        <v>4</v>
      </c>
      <c r="K45" s="539"/>
      <c r="L45" s="395">
        <v>1</v>
      </c>
      <c r="M45" s="539"/>
      <c r="N45" s="397" t="s">
        <v>610</v>
      </c>
      <c r="O45" s="395"/>
      <c r="Q45" s="526"/>
      <c r="R45" s="526"/>
      <c r="S45" s="526"/>
      <c r="T45" s="395"/>
      <c r="W45" s="526"/>
    </row>
    <row r="46" spans="1:23" s="536" customFormat="1" ht="13.2" hidden="1" outlineLevel="2">
      <c r="A46" s="539"/>
      <c r="B46" s="523"/>
      <c r="C46" s="522"/>
      <c r="D46" s="531"/>
      <c r="E46" s="573" t="s">
        <v>2245</v>
      </c>
      <c r="F46" s="533" t="s">
        <v>2246</v>
      </c>
      <c r="G46" s="539"/>
      <c r="H46" s="503" t="s">
        <v>70</v>
      </c>
      <c r="I46" s="400" t="str">
        <f t="shared" si="2"/>
        <v>BB02-4</v>
      </c>
      <c r="J46" s="507">
        <v>4</v>
      </c>
      <c r="K46" s="539"/>
      <c r="L46" s="395">
        <v>1</v>
      </c>
      <c r="M46" s="539"/>
      <c r="N46" s="397" t="s">
        <v>193</v>
      </c>
      <c r="O46" s="395"/>
      <c r="Q46" s="526"/>
      <c r="R46" s="526"/>
      <c r="S46" s="526"/>
      <c r="T46" s="395"/>
      <c r="W46" s="526"/>
    </row>
    <row r="47" spans="1:23" s="536" customFormat="1" ht="12.75" hidden="1" customHeight="1" outlineLevel="2">
      <c r="A47" s="539"/>
      <c r="B47" s="523"/>
      <c r="C47" s="522"/>
      <c r="D47" s="531"/>
      <c r="E47" s="573" t="s">
        <v>2247</v>
      </c>
      <c r="F47" s="533" t="s">
        <v>2248</v>
      </c>
      <c r="G47" s="539"/>
      <c r="H47" s="503" t="s">
        <v>70</v>
      </c>
      <c r="I47" s="400" t="str">
        <f t="shared" si="2"/>
        <v>BB02-4</v>
      </c>
      <c r="J47" s="507">
        <v>4</v>
      </c>
      <c r="K47" s="539"/>
      <c r="L47" s="395">
        <v>1</v>
      </c>
      <c r="M47" s="539"/>
      <c r="N47" s="397" t="s">
        <v>193</v>
      </c>
      <c r="O47" s="395"/>
      <c r="Q47" s="526"/>
      <c r="R47" s="526"/>
      <c r="S47" s="526"/>
      <c r="T47" s="395"/>
      <c r="W47" s="526"/>
    </row>
    <row r="48" spans="1:23" s="536" customFormat="1" ht="12.75" hidden="1" customHeight="1" outlineLevel="2">
      <c r="A48" s="539"/>
      <c r="B48" s="523"/>
      <c r="C48" s="522"/>
      <c r="D48" s="531"/>
      <c r="E48" s="573" t="s">
        <v>2297</v>
      </c>
      <c r="F48" s="533" t="s">
        <v>2298</v>
      </c>
      <c r="G48" s="539"/>
      <c r="H48" s="503" t="s">
        <v>70</v>
      </c>
      <c r="I48" s="400" t="str">
        <f t="shared" si="2"/>
        <v>BB02-4</v>
      </c>
      <c r="J48" s="507">
        <v>4</v>
      </c>
      <c r="K48" s="539"/>
      <c r="L48" s="395">
        <v>1</v>
      </c>
      <c r="M48" s="539"/>
      <c r="N48" s="397" t="s">
        <v>193</v>
      </c>
      <c r="O48" s="395"/>
      <c r="Q48" s="526"/>
      <c r="R48" s="526"/>
      <c r="S48" s="526"/>
      <c r="T48" s="395"/>
      <c r="W48" s="526"/>
    </row>
    <row r="49" spans="1:57" s="536" customFormat="1" ht="12.75" hidden="1" customHeight="1" outlineLevel="2">
      <c r="A49" s="539"/>
      <c r="B49" s="523"/>
      <c r="C49" s="522"/>
      <c r="D49" s="531"/>
      <c r="E49" s="573" t="s">
        <v>2249</v>
      </c>
      <c r="F49" s="533" t="s">
        <v>2250</v>
      </c>
      <c r="G49" s="539"/>
      <c r="H49" s="503" t="s">
        <v>70</v>
      </c>
      <c r="I49" s="400" t="str">
        <f t="shared" si="2"/>
        <v>BB02-4</v>
      </c>
      <c r="J49" s="507">
        <v>4</v>
      </c>
      <c r="K49" s="539"/>
      <c r="L49" s="395">
        <v>1</v>
      </c>
      <c r="M49" s="539"/>
      <c r="N49" s="397" t="s">
        <v>193</v>
      </c>
      <c r="O49" s="395"/>
      <c r="Q49" s="526"/>
      <c r="R49" s="526"/>
      <c r="S49" s="526"/>
      <c r="T49" s="395"/>
      <c r="W49" s="526"/>
    </row>
    <row r="50" spans="1:57" ht="3" hidden="1" customHeight="1" outlineLevel="1">
      <c r="A50" s="507"/>
      <c r="C50" s="523"/>
      <c r="E50" s="524"/>
      <c r="F50" s="505"/>
      <c r="G50" s="507"/>
      <c r="H50" s="503"/>
      <c r="I50" s="389"/>
      <c r="J50" s="507"/>
      <c r="K50" s="507"/>
      <c r="M50" s="507"/>
      <c r="N50" s="392"/>
      <c r="P50" s="527"/>
    </row>
    <row r="51" spans="1:57" ht="13.2" hidden="1" outlineLevel="1">
      <c r="A51" s="507"/>
      <c r="B51" s="460" t="s">
        <v>162</v>
      </c>
      <c r="C51" s="460" t="s">
        <v>79</v>
      </c>
      <c r="D51" s="460"/>
      <c r="E51" s="476"/>
      <c r="F51" s="460"/>
      <c r="G51" s="507"/>
      <c r="H51" s="503"/>
      <c r="I51" s="389" t="s">
        <v>1167</v>
      </c>
      <c r="J51" s="507"/>
      <c r="K51" s="507"/>
      <c r="M51" s="507"/>
      <c r="N51" s="392"/>
      <c r="P51" s="527"/>
    </row>
    <row r="52" spans="1:57" s="536" customFormat="1" ht="13.2" hidden="1" outlineLevel="2">
      <c r="A52" s="539"/>
      <c r="B52" s="523"/>
      <c r="C52" s="522"/>
      <c r="D52" s="531"/>
      <c r="E52" s="573" t="s">
        <v>2299</v>
      </c>
      <c r="F52" s="533" t="s">
        <v>2300</v>
      </c>
      <c r="G52" s="539"/>
      <c r="H52" s="503" t="s">
        <v>70</v>
      </c>
      <c r="I52" s="400" t="str">
        <f t="shared" ref="I52:I58" si="3">CONCATENATE(H52,"-",J52)</f>
        <v>BB02-5</v>
      </c>
      <c r="J52" s="507">
        <v>5</v>
      </c>
      <c r="K52" s="539"/>
      <c r="L52" s="395">
        <v>1</v>
      </c>
      <c r="M52" s="539"/>
      <c r="N52" s="397" t="s">
        <v>193</v>
      </c>
      <c r="O52" s="395"/>
      <c r="Q52" s="526"/>
      <c r="R52" s="526"/>
      <c r="S52" s="526"/>
      <c r="T52" s="395"/>
      <c r="W52" s="526"/>
    </row>
    <row r="53" spans="1:57" s="536" customFormat="1" ht="13.2" hidden="1" outlineLevel="2">
      <c r="A53" s="539"/>
      <c r="B53" s="523"/>
      <c r="C53" s="522"/>
      <c r="D53" s="531"/>
      <c r="E53" s="573" t="s">
        <v>2301</v>
      </c>
      <c r="F53" s="533" t="s">
        <v>2302</v>
      </c>
      <c r="G53" s="539"/>
      <c r="H53" s="503" t="s">
        <v>70</v>
      </c>
      <c r="I53" s="400" t="str">
        <f t="shared" si="3"/>
        <v>BB02-5</v>
      </c>
      <c r="J53" s="507">
        <v>5</v>
      </c>
      <c r="K53" s="539"/>
      <c r="L53" s="395">
        <v>1</v>
      </c>
      <c r="M53" s="539"/>
      <c r="N53" s="397" t="s">
        <v>193</v>
      </c>
      <c r="O53" s="395"/>
      <c r="Q53" s="526"/>
      <c r="R53" s="526"/>
      <c r="S53" s="526"/>
      <c r="T53" s="395"/>
      <c r="W53" s="526"/>
    </row>
    <row r="54" spans="1:57" s="536" customFormat="1" ht="13.2" hidden="1" outlineLevel="2">
      <c r="A54" s="539"/>
      <c r="B54" s="523"/>
      <c r="C54" s="522"/>
      <c r="D54" s="531"/>
      <c r="E54" s="573" t="s">
        <v>2303</v>
      </c>
      <c r="F54" s="533" t="s">
        <v>2304</v>
      </c>
      <c r="G54" s="539"/>
      <c r="H54" s="503" t="s">
        <v>70</v>
      </c>
      <c r="I54" s="400" t="str">
        <f t="shared" si="3"/>
        <v>BB02-5</v>
      </c>
      <c r="J54" s="507">
        <v>5</v>
      </c>
      <c r="K54" s="539"/>
      <c r="L54" s="395">
        <v>1</v>
      </c>
      <c r="M54" s="539"/>
      <c r="N54" s="397" t="s">
        <v>193</v>
      </c>
      <c r="O54" s="395"/>
      <c r="Q54" s="526"/>
      <c r="R54" s="526"/>
      <c r="S54" s="526"/>
      <c r="T54" s="395"/>
      <c r="U54" s="526"/>
      <c r="V54" s="526"/>
      <c r="W54" s="526"/>
      <c r="X54" s="526"/>
      <c r="BE54" s="539"/>
    </row>
    <row r="55" spans="1:57" s="536" customFormat="1" ht="13.2" hidden="1" outlineLevel="2">
      <c r="A55" s="539"/>
      <c r="B55" s="523"/>
      <c r="C55" s="522"/>
      <c r="D55" s="531"/>
      <c r="E55" s="573" t="s">
        <v>2305</v>
      </c>
      <c r="F55" s="533" t="s">
        <v>2306</v>
      </c>
      <c r="G55" s="539"/>
      <c r="H55" s="503" t="s">
        <v>70</v>
      </c>
      <c r="I55" s="400" t="str">
        <f t="shared" si="3"/>
        <v>BB02-5</v>
      </c>
      <c r="J55" s="507">
        <v>5</v>
      </c>
      <c r="K55" s="539"/>
      <c r="L55" s="395">
        <v>1</v>
      </c>
      <c r="M55" s="539"/>
      <c r="N55" s="397" t="s">
        <v>193</v>
      </c>
      <c r="O55" s="395"/>
      <c r="Q55" s="526"/>
      <c r="R55" s="526"/>
      <c r="S55" s="526"/>
      <c r="T55" s="395"/>
      <c r="U55" s="526"/>
      <c r="V55" s="526"/>
      <c r="W55" s="526"/>
      <c r="X55" s="526"/>
      <c r="BE55" s="539"/>
    </row>
    <row r="56" spans="1:57" s="536" customFormat="1" ht="13.2" hidden="1" outlineLevel="2">
      <c r="A56" s="539"/>
      <c r="B56" s="523"/>
      <c r="C56" s="522"/>
      <c r="D56" s="531"/>
      <c r="E56" s="573" t="s">
        <v>2307</v>
      </c>
      <c r="F56" s="533" t="s">
        <v>2308</v>
      </c>
      <c r="G56" s="539"/>
      <c r="H56" s="503" t="s">
        <v>70</v>
      </c>
      <c r="I56" s="400" t="str">
        <f t="shared" si="3"/>
        <v>BB02-5</v>
      </c>
      <c r="J56" s="507">
        <v>5</v>
      </c>
      <c r="K56" s="539"/>
      <c r="L56" s="395">
        <v>1</v>
      </c>
      <c r="M56" s="539"/>
      <c r="N56" s="397" t="s">
        <v>193</v>
      </c>
      <c r="O56" s="395"/>
      <c r="Q56" s="526"/>
      <c r="R56" s="526"/>
      <c r="S56" s="526"/>
      <c r="T56" s="395"/>
      <c r="U56" s="526"/>
      <c r="V56" s="526"/>
      <c r="W56" s="526"/>
      <c r="X56" s="526"/>
      <c r="BE56" s="539"/>
    </row>
    <row r="57" spans="1:57" s="536" customFormat="1" ht="13.2" hidden="1" outlineLevel="2">
      <c r="A57" s="539"/>
      <c r="B57" s="523"/>
      <c r="C57" s="522"/>
      <c r="D57" s="531"/>
      <c r="E57" s="573" t="s">
        <v>2309</v>
      </c>
      <c r="F57" s="533" t="s">
        <v>2310</v>
      </c>
      <c r="G57" s="539"/>
      <c r="H57" s="503" t="s">
        <v>70</v>
      </c>
      <c r="I57" s="400" t="str">
        <f t="shared" si="3"/>
        <v>BB02-5</v>
      </c>
      <c r="J57" s="507">
        <v>5</v>
      </c>
      <c r="K57" s="539"/>
      <c r="L57" s="395">
        <v>1</v>
      </c>
      <c r="M57" s="539"/>
      <c r="N57" s="397" t="s">
        <v>193</v>
      </c>
      <c r="O57" s="395"/>
      <c r="Q57" s="526"/>
      <c r="R57" s="526"/>
      <c r="S57" s="526"/>
      <c r="T57" s="395"/>
      <c r="W57" s="526"/>
    </row>
    <row r="58" spans="1:57" s="536" customFormat="1" ht="13.2" hidden="1" outlineLevel="2">
      <c r="A58" s="539"/>
      <c r="B58" s="523"/>
      <c r="C58" s="522"/>
      <c r="D58" s="531"/>
      <c r="E58" s="573" t="s">
        <v>2311</v>
      </c>
      <c r="F58" s="533" t="s">
        <v>2312</v>
      </c>
      <c r="G58" s="539"/>
      <c r="H58" s="503" t="s">
        <v>70</v>
      </c>
      <c r="I58" s="400" t="str">
        <f t="shared" si="3"/>
        <v>BB02-5</v>
      </c>
      <c r="J58" s="507">
        <v>5</v>
      </c>
      <c r="K58" s="539"/>
      <c r="L58" s="395">
        <v>1</v>
      </c>
      <c r="M58" s="539"/>
      <c r="N58" s="397" t="s">
        <v>193</v>
      </c>
      <c r="O58" s="395"/>
      <c r="Q58" s="526"/>
      <c r="R58" s="526"/>
      <c r="S58" s="526"/>
      <c r="T58" s="395"/>
      <c r="W58" s="526"/>
    </row>
    <row r="59" spans="1:57" s="535" customFormat="1" ht="3" hidden="1" customHeight="1">
      <c r="A59" s="534"/>
      <c r="B59" s="523"/>
      <c r="C59" s="522"/>
      <c r="D59" s="531"/>
      <c r="E59" s="532"/>
      <c r="F59" s="533"/>
      <c r="G59" s="534"/>
      <c r="H59" s="503"/>
      <c r="I59" s="400"/>
      <c r="J59" s="507"/>
      <c r="K59" s="534"/>
      <c r="L59" s="526"/>
      <c r="M59" s="534"/>
      <c r="N59" s="397"/>
      <c r="O59" s="526"/>
      <c r="P59" s="526"/>
      <c r="Q59" s="526"/>
      <c r="R59" s="526"/>
      <c r="S59" s="526"/>
      <c r="T59" s="526"/>
      <c r="U59" s="526"/>
      <c r="V59" s="526"/>
      <c r="W59" s="526"/>
      <c r="X59" s="526"/>
      <c r="BE59" s="534"/>
    </row>
    <row r="60" spans="1:57" s="536" customFormat="1" ht="12.75" hidden="1" customHeight="1" collapsed="1">
      <c r="A60" s="392"/>
      <c r="B60" s="466" t="s">
        <v>1171</v>
      </c>
      <c r="C60" s="491"/>
      <c r="D60" s="491"/>
      <c r="E60" s="528"/>
      <c r="F60" s="493"/>
      <c r="G60" s="392"/>
      <c r="H60" s="493"/>
      <c r="I60" s="493"/>
      <c r="J60" s="493"/>
      <c r="K60" s="392"/>
      <c r="L60" s="493"/>
      <c r="M60" s="392"/>
      <c r="N60" s="493"/>
      <c r="O60" s="493"/>
      <c r="P60" s="493"/>
      <c r="Q60" s="493"/>
      <c r="R60" s="493"/>
      <c r="S60" s="493"/>
      <c r="T60" s="493"/>
      <c r="U60" s="493"/>
      <c r="V60" s="493"/>
      <c r="W60" s="493"/>
      <c r="X60" s="493"/>
      <c r="BE60" s="392" t="s">
        <v>181</v>
      </c>
    </row>
    <row r="61" spans="1:57" s="536" customFormat="1" ht="3" hidden="1" customHeight="1" outlineLevel="1">
      <c r="A61" s="539"/>
      <c r="B61" s="369"/>
      <c r="C61" s="537"/>
      <c r="D61" s="538"/>
      <c r="E61" s="532"/>
      <c r="F61" s="533"/>
      <c r="G61" s="539"/>
      <c r="H61" s="503"/>
      <c r="I61" s="400"/>
      <c r="J61" s="507"/>
      <c r="K61" s="539"/>
      <c r="L61" s="393"/>
      <c r="M61" s="539"/>
      <c r="N61" s="397"/>
      <c r="O61" s="526"/>
      <c r="P61" s="526"/>
      <c r="Q61" s="526"/>
      <c r="R61" s="526"/>
      <c r="S61" s="526"/>
      <c r="T61" s="526"/>
      <c r="U61" s="526"/>
      <c r="V61" s="526"/>
      <c r="W61" s="526"/>
      <c r="X61" s="526"/>
      <c r="BE61" s="539"/>
    </row>
    <row r="62" spans="1:57" s="536" customFormat="1" ht="13.2" hidden="1" outlineLevel="1" collapsed="1">
      <c r="A62" s="539"/>
      <c r="B62" s="460" t="s">
        <v>150</v>
      </c>
      <c r="C62" s="460" t="s">
        <v>51</v>
      </c>
      <c r="D62" s="460"/>
      <c r="E62" s="476"/>
      <c r="F62" s="460"/>
      <c r="G62" s="539"/>
      <c r="H62" s="503"/>
      <c r="I62" s="400"/>
      <c r="J62" s="507"/>
      <c r="K62" s="539"/>
      <c r="L62" s="393"/>
      <c r="M62" s="539"/>
      <c r="N62" s="397"/>
      <c r="O62" s="526"/>
      <c r="P62" s="526"/>
      <c r="Q62" s="526"/>
      <c r="R62" s="526"/>
      <c r="S62" s="526"/>
      <c r="T62" s="526"/>
      <c r="U62" s="526"/>
      <c r="V62" s="526"/>
      <c r="W62" s="526"/>
      <c r="X62" s="526"/>
      <c r="BE62" s="539"/>
    </row>
    <row r="63" spans="1:57" s="536" customFormat="1" ht="13.2" hidden="1" outlineLevel="2">
      <c r="A63" s="539"/>
      <c r="B63" s="523"/>
      <c r="C63" s="522"/>
      <c r="D63" s="531"/>
      <c r="E63" s="573" t="s">
        <v>2297</v>
      </c>
      <c r="F63" s="533" t="s">
        <v>2298</v>
      </c>
      <c r="G63" s="539"/>
      <c r="H63" s="503" t="s">
        <v>48</v>
      </c>
      <c r="I63" s="400" t="s">
        <v>76</v>
      </c>
      <c r="J63" s="507">
        <v>1</v>
      </c>
      <c r="K63" s="539"/>
      <c r="L63" s="395">
        <v>1</v>
      </c>
      <c r="M63" s="539"/>
      <c r="N63" s="397" t="s">
        <v>193</v>
      </c>
      <c r="O63" s="395"/>
      <c r="Q63" s="526"/>
      <c r="R63" s="526"/>
      <c r="S63" s="526"/>
      <c r="T63" s="395"/>
      <c r="W63" s="526"/>
    </row>
    <row r="64" spans="1:57" s="536" customFormat="1" ht="13.2" hidden="1" outlineLevel="2">
      <c r="A64" s="539"/>
      <c r="B64" s="523"/>
      <c r="C64" s="522"/>
      <c r="D64" s="531"/>
      <c r="E64" s="573" t="s">
        <v>2313</v>
      </c>
      <c r="F64" s="533" t="s">
        <v>2314</v>
      </c>
      <c r="G64" s="539"/>
      <c r="H64" s="503" t="s">
        <v>48</v>
      </c>
      <c r="I64" s="400" t="s">
        <v>76</v>
      </c>
      <c r="J64" s="507">
        <v>1</v>
      </c>
      <c r="K64" s="539"/>
      <c r="L64" s="395">
        <v>1</v>
      </c>
      <c r="M64" s="539"/>
      <c r="N64" s="397" t="s">
        <v>193</v>
      </c>
      <c r="O64" s="395"/>
      <c r="Q64" s="526"/>
      <c r="R64" s="526"/>
      <c r="S64" s="526"/>
      <c r="T64" s="395"/>
      <c r="W64" s="526"/>
    </row>
    <row r="65" spans="1:57" s="536" customFormat="1" ht="13.2" hidden="1" outlineLevel="2">
      <c r="A65" s="539"/>
      <c r="B65" s="523"/>
      <c r="C65" s="522"/>
      <c r="D65" s="531"/>
      <c r="E65" s="573" t="s">
        <v>2315</v>
      </c>
      <c r="F65" s="533" t="s">
        <v>2316</v>
      </c>
      <c r="G65" s="539"/>
      <c r="H65" s="503" t="s">
        <v>48</v>
      </c>
      <c r="I65" s="400" t="s">
        <v>76</v>
      </c>
      <c r="J65" s="507">
        <v>1</v>
      </c>
      <c r="K65" s="539"/>
      <c r="L65" s="395">
        <v>1</v>
      </c>
      <c r="M65" s="539"/>
      <c r="N65" s="397" t="s">
        <v>193</v>
      </c>
      <c r="O65" s="395"/>
      <c r="Q65" s="526"/>
      <c r="R65" s="526"/>
      <c r="S65" s="526"/>
      <c r="T65" s="395"/>
      <c r="W65" s="526"/>
    </row>
    <row r="66" spans="1:57" s="536" customFormat="1" ht="13.2" hidden="1" outlineLevel="2">
      <c r="A66" s="539"/>
      <c r="B66" s="523"/>
      <c r="C66" s="522"/>
      <c r="D66" s="531"/>
      <c r="E66" s="573" t="s">
        <v>2317</v>
      </c>
      <c r="F66" s="533" t="s">
        <v>2318</v>
      </c>
      <c r="G66" s="539"/>
      <c r="H66" s="503" t="s">
        <v>48</v>
      </c>
      <c r="I66" s="400" t="s">
        <v>76</v>
      </c>
      <c r="J66" s="507">
        <v>1</v>
      </c>
      <c r="K66" s="539"/>
      <c r="L66" s="395">
        <v>1</v>
      </c>
      <c r="M66" s="539"/>
      <c r="N66" s="397" t="s">
        <v>193</v>
      </c>
      <c r="O66" s="395"/>
      <c r="Q66" s="526"/>
      <c r="R66" s="526"/>
      <c r="S66" s="526"/>
      <c r="T66" s="395"/>
      <c r="W66" s="526"/>
    </row>
    <row r="67" spans="1:57" s="536" customFormat="1" ht="13.2" hidden="1" outlineLevel="2">
      <c r="A67" s="539"/>
      <c r="B67" s="523"/>
      <c r="C67" s="522"/>
      <c r="D67" s="531"/>
      <c r="E67" s="573" t="s">
        <v>2319</v>
      </c>
      <c r="F67" s="533" t="s">
        <v>2320</v>
      </c>
      <c r="G67" s="539"/>
      <c r="H67" s="503" t="s">
        <v>48</v>
      </c>
      <c r="I67" s="400" t="s">
        <v>76</v>
      </c>
      <c r="J67" s="507">
        <v>1</v>
      </c>
      <c r="K67" s="539"/>
      <c r="L67" s="395">
        <v>1</v>
      </c>
      <c r="M67" s="539"/>
      <c r="N67" s="397" t="s">
        <v>193</v>
      </c>
      <c r="O67" s="395"/>
      <c r="Q67" s="526"/>
      <c r="R67" s="526"/>
      <c r="S67" s="526"/>
      <c r="T67" s="395"/>
      <c r="W67" s="526"/>
    </row>
    <row r="68" spans="1:57" s="536" customFormat="1" ht="13.2" hidden="1" outlineLevel="2">
      <c r="A68" s="539"/>
      <c r="B68" s="523"/>
      <c r="C68" s="522"/>
      <c r="D68" s="531"/>
      <c r="E68" s="573" t="s">
        <v>2321</v>
      </c>
      <c r="F68" s="533" t="s">
        <v>2322</v>
      </c>
      <c r="G68" s="539"/>
      <c r="H68" s="503" t="s">
        <v>48</v>
      </c>
      <c r="I68" s="400" t="s">
        <v>76</v>
      </c>
      <c r="J68" s="507">
        <v>1</v>
      </c>
      <c r="K68" s="539"/>
      <c r="L68" s="395"/>
      <c r="M68" s="539"/>
      <c r="N68" s="397" t="s">
        <v>193</v>
      </c>
      <c r="O68" s="395">
        <v>1</v>
      </c>
      <c r="P68" s="395">
        <v>1</v>
      </c>
      <c r="Q68" s="526"/>
      <c r="R68" s="526"/>
      <c r="S68" s="526"/>
      <c r="T68" s="395">
        <v>1</v>
      </c>
      <c r="U68" s="395">
        <v>1</v>
      </c>
      <c r="W68" s="526"/>
    </row>
    <row r="69" spans="1:57" s="536" customFormat="1" ht="13.2" hidden="1" outlineLevel="2">
      <c r="A69" s="539"/>
      <c r="B69" s="523"/>
      <c r="C69" s="522"/>
      <c r="D69" s="531"/>
      <c r="E69" s="573" t="s">
        <v>2323</v>
      </c>
      <c r="F69" s="533" t="s">
        <v>2324</v>
      </c>
      <c r="G69" s="539"/>
      <c r="H69" s="503" t="s">
        <v>48</v>
      </c>
      <c r="I69" s="400" t="s">
        <v>76</v>
      </c>
      <c r="J69" s="507">
        <v>1</v>
      </c>
      <c r="K69" s="539"/>
      <c r="L69" s="395"/>
      <c r="M69" s="539"/>
      <c r="N69" s="397" t="s">
        <v>193</v>
      </c>
      <c r="O69" s="395">
        <v>1</v>
      </c>
      <c r="P69" s="395">
        <v>1</v>
      </c>
      <c r="Q69" s="526"/>
      <c r="R69" s="526"/>
      <c r="S69" s="526"/>
      <c r="T69" s="395">
        <v>1</v>
      </c>
      <c r="U69" s="395">
        <v>1</v>
      </c>
      <c r="W69" s="526"/>
    </row>
    <row r="70" spans="1:57" s="536" customFormat="1" ht="13.2" hidden="1" outlineLevel="2">
      <c r="A70" s="539"/>
      <c r="B70" s="523"/>
      <c r="C70" s="522"/>
      <c r="D70" s="531"/>
      <c r="E70" s="573" t="s">
        <v>2325</v>
      </c>
      <c r="F70" s="533" t="s">
        <v>2326</v>
      </c>
      <c r="G70" s="539"/>
      <c r="H70" s="503" t="s">
        <v>48</v>
      </c>
      <c r="I70" s="400" t="s">
        <v>76</v>
      </c>
      <c r="J70" s="507">
        <v>1</v>
      </c>
      <c r="K70" s="539"/>
      <c r="L70" s="395"/>
      <c r="M70" s="539"/>
      <c r="N70" s="397" t="s">
        <v>193</v>
      </c>
      <c r="O70" s="395">
        <v>1</v>
      </c>
      <c r="P70" s="395">
        <v>1</v>
      </c>
      <c r="Q70" s="526"/>
      <c r="R70" s="526"/>
      <c r="S70" s="526"/>
      <c r="T70" s="395">
        <v>1</v>
      </c>
      <c r="U70" s="395">
        <v>1</v>
      </c>
      <c r="W70" s="526"/>
    </row>
    <row r="71" spans="1:57" s="536" customFormat="1" ht="13.2" hidden="1" outlineLevel="2">
      <c r="A71" s="539"/>
      <c r="B71" s="523"/>
      <c r="C71" s="522"/>
      <c r="D71" s="531"/>
      <c r="E71" s="573" t="s">
        <v>2327</v>
      </c>
      <c r="F71" s="533" t="s">
        <v>2328</v>
      </c>
      <c r="G71" s="539"/>
      <c r="H71" s="503" t="s">
        <v>48</v>
      </c>
      <c r="I71" s="400" t="s">
        <v>76</v>
      </c>
      <c r="J71" s="507">
        <v>1</v>
      </c>
      <c r="K71" s="539"/>
      <c r="L71" s="395"/>
      <c r="M71" s="539"/>
      <c r="N71" s="397" t="s">
        <v>193</v>
      </c>
      <c r="O71" s="395">
        <v>1</v>
      </c>
      <c r="P71" s="395">
        <v>1</v>
      </c>
      <c r="Q71" s="526"/>
      <c r="R71" s="526"/>
      <c r="S71" s="526"/>
      <c r="T71" s="395">
        <v>1</v>
      </c>
      <c r="U71" s="395">
        <v>1</v>
      </c>
      <c r="W71" s="526"/>
    </row>
    <row r="72" spans="1:57" s="536" customFormat="1" ht="13.2" hidden="1" outlineLevel="2">
      <c r="A72" s="539"/>
      <c r="B72" s="523"/>
      <c r="C72" s="522"/>
      <c r="D72" s="531"/>
      <c r="E72" s="573" t="s">
        <v>2329</v>
      </c>
      <c r="F72" s="533" t="s">
        <v>2330</v>
      </c>
      <c r="G72" s="539"/>
      <c r="H72" s="503" t="s">
        <v>48</v>
      </c>
      <c r="I72" s="400" t="s">
        <v>76</v>
      </c>
      <c r="J72" s="507">
        <v>1</v>
      </c>
      <c r="K72" s="539"/>
      <c r="L72" s="395">
        <v>1</v>
      </c>
      <c r="M72" s="539"/>
      <c r="N72" s="397" t="s">
        <v>193</v>
      </c>
      <c r="O72" s="395"/>
      <c r="Q72" s="526"/>
      <c r="R72" s="526"/>
      <c r="S72" s="526"/>
      <c r="T72" s="395"/>
      <c r="W72" s="526"/>
    </row>
    <row r="73" spans="1:57" s="536" customFormat="1" ht="13.2" hidden="1" outlineLevel="2">
      <c r="A73" s="539"/>
      <c r="B73" s="523"/>
      <c r="C73" s="522"/>
      <c r="D73" s="531"/>
      <c r="E73" s="573" t="s">
        <v>2331</v>
      </c>
      <c r="F73" s="533" t="s">
        <v>2332</v>
      </c>
      <c r="G73" s="539"/>
      <c r="H73" s="503" t="s">
        <v>48</v>
      </c>
      <c r="I73" s="400" t="s">
        <v>76</v>
      </c>
      <c r="J73" s="507">
        <v>1</v>
      </c>
      <c r="K73" s="539"/>
      <c r="L73" s="395">
        <v>1</v>
      </c>
      <c r="M73" s="539"/>
      <c r="N73" s="397" t="s">
        <v>193</v>
      </c>
      <c r="O73" s="395"/>
      <c r="Q73" s="526"/>
      <c r="R73" s="526"/>
      <c r="S73" s="526"/>
      <c r="T73" s="395"/>
      <c r="W73" s="526"/>
    </row>
    <row r="74" spans="1:57" s="536" customFormat="1" ht="12.75" hidden="1" customHeight="1" outlineLevel="2">
      <c r="A74" s="539"/>
      <c r="B74" s="523" t="s">
        <v>2238</v>
      </c>
      <c r="C74" s="522" t="s">
        <v>2333</v>
      </c>
      <c r="D74" s="531" t="s">
        <v>2170</v>
      </c>
      <c r="E74" s="532">
        <v>1019</v>
      </c>
      <c r="F74" s="533" t="s">
        <v>2334</v>
      </c>
      <c r="G74" s="539"/>
      <c r="H74" s="503" t="s">
        <v>48</v>
      </c>
      <c r="I74" s="400" t="str">
        <f t="shared" ref="I74" si="4">CONCATENATE(H74,"-",J74)</f>
        <v>BB01-1</v>
      </c>
      <c r="J74" s="507">
        <v>1</v>
      </c>
      <c r="K74" s="539"/>
      <c r="L74" s="395">
        <v>1</v>
      </c>
      <c r="M74" s="539"/>
      <c r="N74" s="397" t="s">
        <v>193</v>
      </c>
      <c r="O74" s="395"/>
      <c r="Q74" s="526"/>
      <c r="R74" s="526"/>
      <c r="S74" s="526"/>
      <c r="T74" s="395"/>
      <c r="U74" s="526"/>
      <c r="V74" s="526"/>
      <c r="W74" s="526"/>
      <c r="X74" s="526"/>
      <c r="BE74" s="539"/>
    </row>
    <row r="75" spans="1:57" s="536" customFormat="1" ht="3" hidden="1" customHeight="1" outlineLevel="1"/>
    <row r="76" spans="1:57" s="536" customFormat="1" ht="13.2" hidden="1" outlineLevel="1" collapsed="1">
      <c r="A76" s="539"/>
      <c r="B76" s="460" t="s">
        <v>153</v>
      </c>
      <c r="C76" s="460" t="s">
        <v>154</v>
      </c>
      <c r="D76" s="460"/>
      <c r="E76" s="476"/>
      <c r="F76" s="460"/>
      <c r="G76" s="539"/>
      <c r="H76" s="503"/>
      <c r="I76" s="400"/>
      <c r="J76" s="507"/>
      <c r="K76" s="539"/>
      <c r="L76" s="393"/>
      <c r="M76" s="539"/>
      <c r="N76" s="397"/>
      <c r="O76" s="526"/>
      <c r="Q76" s="526"/>
      <c r="R76" s="526"/>
      <c r="S76" s="526"/>
      <c r="T76" s="526"/>
      <c r="U76" s="526"/>
      <c r="V76" s="526"/>
      <c r="W76" s="526"/>
      <c r="X76" s="526"/>
      <c r="BE76" s="539"/>
    </row>
    <row r="77" spans="1:57" s="536" customFormat="1" ht="13.2" hidden="1" outlineLevel="2">
      <c r="A77" s="539"/>
      <c r="B77" s="523"/>
      <c r="C77" s="522"/>
      <c r="D77" s="531"/>
      <c r="E77" s="573" t="s">
        <v>2335</v>
      </c>
      <c r="F77" s="533" t="s">
        <v>2336</v>
      </c>
      <c r="G77" s="539"/>
      <c r="H77" s="503" t="s">
        <v>48</v>
      </c>
      <c r="I77" s="400" t="str">
        <f t="shared" ref="I77:I79" si="5">CONCATENATE(H77,"-",J77)</f>
        <v>BB01-4</v>
      </c>
      <c r="J77" s="507">
        <v>4</v>
      </c>
      <c r="K77" s="539"/>
      <c r="L77" s="395">
        <v>1</v>
      </c>
      <c r="M77" s="539"/>
      <c r="N77" s="397" t="s">
        <v>193</v>
      </c>
      <c r="O77" s="395"/>
      <c r="Q77" s="526"/>
      <c r="R77" s="526"/>
      <c r="S77" s="526"/>
      <c r="T77" s="395"/>
      <c r="W77" s="526"/>
    </row>
    <row r="78" spans="1:57" s="536" customFormat="1" ht="13.2" hidden="1" outlineLevel="2">
      <c r="A78" s="539"/>
      <c r="B78" s="523"/>
      <c r="C78" s="522"/>
      <c r="D78" s="531"/>
      <c r="E78" s="573" t="s">
        <v>2337</v>
      </c>
      <c r="F78" s="533" t="s">
        <v>2338</v>
      </c>
      <c r="G78" s="539"/>
      <c r="H78" s="503" t="s">
        <v>48</v>
      </c>
      <c r="I78" s="400" t="str">
        <f t="shared" si="5"/>
        <v>BB01-4</v>
      </c>
      <c r="J78" s="507">
        <v>4</v>
      </c>
      <c r="K78" s="539"/>
      <c r="L78" s="395">
        <v>1</v>
      </c>
      <c r="M78" s="539"/>
      <c r="N78" s="397" t="s">
        <v>193</v>
      </c>
      <c r="O78" s="395"/>
      <c r="Q78" s="526"/>
      <c r="R78" s="526"/>
      <c r="S78" s="526"/>
      <c r="T78" s="395"/>
      <c r="W78" s="526"/>
    </row>
    <row r="79" spans="1:57" s="536" customFormat="1" ht="13.2" hidden="1" outlineLevel="2">
      <c r="A79" s="539"/>
      <c r="B79" s="523"/>
      <c r="C79" s="522"/>
      <c r="D79" s="531"/>
      <c r="E79" s="573" t="s">
        <v>2339</v>
      </c>
      <c r="F79" s="533" t="s">
        <v>2340</v>
      </c>
      <c r="G79" s="539"/>
      <c r="H79" s="503" t="s">
        <v>48</v>
      </c>
      <c r="I79" s="400" t="str">
        <f t="shared" si="5"/>
        <v>BB01-4</v>
      </c>
      <c r="J79" s="507">
        <v>4</v>
      </c>
      <c r="K79" s="539"/>
      <c r="L79" s="395">
        <v>1</v>
      </c>
      <c r="M79" s="539"/>
      <c r="N79" s="397" t="s">
        <v>193</v>
      </c>
      <c r="O79" s="395"/>
      <c r="Q79" s="526"/>
      <c r="R79" s="526"/>
      <c r="S79" s="526"/>
      <c r="T79" s="395"/>
      <c r="W79" s="526"/>
    </row>
    <row r="80" spans="1:57" s="536" customFormat="1" ht="12.75" hidden="1" customHeight="1" outlineLevel="2">
      <c r="A80" s="539"/>
      <c r="B80" s="523"/>
      <c r="C80" s="522"/>
      <c r="D80" s="531"/>
      <c r="E80" s="573" t="s">
        <v>2341</v>
      </c>
      <c r="F80" s="533" t="s">
        <v>2342</v>
      </c>
      <c r="G80" s="539"/>
      <c r="H80" s="503" t="s">
        <v>48</v>
      </c>
      <c r="I80" s="400" t="str">
        <f t="shared" ref="I80:I84" si="6">CONCATENATE(H80,"-",J80)</f>
        <v>BB01-4</v>
      </c>
      <c r="J80" s="507">
        <v>4</v>
      </c>
      <c r="K80" s="539"/>
      <c r="L80" s="395">
        <v>1</v>
      </c>
      <c r="M80" s="539"/>
      <c r="N80" s="397" t="s">
        <v>193</v>
      </c>
      <c r="O80" s="395"/>
      <c r="Q80" s="526"/>
      <c r="R80" s="526"/>
      <c r="S80" s="526"/>
      <c r="T80" s="395"/>
      <c r="U80" s="526"/>
      <c r="V80" s="526"/>
      <c r="W80" s="526"/>
      <c r="X80" s="526"/>
      <c r="BE80" s="539"/>
    </row>
    <row r="81" spans="1:57" s="536" customFormat="1" ht="12.75" hidden="1" customHeight="1" outlineLevel="2">
      <c r="A81" s="539"/>
      <c r="B81" s="523"/>
      <c r="C81" s="522"/>
      <c r="D81" s="531"/>
      <c r="E81" s="573" t="s">
        <v>2343</v>
      </c>
      <c r="F81" s="533" t="s">
        <v>2344</v>
      </c>
      <c r="G81" s="539"/>
      <c r="H81" s="503" t="s">
        <v>48</v>
      </c>
      <c r="I81" s="400" t="str">
        <f t="shared" si="6"/>
        <v>BB01-4</v>
      </c>
      <c r="J81" s="507">
        <v>4</v>
      </c>
      <c r="K81" s="539"/>
      <c r="L81" s="395">
        <v>1</v>
      </c>
      <c r="M81" s="539"/>
      <c r="N81" s="397" t="s">
        <v>193</v>
      </c>
      <c r="O81" s="395"/>
      <c r="Q81" s="526"/>
      <c r="R81" s="526"/>
      <c r="S81" s="526"/>
      <c r="T81" s="395"/>
      <c r="U81" s="526"/>
      <c r="V81" s="526"/>
      <c r="W81" s="526"/>
      <c r="X81" s="526"/>
      <c r="BE81" s="539"/>
    </row>
    <row r="82" spans="1:57" s="536" customFormat="1" ht="12.75" hidden="1" customHeight="1" outlineLevel="2">
      <c r="A82" s="539"/>
      <c r="B82" s="523"/>
      <c r="C82" s="522"/>
      <c r="D82" s="531"/>
      <c r="E82" s="573" t="s">
        <v>2345</v>
      </c>
      <c r="F82" s="533" t="s">
        <v>2346</v>
      </c>
      <c r="G82" s="539"/>
      <c r="H82" s="503" t="s">
        <v>48</v>
      </c>
      <c r="I82" s="400" t="str">
        <f t="shared" si="6"/>
        <v>BB01-4</v>
      </c>
      <c r="J82" s="507">
        <v>4</v>
      </c>
      <c r="K82" s="539"/>
      <c r="L82" s="395">
        <v>1</v>
      </c>
      <c r="M82" s="539"/>
      <c r="N82" s="397" t="s">
        <v>193</v>
      </c>
      <c r="O82" s="395"/>
      <c r="Q82" s="526"/>
      <c r="R82" s="526"/>
      <c r="S82" s="526"/>
      <c r="T82" s="395"/>
      <c r="U82" s="526"/>
      <c r="V82" s="526"/>
      <c r="W82" s="526"/>
      <c r="X82" s="526"/>
      <c r="BE82" s="539"/>
    </row>
    <row r="83" spans="1:57" s="536" customFormat="1" ht="12.75" hidden="1" customHeight="1" outlineLevel="2">
      <c r="A83" s="539"/>
      <c r="B83" s="523"/>
      <c r="C83" s="522"/>
      <c r="D83" s="531"/>
      <c r="E83" s="573" t="s">
        <v>2347</v>
      </c>
      <c r="F83" s="533" t="s">
        <v>2348</v>
      </c>
      <c r="G83" s="539"/>
      <c r="H83" s="503" t="s">
        <v>48</v>
      </c>
      <c r="I83" s="400" t="str">
        <f t="shared" si="6"/>
        <v>BB01-4</v>
      </c>
      <c r="J83" s="507">
        <v>4</v>
      </c>
      <c r="K83" s="539"/>
      <c r="L83" s="395">
        <v>1</v>
      </c>
      <c r="M83" s="539"/>
      <c r="N83" s="397" t="s">
        <v>193</v>
      </c>
      <c r="O83" s="395"/>
      <c r="Q83" s="526"/>
      <c r="R83" s="526"/>
      <c r="S83" s="526"/>
      <c r="T83" s="395"/>
      <c r="U83" s="526"/>
      <c r="V83" s="526"/>
      <c r="W83" s="526"/>
      <c r="X83" s="526"/>
      <c r="BE83" s="539"/>
    </row>
    <row r="84" spans="1:57" s="536" customFormat="1" ht="12.75" hidden="1" customHeight="1" outlineLevel="2">
      <c r="A84" s="539"/>
      <c r="B84" s="523"/>
      <c r="C84" s="522"/>
      <c r="D84" s="531"/>
      <c r="E84" s="573" t="s">
        <v>2349</v>
      </c>
      <c r="F84" s="533" t="s">
        <v>2350</v>
      </c>
      <c r="G84" s="539"/>
      <c r="H84" s="503" t="s">
        <v>48</v>
      </c>
      <c r="I84" s="400" t="str">
        <f t="shared" si="6"/>
        <v>BB01-4</v>
      </c>
      <c r="J84" s="507">
        <v>4</v>
      </c>
      <c r="K84" s="539"/>
      <c r="L84" s="395">
        <v>1</v>
      </c>
      <c r="M84" s="539"/>
      <c r="N84" s="397" t="s">
        <v>193</v>
      </c>
      <c r="O84" s="395"/>
      <c r="Q84" s="526"/>
      <c r="R84" s="526"/>
      <c r="S84" s="526"/>
      <c r="T84" s="395"/>
      <c r="U84" s="526"/>
      <c r="V84" s="526"/>
      <c r="W84" s="526"/>
      <c r="X84" s="526"/>
      <c r="BE84" s="539"/>
    </row>
    <row r="85" spans="1:57" s="536" customFormat="1" ht="12.75" hidden="1" customHeight="1" outlineLevel="2">
      <c r="A85" s="539"/>
      <c r="B85" s="523"/>
      <c r="C85" s="522"/>
      <c r="D85" s="531"/>
      <c r="E85" s="573" t="s">
        <v>2351</v>
      </c>
      <c r="F85" s="533" t="s">
        <v>2352</v>
      </c>
      <c r="G85" s="539"/>
      <c r="H85" s="503" t="s">
        <v>48</v>
      </c>
      <c r="I85" s="400" t="str">
        <f>CONCATENATE(H85,"-",J85)</f>
        <v>BB01-4</v>
      </c>
      <c r="J85" s="507">
        <v>4</v>
      </c>
      <c r="K85" s="539"/>
      <c r="L85" s="395">
        <v>1</v>
      </c>
      <c r="M85" s="539"/>
      <c r="N85" s="397" t="s">
        <v>193</v>
      </c>
      <c r="O85" s="395"/>
      <c r="Q85" s="526"/>
      <c r="R85" s="526"/>
      <c r="S85" s="526"/>
      <c r="T85" s="395"/>
      <c r="U85" s="526"/>
      <c r="V85" s="526"/>
      <c r="W85" s="526"/>
      <c r="X85" s="526"/>
      <c r="BE85" s="539"/>
    </row>
    <row r="86" spans="1:57" s="536" customFormat="1" ht="12.75" hidden="1" customHeight="1" outlineLevel="2">
      <c r="A86" s="539"/>
      <c r="B86" s="523"/>
      <c r="C86" s="522"/>
      <c r="D86" s="531"/>
      <c r="E86" s="573" t="s">
        <v>2353</v>
      </c>
      <c r="F86" s="533" t="s">
        <v>2354</v>
      </c>
      <c r="G86" s="539"/>
      <c r="H86" s="503" t="s">
        <v>48</v>
      </c>
      <c r="I86" s="400" t="str">
        <f>CONCATENATE(H86,"-",J86)</f>
        <v>BB01-4</v>
      </c>
      <c r="J86" s="507">
        <v>4</v>
      </c>
      <c r="K86" s="539"/>
      <c r="L86" s="395">
        <v>1</v>
      </c>
      <c r="M86" s="539"/>
      <c r="N86" s="397" t="s">
        <v>193</v>
      </c>
      <c r="O86" s="395"/>
      <c r="Q86" s="526"/>
      <c r="R86" s="526"/>
      <c r="S86" s="526"/>
      <c r="T86" s="395"/>
      <c r="U86" s="526"/>
      <c r="V86" s="526"/>
      <c r="W86" s="526"/>
      <c r="X86" s="526"/>
      <c r="BE86" s="539"/>
    </row>
    <row r="87" spans="1:57" s="536" customFormat="1" ht="12.75" hidden="1" customHeight="1" outlineLevel="2">
      <c r="A87" s="539"/>
      <c r="B87" s="523"/>
      <c r="C87" s="522"/>
      <c r="D87" s="531"/>
      <c r="E87" s="573" t="s">
        <v>2355</v>
      </c>
      <c r="F87" s="533" t="s">
        <v>2356</v>
      </c>
      <c r="G87" s="539"/>
      <c r="H87" s="503" t="s">
        <v>48</v>
      </c>
      <c r="I87" s="400" t="str">
        <f>CONCATENATE(H87,"-",J87)</f>
        <v>BB01-4</v>
      </c>
      <c r="J87" s="507">
        <v>4</v>
      </c>
      <c r="K87" s="539"/>
      <c r="L87" s="395">
        <v>1</v>
      </c>
      <c r="M87" s="539"/>
      <c r="N87" s="397" t="s">
        <v>193</v>
      </c>
      <c r="O87" s="395"/>
      <c r="Q87" s="526"/>
      <c r="R87" s="526"/>
      <c r="S87" s="526"/>
      <c r="T87" s="395"/>
      <c r="U87" s="526"/>
      <c r="V87" s="526"/>
      <c r="W87" s="526"/>
      <c r="X87" s="526"/>
      <c r="BE87" s="539"/>
    </row>
    <row r="88" spans="1:57" s="536" customFormat="1" ht="12.75" hidden="1" customHeight="1" outlineLevel="2">
      <c r="A88" s="539"/>
      <c r="B88" s="523"/>
      <c r="C88" s="522"/>
      <c r="D88" s="531"/>
      <c r="E88" s="573" t="s">
        <v>2357</v>
      </c>
      <c r="F88" s="533" t="s">
        <v>2358</v>
      </c>
      <c r="G88" s="539"/>
      <c r="H88" s="503" t="s">
        <v>48</v>
      </c>
      <c r="I88" s="400" t="str">
        <f t="shared" ref="I88:I100" si="7">CONCATENATE(H88,"-",J88)</f>
        <v>BB01-4</v>
      </c>
      <c r="J88" s="507">
        <v>4</v>
      </c>
      <c r="K88" s="539"/>
      <c r="L88" s="395">
        <v>1</v>
      </c>
      <c r="M88" s="539"/>
      <c r="N88" s="397" t="s">
        <v>193</v>
      </c>
      <c r="O88" s="395"/>
      <c r="Q88" s="526"/>
      <c r="R88" s="526"/>
      <c r="S88" s="526"/>
      <c r="T88" s="395"/>
      <c r="U88" s="526"/>
      <c r="V88" s="526"/>
      <c r="W88" s="526"/>
      <c r="X88" s="526"/>
      <c r="BE88" s="539">
        <v>9</v>
      </c>
    </row>
    <row r="89" spans="1:57" s="536" customFormat="1" ht="12.75" hidden="1" customHeight="1" outlineLevel="2">
      <c r="A89" s="539"/>
      <c r="B89" s="523"/>
      <c r="C89" s="522"/>
      <c r="D89" s="531"/>
      <c r="E89" s="573" t="s">
        <v>2359</v>
      </c>
      <c r="F89" s="533" t="s">
        <v>2360</v>
      </c>
      <c r="G89" s="539"/>
      <c r="H89" s="503" t="s">
        <v>48</v>
      </c>
      <c r="I89" s="400" t="str">
        <f t="shared" si="7"/>
        <v>BB01-4</v>
      </c>
      <c r="J89" s="507">
        <v>4</v>
      </c>
      <c r="K89" s="539"/>
      <c r="L89" s="395">
        <v>1</v>
      </c>
      <c r="M89" s="539"/>
      <c r="N89" s="397" t="s">
        <v>193</v>
      </c>
      <c r="O89" s="395"/>
      <c r="Q89" s="526"/>
      <c r="R89" s="526"/>
      <c r="S89" s="526"/>
      <c r="T89" s="395"/>
      <c r="U89" s="526"/>
      <c r="V89" s="526"/>
      <c r="W89" s="526"/>
      <c r="X89" s="526"/>
      <c r="BE89" s="539">
        <v>9</v>
      </c>
    </row>
    <row r="90" spans="1:57" s="536" customFormat="1" ht="12.75" hidden="1" customHeight="1" outlineLevel="2">
      <c r="A90" s="539"/>
      <c r="B90" s="523"/>
      <c r="C90" s="522"/>
      <c r="D90" s="531"/>
      <c r="E90" s="573" t="s">
        <v>2361</v>
      </c>
      <c r="F90" s="533" t="s">
        <v>2362</v>
      </c>
      <c r="G90" s="539"/>
      <c r="H90" s="503" t="s">
        <v>48</v>
      </c>
      <c r="I90" s="400" t="str">
        <f t="shared" si="7"/>
        <v>BB01-4</v>
      </c>
      <c r="J90" s="507">
        <v>4</v>
      </c>
      <c r="K90" s="539"/>
      <c r="L90" s="395">
        <v>1</v>
      </c>
      <c r="M90" s="539"/>
      <c r="N90" s="397" t="s">
        <v>193</v>
      </c>
      <c r="O90" s="395"/>
      <c r="Q90" s="526"/>
      <c r="R90" s="526"/>
      <c r="S90" s="526"/>
      <c r="T90" s="395"/>
      <c r="U90" s="526"/>
      <c r="V90" s="526"/>
      <c r="W90" s="526"/>
      <c r="X90" s="526"/>
      <c r="BE90" s="539">
        <v>9</v>
      </c>
    </row>
    <row r="91" spans="1:57" s="536" customFormat="1" ht="12.75" hidden="1" customHeight="1" outlineLevel="2">
      <c r="A91" s="539"/>
      <c r="B91" s="523"/>
      <c r="C91" s="522"/>
      <c r="D91" s="531"/>
      <c r="E91" s="573" t="s">
        <v>2363</v>
      </c>
      <c r="F91" s="533" t="s">
        <v>2364</v>
      </c>
      <c r="G91" s="539"/>
      <c r="H91" s="503" t="s">
        <v>48</v>
      </c>
      <c r="I91" s="400" t="str">
        <f t="shared" si="7"/>
        <v>BB01-4</v>
      </c>
      <c r="J91" s="507">
        <v>4</v>
      </c>
      <c r="K91" s="539"/>
      <c r="L91" s="395">
        <v>1</v>
      </c>
      <c r="M91" s="539"/>
      <c r="N91" s="397" t="s">
        <v>193</v>
      </c>
      <c r="O91" s="395"/>
      <c r="Q91" s="526"/>
      <c r="R91" s="526"/>
      <c r="S91" s="526"/>
      <c r="T91" s="395"/>
      <c r="U91" s="526"/>
      <c r="V91" s="526"/>
      <c r="W91" s="526"/>
      <c r="X91" s="526"/>
      <c r="BE91" s="539"/>
    </row>
    <row r="92" spans="1:57" s="536" customFormat="1" ht="12.75" hidden="1" customHeight="1" outlineLevel="2">
      <c r="A92" s="539"/>
      <c r="B92" s="523"/>
      <c r="C92" s="522"/>
      <c r="D92" s="531"/>
      <c r="E92" s="573" t="s">
        <v>2365</v>
      </c>
      <c r="F92" s="533" t="s">
        <v>2366</v>
      </c>
      <c r="G92" s="539"/>
      <c r="H92" s="503" t="s">
        <v>48</v>
      </c>
      <c r="I92" s="400" t="str">
        <f t="shared" si="7"/>
        <v>BB01-4</v>
      </c>
      <c r="J92" s="507">
        <v>4</v>
      </c>
      <c r="K92" s="539"/>
      <c r="L92" s="395">
        <v>1</v>
      </c>
      <c r="M92" s="539"/>
      <c r="N92" s="397" t="s">
        <v>193</v>
      </c>
      <c r="O92" s="395"/>
      <c r="Q92" s="526"/>
      <c r="R92" s="526"/>
      <c r="S92" s="526"/>
      <c r="T92" s="395"/>
      <c r="U92" s="526"/>
      <c r="V92" s="526"/>
      <c r="W92" s="526"/>
      <c r="X92" s="526"/>
      <c r="BE92" s="539"/>
    </row>
    <row r="93" spans="1:57" s="536" customFormat="1" ht="12.75" hidden="1" customHeight="1" outlineLevel="2">
      <c r="A93" s="539"/>
      <c r="B93" s="523"/>
      <c r="C93" s="522"/>
      <c r="D93" s="531"/>
      <c r="E93" s="573" t="s">
        <v>2367</v>
      </c>
      <c r="F93" s="533" t="s">
        <v>2368</v>
      </c>
      <c r="G93" s="539"/>
      <c r="H93" s="503" t="s">
        <v>48</v>
      </c>
      <c r="I93" s="400" t="str">
        <f t="shared" si="7"/>
        <v>BB01-4</v>
      </c>
      <c r="J93" s="507">
        <v>4</v>
      </c>
      <c r="K93" s="539"/>
      <c r="L93" s="395">
        <v>1</v>
      </c>
      <c r="M93" s="539"/>
      <c r="N93" s="397" t="s">
        <v>193</v>
      </c>
      <c r="O93" s="395"/>
      <c r="Q93" s="526"/>
      <c r="R93" s="526"/>
      <c r="S93" s="526"/>
      <c r="T93" s="395"/>
      <c r="U93" s="526"/>
      <c r="V93" s="526"/>
      <c r="W93" s="526"/>
      <c r="X93" s="526"/>
      <c r="BE93" s="539"/>
    </row>
    <row r="94" spans="1:57" s="536" customFormat="1" ht="12.75" hidden="1" customHeight="1" outlineLevel="2">
      <c r="A94" s="539"/>
      <c r="B94" s="523"/>
      <c r="C94" s="522"/>
      <c r="D94" s="531"/>
      <c r="E94" s="573" t="s">
        <v>2369</v>
      </c>
      <c r="F94" s="533" t="s">
        <v>2370</v>
      </c>
      <c r="G94" s="539"/>
      <c r="H94" s="503" t="s">
        <v>48</v>
      </c>
      <c r="I94" s="400" t="str">
        <f t="shared" si="7"/>
        <v>BB01-4</v>
      </c>
      <c r="J94" s="507">
        <v>4</v>
      </c>
      <c r="K94" s="539"/>
      <c r="L94" s="395">
        <v>1</v>
      </c>
      <c r="M94" s="539"/>
      <c r="N94" s="397" t="s">
        <v>193</v>
      </c>
      <c r="O94" s="395"/>
      <c r="Q94" s="526"/>
      <c r="R94" s="526"/>
      <c r="S94" s="526"/>
      <c r="T94" s="395"/>
      <c r="U94" s="526"/>
      <c r="V94" s="526"/>
      <c r="W94" s="526"/>
      <c r="X94" s="526"/>
      <c r="BE94" s="539"/>
    </row>
    <row r="95" spans="1:57" s="536" customFormat="1" ht="12.75" hidden="1" customHeight="1" outlineLevel="2">
      <c r="A95" s="539"/>
      <c r="B95" s="523"/>
      <c r="C95" s="522"/>
      <c r="D95" s="531"/>
      <c r="E95" s="573" t="s">
        <v>2371</v>
      </c>
      <c r="F95" s="533" t="s">
        <v>2372</v>
      </c>
      <c r="G95" s="539"/>
      <c r="H95" s="503" t="s">
        <v>48</v>
      </c>
      <c r="I95" s="400" t="str">
        <f t="shared" si="7"/>
        <v>BB01-4</v>
      </c>
      <c r="J95" s="507">
        <v>4</v>
      </c>
      <c r="K95" s="539"/>
      <c r="L95" s="395">
        <v>1</v>
      </c>
      <c r="M95" s="539"/>
      <c r="N95" s="397" t="s">
        <v>193</v>
      </c>
      <c r="O95" s="395"/>
      <c r="Q95" s="526"/>
      <c r="R95" s="526"/>
      <c r="S95" s="526"/>
      <c r="T95" s="395"/>
      <c r="U95" s="526"/>
      <c r="V95" s="526"/>
      <c r="W95" s="526"/>
      <c r="X95" s="526"/>
      <c r="BE95" s="539"/>
    </row>
    <row r="96" spans="1:57" s="536" customFormat="1" ht="12.75" hidden="1" customHeight="1" outlineLevel="2">
      <c r="A96" s="539"/>
      <c r="B96" s="523"/>
      <c r="C96" s="522"/>
      <c r="D96" s="531"/>
      <c r="E96" s="573" t="s">
        <v>2373</v>
      </c>
      <c r="F96" s="533" t="s">
        <v>2374</v>
      </c>
      <c r="G96" s="539"/>
      <c r="H96" s="503" t="s">
        <v>48</v>
      </c>
      <c r="I96" s="400" t="str">
        <f t="shared" si="7"/>
        <v>BB01-4</v>
      </c>
      <c r="J96" s="507">
        <v>4</v>
      </c>
      <c r="K96" s="539"/>
      <c r="L96" s="395">
        <v>1</v>
      </c>
      <c r="M96" s="539"/>
      <c r="N96" s="397" t="s">
        <v>193</v>
      </c>
      <c r="O96" s="395"/>
      <c r="Q96" s="526"/>
      <c r="R96" s="526"/>
      <c r="S96" s="526"/>
      <c r="T96" s="395"/>
      <c r="U96" s="526"/>
      <c r="V96" s="526"/>
      <c r="W96" s="526"/>
      <c r="X96" s="526"/>
      <c r="BE96" s="539"/>
    </row>
    <row r="97" spans="1:57" s="536" customFormat="1" ht="12.75" hidden="1" customHeight="1" outlineLevel="2">
      <c r="A97" s="539"/>
      <c r="B97" s="523"/>
      <c r="C97" s="522"/>
      <c r="D97" s="531"/>
      <c r="E97" s="573" t="s">
        <v>2375</v>
      </c>
      <c r="F97" s="533" t="s">
        <v>2376</v>
      </c>
      <c r="G97" s="539"/>
      <c r="H97" s="503" t="s">
        <v>48</v>
      </c>
      <c r="I97" s="400" t="str">
        <f t="shared" si="7"/>
        <v>BB01-4</v>
      </c>
      <c r="J97" s="507">
        <v>4</v>
      </c>
      <c r="K97" s="539"/>
      <c r="L97" s="395">
        <v>1</v>
      </c>
      <c r="M97" s="539"/>
      <c r="N97" s="397" t="s">
        <v>193</v>
      </c>
      <c r="O97" s="395"/>
      <c r="Q97" s="526"/>
      <c r="R97" s="526"/>
      <c r="S97" s="526"/>
      <c r="T97" s="395"/>
      <c r="U97" s="526"/>
      <c r="V97" s="526"/>
      <c r="W97" s="526"/>
      <c r="X97" s="526"/>
      <c r="BE97" s="539"/>
    </row>
    <row r="98" spans="1:57" s="536" customFormat="1" ht="12.75" hidden="1" customHeight="1" outlineLevel="2">
      <c r="A98" s="539"/>
      <c r="B98" s="523"/>
      <c r="C98" s="522"/>
      <c r="D98" s="531"/>
      <c r="E98" s="573" t="s">
        <v>2377</v>
      </c>
      <c r="F98" s="533" t="s">
        <v>2378</v>
      </c>
      <c r="G98" s="539"/>
      <c r="H98" s="503" t="s">
        <v>48</v>
      </c>
      <c r="I98" s="400" t="str">
        <f t="shared" si="7"/>
        <v>BB01-4</v>
      </c>
      <c r="J98" s="507">
        <v>4</v>
      </c>
      <c r="K98" s="539"/>
      <c r="L98" s="395">
        <v>1</v>
      </c>
      <c r="M98" s="539"/>
      <c r="N98" s="397" t="s">
        <v>193</v>
      </c>
      <c r="O98" s="395"/>
      <c r="Q98" s="526"/>
      <c r="R98" s="526"/>
      <c r="S98" s="526"/>
      <c r="T98" s="395"/>
      <c r="U98" s="526"/>
      <c r="V98" s="526"/>
      <c r="W98" s="526"/>
      <c r="X98" s="526"/>
      <c r="BE98" s="539"/>
    </row>
    <row r="99" spans="1:57" s="536" customFormat="1" ht="12.75" hidden="1" customHeight="1" outlineLevel="2">
      <c r="A99" s="539"/>
      <c r="B99" s="523"/>
      <c r="C99" s="522"/>
      <c r="D99" s="531"/>
      <c r="E99" s="573" t="s">
        <v>2379</v>
      </c>
      <c r="F99" s="533" t="s">
        <v>2380</v>
      </c>
      <c r="G99" s="539"/>
      <c r="H99" s="503" t="s">
        <v>48</v>
      </c>
      <c r="I99" s="400" t="str">
        <f t="shared" si="7"/>
        <v>BB01-4</v>
      </c>
      <c r="J99" s="507">
        <v>4</v>
      </c>
      <c r="K99" s="539"/>
      <c r="L99" s="395">
        <v>1</v>
      </c>
      <c r="M99" s="539"/>
      <c r="N99" s="397" t="s">
        <v>193</v>
      </c>
      <c r="O99" s="395"/>
      <c r="Q99" s="526"/>
      <c r="R99" s="526"/>
      <c r="S99" s="526"/>
      <c r="T99" s="395"/>
      <c r="U99" s="526"/>
      <c r="V99" s="526"/>
      <c r="W99" s="526"/>
      <c r="X99" s="526"/>
      <c r="BE99" s="539"/>
    </row>
    <row r="100" spans="1:57" s="536" customFormat="1" ht="12.75" hidden="1" customHeight="1" outlineLevel="2">
      <c r="A100" s="539"/>
      <c r="B100" s="523"/>
      <c r="C100" s="522"/>
      <c r="D100" s="531"/>
      <c r="E100" s="573" t="s">
        <v>2381</v>
      </c>
      <c r="F100" s="533" t="s">
        <v>2382</v>
      </c>
      <c r="G100" s="539"/>
      <c r="H100" s="503" t="s">
        <v>48</v>
      </c>
      <c r="I100" s="400" t="str">
        <f t="shared" si="7"/>
        <v>BB01-4</v>
      </c>
      <c r="J100" s="507">
        <v>4</v>
      </c>
      <c r="K100" s="539"/>
      <c r="L100" s="395">
        <v>1</v>
      </c>
      <c r="M100" s="539"/>
      <c r="N100" s="397" t="s">
        <v>193</v>
      </c>
      <c r="O100" s="395"/>
      <c r="Q100" s="526"/>
      <c r="R100" s="526"/>
      <c r="S100" s="526"/>
      <c r="T100" s="395"/>
      <c r="X100" s="526"/>
    </row>
    <row r="101" spans="1:57" s="536" customFormat="1" ht="12.75" hidden="1" customHeight="1" outlineLevel="2">
      <c r="A101" s="539"/>
      <c r="B101" s="523"/>
      <c r="C101" s="522"/>
      <c r="D101" s="531"/>
      <c r="E101" s="573" t="s">
        <v>2383</v>
      </c>
      <c r="F101" s="533" t="s">
        <v>2384</v>
      </c>
      <c r="G101" s="539"/>
      <c r="H101" s="503" t="s">
        <v>48</v>
      </c>
      <c r="I101" s="400" t="str">
        <f t="shared" ref="I101:I105" si="8">CONCATENATE(H101,"-",J101)</f>
        <v>BB01-4</v>
      </c>
      <c r="J101" s="507">
        <v>4</v>
      </c>
      <c r="K101" s="539"/>
      <c r="L101" s="395">
        <v>1</v>
      </c>
      <c r="M101" s="539"/>
      <c r="N101" s="397" t="s">
        <v>193</v>
      </c>
      <c r="O101" s="395"/>
      <c r="Q101" s="526"/>
      <c r="R101" s="526"/>
      <c r="S101" s="526"/>
      <c r="T101" s="395"/>
      <c r="U101" s="526"/>
      <c r="V101" s="526"/>
      <c r="W101" s="526"/>
      <c r="X101" s="526"/>
      <c r="BE101" s="539"/>
    </row>
    <row r="102" spans="1:57" s="536" customFormat="1" ht="12.75" hidden="1" customHeight="1" outlineLevel="2">
      <c r="A102" s="539"/>
      <c r="B102" s="523"/>
      <c r="C102" s="522"/>
      <c r="D102" s="531"/>
      <c r="E102" s="573" t="s">
        <v>2385</v>
      </c>
      <c r="F102" s="533" t="s">
        <v>2386</v>
      </c>
      <c r="G102" s="539"/>
      <c r="H102" s="503" t="s">
        <v>48</v>
      </c>
      <c r="I102" s="400" t="str">
        <f t="shared" si="8"/>
        <v>BB01-4</v>
      </c>
      <c r="J102" s="507">
        <v>4</v>
      </c>
      <c r="K102" s="539"/>
      <c r="L102" s="395">
        <v>1</v>
      </c>
      <c r="M102" s="539"/>
      <c r="N102" s="397" t="s">
        <v>193</v>
      </c>
      <c r="O102" s="395"/>
      <c r="Q102" s="526"/>
      <c r="R102" s="526"/>
      <c r="S102" s="526"/>
      <c r="T102" s="395"/>
      <c r="U102" s="526"/>
      <c r="V102" s="526"/>
      <c r="W102" s="526"/>
      <c r="X102" s="526"/>
      <c r="BE102" s="539"/>
    </row>
    <row r="103" spans="1:57" s="536" customFormat="1" ht="12.75" hidden="1" customHeight="1" outlineLevel="2">
      <c r="A103" s="539"/>
      <c r="B103" s="523"/>
      <c r="C103" s="522"/>
      <c r="D103" s="531"/>
      <c r="E103" s="573" t="s">
        <v>2387</v>
      </c>
      <c r="F103" s="533" t="s">
        <v>2388</v>
      </c>
      <c r="G103" s="539"/>
      <c r="H103" s="503" t="s">
        <v>48</v>
      </c>
      <c r="I103" s="400" t="str">
        <f t="shared" si="8"/>
        <v>BB01-4</v>
      </c>
      <c r="J103" s="507">
        <v>4</v>
      </c>
      <c r="K103" s="539"/>
      <c r="L103" s="395">
        <v>1</v>
      </c>
      <c r="M103" s="539"/>
      <c r="N103" s="397" t="s">
        <v>193</v>
      </c>
      <c r="O103" s="395"/>
      <c r="Q103" s="526"/>
      <c r="R103" s="526"/>
      <c r="S103" s="526"/>
      <c r="T103" s="395"/>
      <c r="U103" s="526"/>
      <c r="V103" s="526"/>
      <c r="W103" s="526"/>
      <c r="X103" s="526"/>
      <c r="BE103" s="539"/>
    </row>
    <row r="104" spans="1:57" s="536" customFormat="1" ht="12.75" hidden="1" customHeight="1" outlineLevel="2">
      <c r="A104" s="539"/>
      <c r="B104" s="523"/>
      <c r="C104" s="522"/>
      <c r="D104" s="531"/>
      <c r="E104" s="573" t="s">
        <v>2389</v>
      </c>
      <c r="F104" s="533" t="s">
        <v>2390</v>
      </c>
      <c r="G104" s="539"/>
      <c r="H104" s="503" t="s">
        <v>48</v>
      </c>
      <c r="I104" s="400" t="str">
        <f t="shared" si="8"/>
        <v>BB01-4</v>
      </c>
      <c r="J104" s="507">
        <v>4</v>
      </c>
      <c r="K104" s="539"/>
      <c r="L104" s="395">
        <v>1</v>
      </c>
      <c r="M104" s="539"/>
      <c r="N104" s="397" t="s">
        <v>193</v>
      </c>
      <c r="O104" s="395"/>
      <c r="Q104" s="526"/>
      <c r="R104" s="526"/>
      <c r="S104" s="526"/>
      <c r="T104" s="395"/>
      <c r="U104" s="526"/>
      <c r="V104" s="526"/>
      <c r="W104" s="526"/>
      <c r="X104" s="526"/>
      <c r="BE104" s="539"/>
    </row>
    <row r="105" spans="1:57" s="536" customFormat="1" ht="12.75" hidden="1" customHeight="1" outlineLevel="2">
      <c r="A105" s="539"/>
      <c r="B105" s="523"/>
      <c r="C105" s="522"/>
      <c r="D105" s="531"/>
      <c r="E105" s="573" t="s">
        <v>2391</v>
      </c>
      <c r="F105" s="533" t="s">
        <v>2392</v>
      </c>
      <c r="G105" s="539"/>
      <c r="H105" s="503" t="s">
        <v>48</v>
      </c>
      <c r="I105" s="400" t="str">
        <f t="shared" si="8"/>
        <v>BB01-4</v>
      </c>
      <c r="J105" s="507">
        <v>4</v>
      </c>
      <c r="K105" s="539"/>
      <c r="L105" s="395">
        <v>1</v>
      </c>
      <c r="M105" s="539"/>
      <c r="N105" s="397" t="s">
        <v>193</v>
      </c>
      <c r="O105" s="395"/>
      <c r="Q105" s="526"/>
      <c r="R105" s="526"/>
      <c r="S105" s="526"/>
      <c r="T105" s="395"/>
      <c r="U105" s="526"/>
      <c r="V105" s="526"/>
      <c r="W105" s="526"/>
      <c r="X105" s="526"/>
      <c r="BE105" s="539"/>
    </row>
    <row r="106" spans="1:57" s="536" customFormat="1" ht="12.75" hidden="1" customHeight="1" outlineLevel="2">
      <c r="A106" s="539"/>
      <c r="B106" s="523"/>
      <c r="C106" s="522"/>
      <c r="D106" s="531"/>
      <c r="E106" s="573" t="s">
        <v>2393</v>
      </c>
      <c r="F106" s="533" t="s">
        <v>2394</v>
      </c>
      <c r="G106" s="539"/>
      <c r="H106" s="503" t="s">
        <v>48</v>
      </c>
      <c r="I106" s="400" t="str">
        <f t="shared" ref="I106:I112" si="9">CONCATENATE(H106,"-",J106)</f>
        <v>BB01-4</v>
      </c>
      <c r="J106" s="507">
        <v>4</v>
      </c>
      <c r="K106" s="539"/>
      <c r="L106" s="395">
        <v>1</v>
      </c>
      <c r="M106" s="539"/>
      <c r="N106" s="397" t="s">
        <v>193</v>
      </c>
      <c r="O106" s="395"/>
      <c r="Q106" s="526"/>
      <c r="R106" s="526"/>
      <c r="S106" s="526"/>
      <c r="T106" s="395"/>
      <c r="U106" s="526"/>
      <c r="V106" s="526"/>
      <c r="W106" s="526"/>
      <c r="X106" s="526"/>
      <c r="BE106" s="539"/>
    </row>
    <row r="107" spans="1:57" s="536" customFormat="1" ht="12.75" hidden="1" customHeight="1" outlineLevel="2">
      <c r="A107" s="539"/>
      <c r="B107" s="523"/>
      <c r="C107" s="522"/>
      <c r="D107" s="531"/>
      <c r="E107" s="573" t="s">
        <v>2395</v>
      </c>
      <c r="F107" s="533" t="s">
        <v>2396</v>
      </c>
      <c r="G107" s="539"/>
      <c r="H107" s="503" t="s">
        <v>48</v>
      </c>
      <c r="I107" s="400" t="str">
        <f t="shared" si="9"/>
        <v>BB01-4</v>
      </c>
      <c r="J107" s="507">
        <v>4</v>
      </c>
      <c r="K107" s="539"/>
      <c r="L107" s="395">
        <v>1</v>
      </c>
      <c r="M107" s="539"/>
      <c r="N107" s="397" t="s">
        <v>193</v>
      </c>
      <c r="O107" s="395"/>
      <c r="Q107" s="526"/>
      <c r="R107" s="526"/>
      <c r="S107" s="526"/>
      <c r="T107" s="395"/>
      <c r="U107" s="526"/>
      <c r="V107" s="526"/>
      <c r="W107" s="526"/>
      <c r="X107" s="526"/>
      <c r="BE107" s="539"/>
    </row>
    <row r="108" spans="1:57" s="536" customFormat="1" ht="12.75" hidden="1" customHeight="1" outlineLevel="2">
      <c r="A108" s="539"/>
      <c r="B108" s="523"/>
      <c r="C108" s="522"/>
      <c r="D108" s="531"/>
      <c r="E108" s="573" t="s">
        <v>2397</v>
      </c>
      <c r="F108" s="533" t="s">
        <v>2398</v>
      </c>
      <c r="G108" s="539"/>
      <c r="H108" s="503" t="s">
        <v>48</v>
      </c>
      <c r="I108" s="400" t="str">
        <f t="shared" si="9"/>
        <v>BB01-4</v>
      </c>
      <c r="J108" s="507">
        <v>4</v>
      </c>
      <c r="K108" s="539"/>
      <c r="L108" s="395">
        <v>1</v>
      </c>
      <c r="M108" s="539"/>
      <c r="N108" s="397" t="s">
        <v>193</v>
      </c>
      <c r="O108" s="395"/>
      <c r="Q108" s="526"/>
      <c r="R108" s="526"/>
      <c r="S108" s="526"/>
      <c r="T108" s="395"/>
      <c r="U108" s="526"/>
      <c r="V108" s="526"/>
      <c r="W108" s="526"/>
      <c r="X108" s="526"/>
      <c r="BE108" s="539"/>
    </row>
    <row r="109" spans="1:57" s="536" customFormat="1" ht="12.75" hidden="1" customHeight="1" outlineLevel="2">
      <c r="A109" s="539"/>
      <c r="B109" s="523"/>
      <c r="C109" s="522"/>
      <c r="D109" s="531"/>
      <c r="E109" s="573" t="s">
        <v>2399</v>
      </c>
      <c r="F109" s="533" t="s">
        <v>2400</v>
      </c>
      <c r="G109" s="539"/>
      <c r="H109" s="503" t="s">
        <v>48</v>
      </c>
      <c r="I109" s="400" t="str">
        <f t="shared" si="9"/>
        <v>BB01-4</v>
      </c>
      <c r="J109" s="507">
        <v>4</v>
      </c>
      <c r="K109" s="539"/>
      <c r="L109" s="395">
        <v>1</v>
      </c>
      <c r="M109" s="539"/>
      <c r="N109" s="397" t="s">
        <v>193</v>
      </c>
      <c r="O109" s="395"/>
      <c r="Q109" s="526"/>
      <c r="R109" s="526"/>
      <c r="S109" s="526"/>
      <c r="T109" s="395"/>
      <c r="U109" s="526"/>
      <c r="V109" s="526"/>
      <c r="W109" s="526"/>
      <c r="X109" s="526"/>
      <c r="BE109" s="539"/>
    </row>
    <row r="110" spans="1:57" s="536" customFormat="1" ht="12.75" hidden="1" customHeight="1" outlineLevel="2">
      <c r="A110" s="539"/>
      <c r="B110" s="523"/>
      <c r="C110" s="522"/>
      <c r="D110" s="531"/>
      <c r="E110" s="573" t="s">
        <v>2401</v>
      </c>
      <c r="F110" s="533" t="s">
        <v>2402</v>
      </c>
      <c r="G110" s="539"/>
      <c r="H110" s="503" t="s">
        <v>48</v>
      </c>
      <c r="I110" s="400" t="str">
        <f t="shared" si="9"/>
        <v>BB01-4</v>
      </c>
      <c r="J110" s="507">
        <v>4</v>
      </c>
      <c r="K110" s="539"/>
      <c r="L110" s="395">
        <v>1</v>
      </c>
      <c r="M110" s="539"/>
      <c r="N110" s="397" t="s">
        <v>193</v>
      </c>
      <c r="O110" s="395"/>
      <c r="Q110" s="526"/>
      <c r="R110" s="526"/>
      <c r="S110" s="526"/>
      <c r="T110" s="395"/>
      <c r="U110" s="526"/>
      <c r="V110" s="526"/>
      <c r="W110" s="526"/>
      <c r="X110" s="526"/>
      <c r="BE110" s="539"/>
    </row>
    <row r="111" spans="1:57" s="536" customFormat="1" ht="12.75" hidden="1" customHeight="1" outlineLevel="2">
      <c r="A111" s="539"/>
      <c r="B111" s="523"/>
      <c r="C111" s="522"/>
      <c r="D111" s="531"/>
      <c r="E111" s="573" t="s">
        <v>2403</v>
      </c>
      <c r="F111" s="533" t="s">
        <v>2404</v>
      </c>
      <c r="G111" s="539"/>
      <c r="H111" s="503" t="s">
        <v>48</v>
      </c>
      <c r="I111" s="400" t="str">
        <f t="shared" ref="I111" si="10">CONCATENATE(H111,"-",J111)</f>
        <v>BB01-4</v>
      </c>
      <c r="J111" s="507">
        <v>4</v>
      </c>
      <c r="K111" s="539"/>
      <c r="L111" s="395">
        <v>1</v>
      </c>
      <c r="M111" s="539"/>
      <c r="N111" s="397" t="s">
        <v>193</v>
      </c>
      <c r="O111" s="395"/>
      <c r="Q111" s="526"/>
      <c r="R111" s="526"/>
      <c r="S111" s="526"/>
      <c r="T111" s="395"/>
      <c r="U111" s="526"/>
      <c r="V111" s="526"/>
      <c r="W111" s="526"/>
      <c r="X111" s="526"/>
      <c r="BE111" s="539"/>
    </row>
    <row r="112" spans="1:57" s="536" customFormat="1" ht="12.75" hidden="1" customHeight="1" outlineLevel="2">
      <c r="A112" s="539"/>
      <c r="B112" s="523"/>
      <c r="C112" s="522"/>
      <c r="D112" s="531"/>
      <c r="E112" s="573" t="s">
        <v>2405</v>
      </c>
      <c r="F112" s="533" t="s">
        <v>2406</v>
      </c>
      <c r="G112" s="539"/>
      <c r="H112" s="503" t="s">
        <v>48</v>
      </c>
      <c r="I112" s="400" t="str">
        <f t="shared" si="9"/>
        <v>BB01-4</v>
      </c>
      <c r="J112" s="507">
        <v>4</v>
      </c>
      <c r="K112" s="539"/>
      <c r="L112" s="395">
        <v>1</v>
      </c>
      <c r="M112" s="539"/>
      <c r="N112" s="397" t="s">
        <v>193</v>
      </c>
      <c r="O112" s="395"/>
      <c r="Q112" s="526"/>
      <c r="R112" s="526"/>
      <c r="S112" s="526"/>
      <c r="T112" s="395"/>
      <c r="U112" s="526"/>
      <c r="V112" s="526"/>
      <c r="W112" s="526"/>
      <c r="X112" s="526"/>
      <c r="BE112" s="539"/>
    </row>
    <row r="113" spans="1:57" s="536" customFormat="1" ht="12.75" hidden="1" customHeight="1" outlineLevel="2">
      <c r="A113" s="539"/>
      <c r="B113" s="523"/>
      <c r="C113" s="522"/>
      <c r="D113" s="531"/>
      <c r="E113" s="573" t="s">
        <v>2407</v>
      </c>
      <c r="F113" s="533" t="s">
        <v>2408</v>
      </c>
      <c r="G113" s="539"/>
      <c r="H113" s="503" t="s">
        <v>48</v>
      </c>
      <c r="I113" s="400" t="str">
        <f>CONCATENATE(H113,"-",J113)</f>
        <v>BB01-4</v>
      </c>
      <c r="J113" s="507">
        <v>4</v>
      </c>
      <c r="K113" s="539"/>
      <c r="L113" s="395">
        <v>1</v>
      </c>
      <c r="M113" s="539"/>
      <c r="N113" s="397" t="s">
        <v>193</v>
      </c>
      <c r="O113" s="395"/>
      <c r="Q113" s="526"/>
      <c r="R113" s="526"/>
      <c r="S113" s="526"/>
      <c r="T113" s="395"/>
      <c r="U113" s="526"/>
      <c r="V113" s="526"/>
      <c r="W113" s="526"/>
      <c r="X113" s="526"/>
    </row>
    <row r="114" spans="1:57" s="536" customFormat="1" ht="12.75" hidden="1" customHeight="1" outlineLevel="2">
      <c r="A114" s="539"/>
      <c r="B114" s="523"/>
      <c r="C114" s="522"/>
      <c r="D114" s="531"/>
      <c r="E114" s="573" t="s">
        <v>2409</v>
      </c>
      <c r="F114" s="533" t="s">
        <v>2410</v>
      </c>
      <c r="G114" s="539"/>
      <c r="H114" s="503" t="s">
        <v>48</v>
      </c>
      <c r="I114" s="400" t="str">
        <f>CONCATENATE(H114,"-",J114)</f>
        <v>BB01-4</v>
      </c>
      <c r="J114" s="507">
        <v>4</v>
      </c>
      <c r="K114" s="539"/>
      <c r="L114" s="395">
        <v>1</v>
      </c>
      <c r="M114" s="539"/>
      <c r="N114" s="397" t="s">
        <v>193</v>
      </c>
      <c r="O114" s="395"/>
      <c r="Q114" s="526"/>
      <c r="R114" s="526"/>
      <c r="S114" s="526"/>
      <c r="T114" s="395"/>
      <c r="U114" s="526"/>
      <c r="V114" s="526"/>
      <c r="W114" s="526"/>
      <c r="X114" s="526"/>
    </row>
    <row r="115" spans="1:57" s="536" customFormat="1" ht="12.75" hidden="1" customHeight="1" outlineLevel="2">
      <c r="A115" s="539"/>
      <c r="B115" s="523"/>
      <c r="C115" s="522"/>
      <c r="D115" s="531"/>
      <c r="E115" s="573" t="s">
        <v>2411</v>
      </c>
      <c r="F115" s="533" t="s">
        <v>2412</v>
      </c>
      <c r="G115" s="539"/>
      <c r="H115" s="503" t="s">
        <v>48</v>
      </c>
      <c r="I115" s="400" t="str">
        <f>CONCATENATE(H115,"-",J115)</f>
        <v>BB01-4</v>
      </c>
      <c r="J115" s="507">
        <v>4</v>
      </c>
      <c r="K115" s="539"/>
      <c r="L115" s="395">
        <v>1</v>
      </c>
      <c r="M115" s="539"/>
      <c r="N115" s="397" t="s">
        <v>193</v>
      </c>
      <c r="O115" s="395"/>
      <c r="Q115" s="526"/>
      <c r="R115" s="526"/>
      <c r="S115" s="526"/>
      <c r="T115" s="395"/>
      <c r="U115" s="526"/>
      <c r="V115" s="526"/>
      <c r="W115" s="526"/>
      <c r="X115" s="526"/>
    </row>
    <row r="116" spans="1:57" s="536" customFormat="1" ht="12.75" hidden="1" customHeight="1" outlineLevel="2">
      <c r="A116" s="539"/>
      <c r="B116" s="523"/>
      <c r="C116" s="522"/>
      <c r="D116" s="531"/>
      <c r="E116" s="573" t="s">
        <v>2413</v>
      </c>
      <c r="F116" s="533" t="s">
        <v>2414</v>
      </c>
      <c r="G116" s="539"/>
      <c r="H116" s="503" t="s">
        <v>48</v>
      </c>
      <c r="I116" s="400" t="str">
        <f t="shared" ref="I116:I126" si="11">CONCATENATE(H116,"-",J116)</f>
        <v>BB01-4</v>
      </c>
      <c r="J116" s="507">
        <v>4</v>
      </c>
      <c r="K116" s="539"/>
      <c r="L116" s="395">
        <v>1</v>
      </c>
      <c r="M116" s="539"/>
      <c r="N116" s="397" t="s">
        <v>193</v>
      </c>
      <c r="O116" s="395"/>
      <c r="Q116" s="526"/>
      <c r="R116" s="526"/>
      <c r="S116" s="526"/>
      <c r="T116" s="395"/>
      <c r="X116" s="526"/>
    </row>
    <row r="117" spans="1:57" s="536" customFormat="1" ht="12.75" hidden="1" customHeight="1" outlineLevel="2">
      <c r="A117" s="539"/>
      <c r="B117" s="523"/>
      <c r="C117" s="522"/>
      <c r="D117" s="531"/>
      <c r="E117" s="573" t="s">
        <v>2415</v>
      </c>
      <c r="F117" s="533" t="s">
        <v>2416</v>
      </c>
      <c r="G117" s="539"/>
      <c r="H117" s="503" t="s">
        <v>48</v>
      </c>
      <c r="I117" s="400" t="str">
        <f t="shared" si="11"/>
        <v>BB01-4</v>
      </c>
      <c r="J117" s="507">
        <v>4</v>
      </c>
      <c r="K117" s="539"/>
      <c r="L117" s="395">
        <v>1</v>
      </c>
      <c r="M117" s="539"/>
      <c r="N117" s="397" t="s">
        <v>193</v>
      </c>
      <c r="O117" s="395"/>
      <c r="Q117" s="526"/>
      <c r="R117" s="526"/>
      <c r="S117" s="526"/>
      <c r="T117" s="395"/>
      <c r="U117" s="526"/>
      <c r="V117" s="526"/>
      <c r="W117" s="526"/>
      <c r="X117" s="526"/>
      <c r="BE117" s="539"/>
    </row>
    <row r="118" spans="1:57" s="536" customFormat="1" ht="12.75" hidden="1" customHeight="1" outlineLevel="2">
      <c r="A118" s="539"/>
      <c r="B118" s="523"/>
      <c r="C118" s="522"/>
      <c r="D118" s="531"/>
      <c r="E118" s="573" t="s">
        <v>2417</v>
      </c>
      <c r="F118" s="533" t="s">
        <v>2418</v>
      </c>
      <c r="G118" s="539"/>
      <c r="H118" s="503" t="s">
        <v>48</v>
      </c>
      <c r="I118" s="400" t="str">
        <f t="shared" si="11"/>
        <v>BB01-4</v>
      </c>
      <c r="J118" s="507">
        <v>4</v>
      </c>
      <c r="K118" s="539"/>
      <c r="L118" s="395">
        <v>1</v>
      </c>
      <c r="M118" s="539"/>
      <c r="N118" s="397" t="s">
        <v>610</v>
      </c>
      <c r="O118" s="395"/>
      <c r="Q118" s="526"/>
      <c r="R118" s="526"/>
      <c r="S118" s="526"/>
      <c r="T118" s="395"/>
      <c r="U118" s="526"/>
      <c r="V118" s="526"/>
      <c r="W118" s="526"/>
      <c r="X118" s="526"/>
      <c r="BE118" s="539"/>
    </row>
    <row r="119" spans="1:57" s="536" customFormat="1" ht="12.75" hidden="1" customHeight="1" outlineLevel="2">
      <c r="A119" s="539"/>
      <c r="B119" s="523"/>
      <c r="C119" s="522"/>
      <c r="D119" s="531"/>
      <c r="E119" s="573" t="s">
        <v>2419</v>
      </c>
      <c r="F119" s="533" t="s">
        <v>2420</v>
      </c>
      <c r="G119" s="539"/>
      <c r="H119" s="503" t="s">
        <v>48</v>
      </c>
      <c r="I119" s="400" t="str">
        <f t="shared" si="11"/>
        <v>BB01-4</v>
      </c>
      <c r="J119" s="507">
        <v>4</v>
      </c>
      <c r="K119" s="539"/>
      <c r="L119" s="395">
        <v>1</v>
      </c>
      <c r="M119" s="539"/>
      <c r="N119" s="397" t="s">
        <v>193</v>
      </c>
      <c r="O119" s="395"/>
      <c r="Q119" s="526"/>
      <c r="R119" s="526"/>
      <c r="S119" s="526"/>
      <c r="T119" s="395"/>
      <c r="U119" s="526"/>
      <c r="V119" s="526"/>
      <c r="W119" s="526"/>
      <c r="X119" s="526"/>
      <c r="BE119" s="539"/>
    </row>
    <row r="120" spans="1:57" s="536" customFormat="1" ht="12.75" hidden="1" customHeight="1" outlineLevel="2">
      <c r="A120" s="539"/>
      <c r="B120" s="523"/>
      <c r="C120" s="522"/>
      <c r="D120" s="531"/>
      <c r="E120" s="573" t="s">
        <v>2421</v>
      </c>
      <c r="F120" s="533" t="s">
        <v>2422</v>
      </c>
      <c r="G120" s="539"/>
      <c r="H120" s="503" t="s">
        <v>48</v>
      </c>
      <c r="I120" s="400" t="str">
        <f t="shared" si="11"/>
        <v>BB01-4</v>
      </c>
      <c r="J120" s="507">
        <v>4</v>
      </c>
      <c r="K120" s="539"/>
      <c r="L120" s="395">
        <v>1</v>
      </c>
      <c r="M120" s="539"/>
      <c r="N120" s="397" t="s">
        <v>193</v>
      </c>
      <c r="O120" s="395"/>
      <c r="Q120" s="526"/>
      <c r="R120" s="526"/>
      <c r="S120" s="526"/>
      <c r="T120" s="395"/>
      <c r="U120" s="526"/>
      <c r="V120" s="526"/>
      <c r="W120" s="526"/>
      <c r="X120" s="526"/>
      <c r="BE120" s="539"/>
    </row>
    <row r="121" spans="1:57" s="536" customFormat="1" ht="12.75" hidden="1" customHeight="1" outlineLevel="2">
      <c r="A121" s="539"/>
      <c r="B121" s="523"/>
      <c r="C121" s="522"/>
      <c r="D121" s="531"/>
      <c r="E121" s="573" t="s">
        <v>2423</v>
      </c>
      <c r="F121" s="533" t="s">
        <v>2424</v>
      </c>
      <c r="G121" s="539"/>
      <c r="H121" s="503" t="s">
        <v>48</v>
      </c>
      <c r="I121" s="400" t="str">
        <f t="shared" si="11"/>
        <v>BB01-4</v>
      </c>
      <c r="J121" s="507">
        <v>4</v>
      </c>
      <c r="K121" s="539"/>
      <c r="L121" s="395">
        <v>1</v>
      </c>
      <c r="M121" s="539"/>
      <c r="N121" s="397" t="s">
        <v>193</v>
      </c>
      <c r="O121" s="395"/>
      <c r="Q121" s="526"/>
      <c r="R121" s="526"/>
      <c r="S121" s="526"/>
      <c r="T121" s="395"/>
      <c r="U121" s="526"/>
      <c r="V121" s="526"/>
      <c r="W121" s="526"/>
      <c r="X121" s="526"/>
      <c r="BE121" s="539"/>
    </row>
    <row r="122" spans="1:57" s="536" customFormat="1" ht="12.75" hidden="1" customHeight="1" outlineLevel="2">
      <c r="A122" s="539"/>
      <c r="B122" s="523"/>
      <c r="C122" s="522"/>
      <c r="D122" s="531"/>
      <c r="E122" s="573" t="s">
        <v>2425</v>
      </c>
      <c r="F122" s="533" t="s">
        <v>2426</v>
      </c>
      <c r="G122" s="539"/>
      <c r="H122" s="503" t="s">
        <v>48</v>
      </c>
      <c r="I122" s="400" t="str">
        <f t="shared" si="11"/>
        <v>BB01-4</v>
      </c>
      <c r="J122" s="507">
        <v>4</v>
      </c>
      <c r="K122" s="539"/>
      <c r="L122" s="395">
        <v>1</v>
      </c>
      <c r="M122" s="539"/>
      <c r="N122" s="397" t="s">
        <v>193</v>
      </c>
      <c r="O122" s="395"/>
      <c r="Q122" s="526"/>
      <c r="R122" s="526"/>
      <c r="S122" s="526"/>
      <c r="T122" s="395"/>
      <c r="U122" s="526"/>
      <c r="V122" s="526"/>
      <c r="W122" s="526"/>
      <c r="X122" s="526"/>
      <c r="BE122" s="539"/>
    </row>
    <row r="123" spans="1:57" s="536" customFormat="1" ht="12.75" hidden="1" customHeight="1" outlineLevel="2">
      <c r="A123" s="539"/>
      <c r="B123" s="523"/>
      <c r="C123" s="522"/>
      <c r="D123" s="531"/>
      <c r="E123" s="573" t="s">
        <v>2427</v>
      </c>
      <c r="F123" s="533" t="s">
        <v>2428</v>
      </c>
      <c r="G123" s="539"/>
      <c r="H123" s="503" t="s">
        <v>48</v>
      </c>
      <c r="I123" s="400" t="str">
        <f t="shared" si="11"/>
        <v>BB01-4</v>
      </c>
      <c r="J123" s="507">
        <v>4</v>
      </c>
      <c r="K123" s="539"/>
      <c r="L123" s="395">
        <v>1</v>
      </c>
      <c r="M123" s="539"/>
      <c r="N123" s="397" t="s">
        <v>193</v>
      </c>
      <c r="O123" s="395"/>
      <c r="Q123" s="526"/>
      <c r="R123" s="526"/>
      <c r="S123" s="526"/>
      <c r="T123" s="395"/>
      <c r="U123" s="526"/>
      <c r="V123" s="526"/>
      <c r="W123" s="526"/>
      <c r="X123" s="526"/>
      <c r="BE123" s="539"/>
    </row>
    <row r="124" spans="1:57" s="536" customFormat="1" ht="12.75" hidden="1" customHeight="1" outlineLevel="2">
      <c r="A124" s="539"/>
      <c r="B124" s="523"/>
      <c r="C124" s="522"/>
      <c r="D124" s="531"/>
      <c r="E124" s="573" t="s">
        <v>2429</v>
      </c>
      <c r="F124" s="533" t="s">
        <v>2430</v>
      </c>
      <c r="G124" s="539"/>
      <c r="H124" s="503" t="s">
        <v>48</v>
      </c>
      <c r="I124" s="400" t="str">
        <f t="shared" si="11"/>
        <v>BB01-4</v>
      </c>
      <c r="J124" s="507">
        <v>4</v>
      </c>
      <c r="K124" s="539"/>
      <c r="L124" s="395">
        <v>1</v>
      </c>
      <c r="M124" s="539"/>
      <c r="N124" s="397" t="s">
        <v>193</v>
      </c>
      <c r="O124" s="395"/>
      <c r="Q124" s="526"/>
      <c r="R124" s="526"/>
      <c r="S124" s="526"/>
      <c r="T124" s="395"/>
      <c r="U124" s="526"/>
      <c r="V124" s="526"/>
      <c r="W124" s="526"/>
      <c r="X124" s="526"/>
      <c r="BE124" s="539"/>
    </row>
    <row r="125" spans="1:57" s="536" customFormat="1" ht="12.75" hidden="1" customHeight="1" outlineLevel="2">
      <c r="A125" s="539"/>
      <c r="B125" s="523"/>
      <c r="C125" s="522"/>
      <c r="D125" s="531"/>
      <c r="E125" s="573" t="s">
        <v>2431</v>
      </c>
      <c r="F125" s="533" t="s">
        <v>2432</v>
      </c>
      <c r="G125" s="539"/>
      <c r="H125" s="503" t="s">
        <v>48</v>
      </c>
      <c r="I125" s="400" t="str">
        <f t="shared" si="11"/>
        <v>BB01-4</v>
      </c>
      <c r="J125" s="507">
        <v>4</v>
      </c>
      <c r="K125" s="539"/>
      <c r="L125" s="395">
        <v>1</v>
      </c>
      <c r="M125" s="539"/>
      <c r="N125" s="397" t="s">
        <v>193</v>
      </c>
      <c r="O125" s="395"/>
      <c r="Q125" s="526"/>
      <c r="R125" s="526"/>
      <c r="S125" s="526"/>
      <c r="T125" s="395"/>
      <c r="U125" s="526"/>
      <c r="V125" s="526"/>
      <c r="W125" s="526"/>
      <c r="X125" s="526"/>
      <c r="BE125" s="539"/>
    </row>
    <row r="126" spans="1:57" s="536" customFormat="1" ht="13.2" hidden="1" outlineLevel="2">
      <c r="A126" s="539"/>
      <c r="B126" s="523"/>
      <c r="C126" s="522"/>
      <c r="D126" s="531"/>
      <c r="E126" s="573" t="s">
        <v>2433</v>
      </c>
      <c r="F126" s="533" t="s">
        <v>2288</v>
      </c>
      <c r="G126" s="539"/>
      <c r="H126" s="503" t="s">
        <v>48</v>
      </c>
      <c r="I126" s="400" t="str">
        <f t="shared" si="11"/>
        <v>BB01-4</v>
      </c>
      <c r="J126" s="507">
        <v>4</v>
      </c>
      <c r="K126" s="539"/>
      <c r="L126" s="395">
        <v>1</v>
      </c>
      <c r="M126" s="539"/>
      <c r="N126" s="397" t="s">
        <v>193</v>
      </c>
      <c r="O126" s="395"/>
      <c r="Q126" s="526"/>
      <c r="R126" s="526"/>
      <c r="S126" s="526"/>
      <c r="T126" s="395"/>
      <c r="W126" s="526"/>
      <c r="X126" s="526"/>
    </row>
    <row r="127" spans="1:57" s="536" customFormat="1" ht="3" hidden="1" customHeight="1" outlineLevel="1">
      <c r="A127" s="539"/>
      <c r="B127" s="540"/>
      <c r="C127" s="537"/>
      <c r="D127" s="538"/>
      <c r="E127" s="532"/>
      <c r="F127" s="533"/>
      <c r="G127" s="539"/>
      <c r="H127" s="503"/>
      <c r="I127" s="400"/>
      <c r="J127" s="507"/>
      <c r="K127" s="539"/>
      <c r="L127" s="393"/>
      <c r="M127" s="539"/>
      <c r="N127" s="397"/>
      <c r="O127" s="526"/>
      <c r="P127" s="526"/>
      <c r="Q127" s="526"/>
      <c r="R127" s="526"/>
      <c r="S127" s="526"/>
      <c r="T127" s="526"/>
    </row>
    <row r="128" spans="1:57" s="536" customFormat="1" ht="13.2" hidden="1" outlineLevel="1" collapsed="1">
      <c r="A128" s="539"/>
      <c r="B128" s="460" t="s">
        <v>158</v>
      </c>
      <c r="C128" s="460" t="s">
        <v>65</v>
      </c>
      <c r="D128" s="460"/>
      <c r="E128" s="460"/>
      <c r="F128" s="460"/>
      <c r="G128" s="539"/>
      <c r="H128" s="503"/>
      <c r="I128" s="400"/>
      <c r="J128" s="507"/>
      <c r="K128" s="539"/>
      <c r="L128" s="393"/>
      <c r="M128" s="539"/>
      <c r="N128" s="397"/>
      <c r="O128" s="526"/>
      <c r="P128" s="526"/>
      <c r="Q128" s="526"/>
      <c r="R128" s="526"/>
      <c r="S128" s="526"/>
      <c r="T128" s="526"/>
    </row>
    <row r="129" spans="1:57" s="536" customFormat="1" ht="12.75" hidden="1" customHeight="1" outlineLevel="2">
      <c r="A129" s="539"/>
      <c r="B129" s="523" t="s">
        <v>2434</v>
      </c>
      <c r="C129" s="522" t="s">
        <v>2239</v>
      </c>
      <c r="D129" s="531" t="s">
        <v>2170</v>
      </c>
      <c r="E129" s="532"/>
      <c r="F129" s="533" t="s">
        <v>2435</v>
      </c>
      <c r="G129" s="539"/>
      <c r="H129" s="503" t="s">
        <v>48</v>
      </c>
      <c r="I129" s="400" t="str">
        <f t="shared" ref="I129:I136" si="12">CONCATENATE(H129,"-",J129)</f>
        <v>BB01-8</v>
      </c>
      <c r="J129" s="507">
        <v>8</v>
      </c>
      <c r="K129" s="539"/>
      <c r="L129" s="393"/>
      <c r="M129" s="539"/>
      <c r="N129" s="397"/>
      <c r="O129" s="395" cm="1">
        <f t="array" ref="O129">IFERROR(_xlfn.IFS(R129=1,1,Q129=1,1,P129=1,1,S129=1,1),0)</f>
        <v>1</v>
      </c>
      <c r="Q129" s="526">
        <v>1</v>
      </c>
      <c r="R129" s="526"/>
      <c r="S129" s="526"/>
      <c r="T129" s="395" cm="1">
        <f t="array" ref="T129">IFERROR(_xlfn.IFS(W129=1,1,V129=1,1,U129=1,1,X129=1,1),0)</f>
        <v>0</v>
      </c>
      <c r="U129" s="526"/>
      <c r="V129" s="526"/>
      <c r="W129" s="526"/>
      <c r="X129" s="526"/>
      <c r="BE129" s="539">
        <v>9</v>
      </c>
    </row>
    <row r="130" spans="1:57" s="536" customFormat="1" ht="12.75" hidden="1" customHeight="1" outlineLevel="2">
      <c r="A130" s="539"/>
      <c r="B130" s="523" t="s">
        <v>2434</v>
      </c>
      <c r="C130" s="522" t="s">
        <v>2239</v>
      </c>
      <c r="D130" s="531" t="s">
        <v>2170</v>
      </c>
      <c r="E130" s="532"/>
      <c r="F130" s="533" t="s">
        <v>2436</v>
      </c>
      <c r="G130" s="539"/>
      <c r="H130" s="503" t="s">
        <v>48</v>
      </c>
      <c r="I130" s="400" t="str">
        <f t="shared" si="12"/>
        <v>BB01-8</v>
      </c>
      <c r="J130" s="507">
        <v>8</v>
      </c>
      <c r="K130" s="539"/>
      <c r="L130" s="393"/>
      <c r="M130" s="539"/>
      <c r="N130" s="397"/>
      <c r="O130" s="395" cm="1">
        <f t="array" ref="O130">IFERROR(_xlfn.IFS(R130=1,1,Q130=1,1,P130=1,1,S130=1,1),0)</f>
        <v>1</v>
      </c>
      <c r="Q130" s="526">
        <v>1</v>
      </c>
      <c r="R130" s="526"/>
      <c r="S130" s="526"/>
      <c r="T130" s="395" cm="1">
        <f t="array" ref="T130">IFERROR(_xlfn.IFS(W130=1,1,V130=1,1,U130=1,1,X130=1,1),0)</f>
        <v>0</v>
      </c>
      <c r="U130" s="526"/>
      <c r="V130" s="526"/>
      <c r="W130" s="526"/>
      <c r="X130" s="526"/>
      <c r="BE130" s="539"/>
    </row>
    <row r="131" spans="1:57" s="536" customFormat="1" ht="12.75" hidden="1" customHeight="1" outlineLevel="2">
      <c r="A131" s="539"/>
      <c r="B131" s="523" t="s">
        <v>2434</v>
      </c>
      <c r="C131" s="522" t="s">
        <v>2437</v>
      </c>
      <c r="D131" s="531" t="s">
        <v>2170</v>
      </c>
      <c r="E131" s="532"/>
      <c r="F131" s="533" t="s">
        <v>2438</v>
      </c>
      <c r="G131" s="539"/>
      <c r="H131" s="503" t="s">
        <v>48</v>
      </c>
      <c r="I131" s="400" t="str">
        <f t="shared" si="12"/>
        <v>BB01-8</v>
      </c>
      <c r="J131" s="507">
        <v>8</v>
      </c>
      <c r="K131" s="539"/>
      <c r="L131" s="393"/>
      <c r="M131" s="539"/>
      <c r="N131" s="397"/>
      <c r="O131" s="395" cm="1">
        <f t="array" ref="O131">IFERROR(_xlfn.IFS(R131=1,1,Q131=1,1,P131=1,1,S131=1,1),0)</f>
        <v>1</v>
      </c>
      <c r="Q131" s="526">
        <v>1</v>
      </c>
      <c r="R131" s="526"/>
      <c r="S131" s="526"/>
      <c r="T131" s="395" cm="1">
        <f t="array" ref="T131">IFERROR(_xlfn.IFS(W131=1,1,V131=1,1,U131=1,1,X131=1,1),0)</f>
        <v>0</v>
      </c>
      <c r="U131" s="526"/>
      <c r="V131" s="526"/>
      <c r="W131" s="526"/>
      <c r="X131" s="526"/>
      <c r="BE131" s="539"/>
    </row>
    <row r="132" spans="1:57" s="536" customFormat="1" ht="12.75" hidden="1" customHeight="1" outlineLevel="2">
      <c r="A132" s="539"/>
      <c r="B132" s="523" t="s">
        <v>2434</v>
      </c>
      <c r="C132" s="522" t="s">
        <v>2437</v>
      </c>
      <c r="D132" s="531" t="s">
        <v>2170</v>
      </c>
      <c r="E132" s="532"/>
      <c r="F132" s="533" t="s">
        <v>2439</v>
      </c>
      <c r="G132" s="539"/>
      <c r="H132" s="503" t="s">
        <v>48</v>
      </c>
      <c r="I132" s="400" t="str">
        <f t="shared" si="12"/>
        <v>BB01-8</v>
      </c>
      <c r="J132" s="507">
        <v>8</v>
      </c>
      <c r="K132" s="539"/>
      <c r="L132" s="393"/>
      <c r="M132" s="539"/>
      <c r="N132" s="397"/>
      <c r="O132" s="395" cm="1">
        <f t="array" ref="O132">IFERROR(_xlfn.IFS(R132=1,1,Q132=1,1,P132=1,1,S132=1,1),0)</f>
        <v>1</v>
      </c>
      <c r="Q132" s="526">
        <v>1</v>
      </c>
      <c r="R132" s="526"/>
      <c r="S132" s="526"/>
      <c r="T132" s="395" cm="1">
        <f t="array" ref="T132">IFERROR(_xlfn.IFS(W132=1,1,V132=1,1,U132=1,1,X132=1,1),0)</f>
        <v>0</v>
      </c>
      <c r="U132" s="526"/>
      <c r="V132" s="526"/>
      <c r="W132" s="526"/>
      <c r="X132" s="526"/>
      <c r="BE132" s="539"/>
    </row>
    <row r="133" spans="1:57" s="536" customFormat="1" ht="12.75" hidden="1" customHeight="1" outlineLevel="2">
      <c r="A133" s="539"/>
      <c r="B133" s="523" t="s">
        <v>2434</v>
      </c>
      <c r="C133" s="522" t="s">
        <v>2333</v>
      </c>
      <c r="D133" s="531" t="s">
        <v>2440</v>
      </c>
      <c r="E133" s="532">
        <v>1028</v>
      </c>
      <c r="F133" s="533" t="s">
        <v>2441</v>
      </c>
      <c r="G133" s="539"/>
      <c r="H133" s="503" t="s">
        <v>48</v>
      </c>
      <c r="I133" s="400" t="str">
        <f t="shared" si="12"/>
        <v>BB01-8</v>
      </c>
      <c r="J133" s="507">
        <v>8</v>
      </c>
      <c r="K133" s="539"/>
      <c r="L133" s="393"/>
      <c r="M133" s="539"/>
      <c r="N133" s="397"/>
      <c r="O133" s="395" cm="1">
        <f t="array" ref="O133">IFERROR(_xlfn.IFS(R133=1,1,Q133=1,1,P133=1,1,S133=1,1),0)</f>
        <v>1</v>
      </c>
      <c r="Q133" s="526">
        <v>1</v>
      </c>
      <c r="R133" s="526"/>
      <c r="S133" s="526"/>
      <c r="T133" s="395" cm="1">
        <f t="array" ref="T133">IFERROR(_xlfn.IFS(W133=1,1,V133=1,1,U133=1,1,X133=1,1),0)</f>
        <v>0</v>
      </c>
      <c r="U133" s="526"/>
      <c r="V133" s="526"/>
      <c r="W133" s="526"/>
      <c r="X133" s="526"/>
      <c r="BE133" s="539"/>
    </row>
    <row r="134" spans="1:57" s="536" customFormat="1" ht="12.75" hidden="1" customHeight="1" outlineLevel="2">
      <c r="A134" s="539"/>
      <c r="B134" s="523" t="s">
        <v>2434</v>
      </c>
      <c r="C134" s="522" t="s">
        <v>2333</v>
      </c>
      <c r="D134" s="531" t="s">
        <v>2440</v>
      </c>
      <c r="E134" s="532">
        <v>1029</v>
      </c>
      <c r="F134" s="533" t="s">
        <v>2442</v>
      </c>
      <c r="G134" s="539"/>
      <c r="H134" s="503" t="s">
        <v>48</v>
      </c>
      <c r="I134" s="400" t="str">
        <f t="shared" si="12"/>
        <v>BB01-8</v>
      </c>
      <c r="J134" s="507">
        <v>8</v>
      </c>
      <c r="K134" s="539"/>
      <c r="L134" s="393"/>
      <c r="M134" s="539"/>
      <c r="N134" s="397"/>
      <c r="O134" s="395" cm="1">
        <f t="array" ref="O134">IFERROR(_xlfn.IFS(R134=1,1,Q134=1,1,P134=1,1,S134=1,1),0)</f>
        <v>1</v>
      </c>
      <c r="Q134" s="526">
        <v>1</v>
      </c>
      <c r="R134" s="526"/>
      <c r="S134" s="526"/>
      <c r="T134" s="395" cm="1">
        <f t="array" ref="T134">IFERROR(_xlfn.IFS(W134=1,1,V134=1,1,U134=1,1,X134=1,1),0)</f>
        <v>0</v>
      </c>
    </row>
    <row r="135" spans="1:57" s="536" customFormat="1" ht="12.75" hidden="1" customHeight="1" outlineLevel="2">
      <c r="A135" s="539"/>
      <c r="B135" s="523" t="s">
        <v>2434</v>
      </c>
      <c r="C135" s="522" t="s">
        <v>2333</v>
      </c>
      <c r="D135" s="531" t="s">
        <v>2443</v>
      </c>
      <c r="E135" s="532">
        <v>1042</v>
      </c>
      <c r="F135" s="533" t="s">
        <v>2444</v>
      </c>
      <c r="G135" s="539"/>
      <c r="H135" s="503" t="s">
        <v>48</v>
      </c>
      <c r="I135" s="400" t="str">
        <f t="shared" si="12"/>
        <v>BB01-8</v>
      </c>
      <c r="J135" s="507">
        <v>8</v>
      </c>
      <c r="K135" s="539"/>
      <c r="L135" s="393"/>
      <c r="M135" s="539"/>
      <c r="N135" s="397"/>
      <c r="O135" s="395" cm="1">
        <f t="array" ref="O135">IFERROR(_xlfn.IFS(R135=1,1,Q135=1,1,P135=1,1,S135=1,1),0)</f>
        <v>1</v>
      </c>
      <c r="Q135" s="526">
        <v>1</v>
      </c>
      <c r="R135" s="526"/>
      <c r="S135" s="526"/>
      <c r="T135" s="395" cm="1">
        <f t="array" ref="T135">IFERROR(_xlfn.IFS(W135=1,1,V135=1,1,U135=1,1,X135=1,1),0)</f>
        <v>0</v>
      </c>
    </row>
    <row r="136" spans="1:57" s="536" customFormat="1" ht="12.75" hidden="1" customHeight="1" outlineLevel="2">
      <c r="A136" s="539"/>
      <c r="B136" s="523" t="s">
        <v>2434</v>
      </c>
      <c r="C136" s="522" t="s">
        <v>2333</v>
      </c>
      <c r="D136" s="531" t="s">
        <v>2443</v>
      </c>
      <c r="E136" s="532">
        <v>1043</v>
      </c>
      <c r="F136" s="533" t="s">
        <v>2445</v>
      </c>
      <c r="G136" s="539"/>
      <c r="H136" s="503" t="s">
        <v>48</v>
      </c>
      <c r="I136" s="400" t="str">
        <f t="shared" si="12"/>
        <v>BB01-8</v>
      </c>
      <c r="J136" s="507">
        <v>8</v>
      </c>
      <c r="K136" s="539"/>
      <c r="L136" s="393"/>
      <c r="M136" s="539"/>
      <c r="N136" s="397"/>
      <c r="O136" s="395" cm="1">
        <f t="array" ref="O136">IFERROR(_xlfn.IFS(R136=1,1,Q136=1,1,P136=1,1,S136=1,1),0)</f>
        <v>1</v>
      </c>
      <c r="Q136" s="526">
        <v>1</v>
      </c>
      <c r="R136" s="526"/>
      <c r="S136" s="526"/>
      <c r="T136" s="395" cm="1">
        <f t="array" ref="T136">IFERROR(_xlfn.IFS(W136=1,1,V136=1,1,U136=1,1,X136=1,1),0)</f>
        <v>0</v>
      </c>
    </row>
    <row r="137" spans="1:57" s="536" customFormat="1" ht="12.75" hidden="1" customHeight="1" outlineLevel="2">
      <c r="A137" s="539"/>
      <c r="B137" s="523" t="s">
        <v>2434</v>
      </c>
      <c r="C137" s="522" t="s">
        <v>2239</v>
      </c>
      <c r="D137" s="531" t="s">
        <v>2170</v>
      </c>
      <c r="E137" s="532"/>
      <c r="F137" s="533" t="s">
        <v>2446</v>
      </c>
      <c r="G137" s="539"/>
      <c r="H137" s="503" t="s">
        <v>48</v>
      </c>
      <c r="I137" s="400" t="str">
        <f t="shared" ref="I137:I142" si="13">CONCATENATE(H137,"-",J137)</f>
        <v>BB01-8</v>
      </c>
      <c r="J137" s="507">
        <v>8</v>
      </c>
      <c r="K137" s="539"/>
      <c r="L137" s="393"/>
      <c r="M137" s="539"/>
      <c r="N137" s="397"/>
      <c r="O137" s="395" cm="1">
        <f t="array" ref="O137">IFERROR(_xlfn.IFS(R137=1,1,Q137=1,1,P137=1,1,S137=1,1),0)</f>
        <v>1</v>
      </c>
      <c r="P137" s="526"/>
      <c r="Q137" s="526">
        <v>1</v>
      </c>
      <c r="R137" s="526"/>
      <c r="S137" s="526"/>
      <c r="T137" s="395" cm="1">
        <f t="array" ref="T137">IFERROR(_xlfn.IFS(W137=1,1,V137=1,1,U137=1,1,X137=1,1),0)</f>
        <v>0</v>
      </c>
    </row>
    <row r="138" spans="1:57" s="536" customFormat="1" ht="12.75" hidden="1" customHeight="1" outlineLevel="2">
      <c r="A138" s="539"/>
      <c r="B138" s="523" t="s">
        <v>2434</v>
      </c>
      <c r="C138" s="522" t="s">
        <v>2437</v>
      </c>
      <c r="D138" s="531" t="s">
        <v>2170</v>
      </c>
      <c r="E138" s="532"/>
      <c r="F138" s="533" t="s">
        <v>2447</v>
      </c>
      <c r="G138" s="539"/>
      <c r="H138" s="503" t="s">
        <v>48</v>
      </c>
      <c r="I138" s="400" t="str">
        <f t="shared" si="13"/>
        <v>BB01-8</v>
      </c>
      <c r="J138" s="507">
        <v>8</v>
      </c>
      <c r="K138" s="539"/>
      <c r="L138" s="393"/>
      <c r="M138" s="539"/>
      <c r="N138" s="397"/>
      <c r="O138" s="395" cm="1">
        <f t="array" ref="O138">IFERROR(_xlfn.IFS(R138=1,1,Q138=1,1,P138=1,1,S138=1,1),0)</f>
        <v>1</v>
      </c>
      <c r="P138" s="526"/>
      <c r="Q138" s="526">
        <v>1</v>
      </c>
      <c r="R138" s="526"/>
      <c r="S138" s="526"/>
      <c r="T138" s="395" cm="1">
        <f t="array" ref="T138">IFERROR(_xlfn.IFS(W138=1,1,V138=1,1,U138=1,1,X138=1,1),0)</f>
        <v>0</v>
      </c>
    </row>
    <row r="139" spans="1:57" s="536" customFormat="1" ht="12.75" hidden="1" customHeight="1" outlineLevel="2">
      <c r="A139" s="539"/>
      <c r="B139" s="523" t="s">
        <v>2434</v>
      </c>
      <c r="C139" s="522" t="s">
        <v>2333</v>
      </c>
      <c r="D139" s="531" t="s">
        <v>2440</v>
      </c>
      <c r="E139" s="532">
        <v>1030</v>
      </c>
      <c r="F139" s="533" t="s">
        <v>2448</v>
      </c>
      <c r="G139" s="539"/>
      <c r="H139" s="503" t="s">
        <v>48</v>
      </c>
      <c r="I139" s="400" t="str">
        <f t="shared" si="13"/>
        <v>BB01-8</v>
      </c>
      <c r="J139" s="507">
        <v>8</v>
      </c>
      <c r="K139" s="539"/>
      <c r="L139" s="393"/>
      <c r="M139" s="539"/>
      <c r="N139" s="397"/>
      <c r="O139" s="395" cm="1">
        <f t="array" ref="O139">IFERROR(_xlfn.IFS(R139=1,1,Q139=1,1,P139=1,1,S139=1,1),0)</f>
        <v>1</v>
      </c>
      <c r="P139" s="526"/>
      <c r="Q139" s="526">
        <v>1</v>
      </c>
      <c r="R139" s="526"/>
      <c r="S139" s="526"/>
      <c r="T139" s="395" cm="1">
        <f t="array" ref="T139">IFERROR(_xlfn.IFS(W139=1,1,V139=1,1,U139=1,1,X139=1,1),0)</f>
        <v>0</v>
      </c>
    </row>
    <row r="140" spans="1:57" s="536" customFormat="1" ht="12.75" hidden="1" customHeight="1" outlineLevel="2">
      <c r="A140" s="539"/>
      <c r="B140" s="523" t="s">
        <v>2434</v>
      </c>
      <c r="C140" s="522" t="s">
        <v>2333</v>
      </c>
      <c r="D140" s="531" t="s">
        <v>2440</v>
      </c>
      <c r="E140" s="532">
        <v>1031</v>
      </c>
      <c r="F140" s="533" t="s">
        <v>2449</v>
      </c>
      <c r="G140" s="539"/>
      <c r="H140" s="503" t="s">
        <v>48</v>
      </c>
      <c r="I140" s="400" t="str">
        <f t="shared" si="13"/>
        <v>BB01-8</v>
      </c>
      <c r="J140" s="507">
        <v>8</v>
      </c>
      <c r="K140" s="539"/>
      <c r="L140" s="393"/>
      <c r="M140" s="539"/>
      <c r="N140" s="397"/>
      <c r="O140" s="395" cm="1">
        <f t="array" ref="O140">IFERROR(_xlfn.IFS(R140=1,1,Q140=1,1,P140=1,1,S140=1,1),0)</f>
        <v>1</v>
      </c>
      <c r="P140" s="526"/>
      <c r="Q140" s="526">
        <v>1</v>
      </c>
      <c r="R140" s="526"/>
      <c r="S140" s="526"/>
      <c r="T140" s="395" cm="1">
        <f t="array" ref="T140">IFERROR(_xlfn.IFS(W140=1,1,V140=1,1,U140=1,1,X140=1,1),0)</f>
        <v>0</v>
      </c>
    </row>
    <row r="141" spans="1:57" s="536" customFormat="1" ht="12.75" hidden="1" customHeight="1" outlineLevel="2">
      <c r="A141" s="539"/>
      <c r="B141" s="523" t="s">
        <v>2434</v>
      </c>
      <c r="C141" s="522" t="s">
        <v>2333</v>
      </c>
      <c r="D141" s="531" t="s">
        <v>2443</v>
      </c>
      <c r="E141" s="532">
        <v>1044</v>
      </c>
      <c r="F141" s="533" t="s">
        <v>2450</v>
      </c>
      <c r="G141" s="539"/>
      <c r="H141" s="503" t="s">
        <v>48</v>
      </c>
      <c r="I141" s="400" t="str">
        <f t="shared" si="13"/>
        <v>BB01-8</v>
      </c>
      <c r="J141" s="507">
        <v>8</v>
      </c>
      <c r="K141" s="539"/>
      <c r="L141" s="393"/>
      <c r="M141" s="539"/>
      <c r="N141" s="397"/>
      <c r="O141" s="395" cm="1">
        <f t="array" ref="O141">IFERROR(_xlfn.IFS(R141=1,1,Q141=1,1,P141=1,1,S141=1,1),0)</f>
        <v>1</v>
      </c>
      <c r="P141" s="526"/>
      <c r="Q141" s="526">
        <v>1</v>
      </c>
      <c r="R141" s="526"/>
      <c r="S141" s="526"/>
      <c r="T141" s="395" cm="1">
        <f t="array" ref="T141">IFERROR(_xlfn.IFS(W141=1,1,V141=1,1,U141=1,1,X141=1,1),0)</f>
        <v>0</v>
      </c>
    </row>
    <row r="142" spans="1:57" s="536" customFormat="1" ht="12.75" hidden="1" customHeight="1" outlineLevel="2">
      <c r="A142" s="539"/>
      <c r="B142" s="523" t="s">
        <v>2434</v>
      </c>
      <c r="C142" s="522" t="s">
        <v>2333</v>
      </c>
      <c r="D142" s="531" t="s">
        <v>2443</v>
      </c>
      <c r="E142" s="532">
        <v>1045</v>
      </c>
      <c r="F142" s="533" t="s">
        <v>2449</v>
      </c>
      <c r="G142" s="539"/>
      <c r="H142" s="503" t="s">
        <v>48</v>
      </c>
      <c r="I142" s="400" t="str">
        <f t="shared" si="13"/>
        <v>BB01-8</v>
      </c>
      <c r="J142" s="507">
        <v>8</v>
      </c>
      <c r="K142" s="539"/>
      <c r="L142" s="393"/>
      <c r="M142" s="539"/>
      <c r="N142" s="397"/>
      <c r="O142" s="395" cm="1">
        <f t="array" ref="O142">IFERROR(_xlfn.IFS(R142=1,1,Q142=1,1,P142=1,1,S142=1,1),0)</f>
        <v>1</v>
      </c>
      <c r="P142" s="526"/>
      <c r="Q142" s="526">
        <v>1</v>
      </c>
      <c r="R142" s="526"/>
      <c r="S142" s="526"/>
      <c r="T142" s="395" cm="1">
        <f t="array" ref="T142">IFERROR(_xlfn.IFS(W142=1,1,V142=1,1,U142=1,1,X142=1,1),0)</f>
        <v>0</v>
      </c>
    </row>
    <row r="143" spans="1:57" s="536" customFormat="1" ht="3" hidden="1" customHeight="1" outlineLevel="1">
      <c r="A143" s="539"/>
      <c r="B143" s="540"/>
      <c r="C143" s="537"/>
      <c r="D143" s="538"/>
      <c r="E143" s="532"/>
      <c r="F143" s="533"/>
      <c r="G143" s="539"/>
      <c r="H143" s="503"/>
      <c r="I143" s="400"/>
      <c r="J143" s="507"/>
      <c r="K143" s="539"/>
      <c r="L143" s="393"/>
      <c r="M143" s="539"/>
      <c r="N143" s="397"/>
      <c r="O143" s="526"/>
      <c r="P143" s="526"/>
      <c r="R143" s="526"/>
      <c r="S143" s="526"/>
      <c r="T143" s="526"/>
    </row>
    <row r="144" spans="1:57" s="536" customFormat="1" ht="13.2" hidden="1" outlineLevel="1">
      <c r="A144" s="539"/>
      <c r="B144" s="460" t="s">
        <v>159</v>
      </c>
      <c r="C144" s="460" t="s">
        <v>67</v>
      </c>
      <c r="D144" s="460"/>
      <c r="E144" s="460"/>
      <c r="F144" s="460"/>
      <c r="G144" s="539"/>
      <c r="H144" s="503"/>
      <c r="I144" s="400"/>
      <c r="J144" s="507"/>
      <c r="K144" s="539"/>
      <c r="L144" s="393"/>
      <c r="M144" s="539"/>
      <c r="N144" s="397"/>
      <c r="O144" s="526"/>
      <c r="P144" s="526"/>
      <c r="R144" s="526"/>
      <c r="S144" s="526"/>
      <c r="T144" s="526"/>
    </row>
    <row r="145" spans="1:57" s="536" customFormat="1" ht="3" hidden="1" customHeight="1" outlineLevel="2">
      <c r="A145" s="539"/>
      <c r="B145" s="540"/>
      <c r="C145" s="537"/>
      <c r="D145" s="538"/>
      <c r="E145" s="532"/>
      <c r="F145" s="533"/>
      <c r="G145" s="539"/>
      <c r="H145" s="503"/>
      <c r="I145" s="400"/>
      <c r="J145" s="507"/>
      <c r="K145" s="539"/>
      <c r="L145" s="393"/>
      <c r="M145" s="539"/>
      <c r="N145" s="397"/>
      <c r="O145" s="526"/>
      <c r="P145" s="526"/>
      <c r="R145" s="526"/>
      <c r="S145" s="526"/>
      <c r="T145" s="526"/>
    </row>
    <row r="146" spans="1:57" s="536" customFormat="1" ht="12.75" hidden="1" customHeight="1" outlineLevel="2">
      <c r="A146" s="539"/>
      <c r="B146" s="523" t="s">
        <v>2434</v>
      </c>
      <c r="C146" s="522" t="s">
        <v>2239</v>
      </c>
      <c r="D146" s="531" t="s">
        <v>2170</v>
      </c>
      <c r="E146" s="532"/>
      <c r="F146" s="533" t="s">
        <v>2451</v>
      </c>
      <c r="G146" s="539"/>
      <c r="H146" s="503" t="s">
        <v>48</v>
      </c>
      <c r="I146" s="400" t="str">
        <f t="shared" ref="I146:I159" si="14">CONCATENATE(H146,"-",J146)</f>
        <v>BB01-9</v>
      </c>
      <c r="J146" s="507">
        <v>9</v>
      </c>
      <c r="K146" s="539"/>
      <c r="L146" s="393"/>
      <c r="M146" s="539"/>
      <c r="N146" s="397"/>
      <c r="O146" s="395" cm="1">
        <f t="array" ref="O146">IFERROR(_xlfn.IFS(R146=1,1,Q146=1,1,P146=1,1,S146=1,1),0)</f>
        <v>1</v>
      </c>
      <c r="P146" s="526"/>
      <c r="Q146" s="526">
        <v>1</v>
      </c>
      <c r="R146" s="526"/>
      <c r="S146" s="526"/>
      <c r="T146" s="395" cm="1">
        <f t="array" ref="T146">IFERROR(_xlfn.IFS(W146=1,1,V146=1,1,U146=1,1,X146=1,1),0)</f>
        <v>0</v>
      </c>
    </row>
    <row r="147" spans="1:57" s="536" customFormat="1" ht="12.75" hidden="1" customHeight="1" outlineLevel="2">
      <c r="A147" s="539"/>
      <c r="B147" s="523" t="s">
        <v>2434</v>
      </c>
      <c r="C147" s="522" t="s">
        <v>2239</v>
      </c>
      <c r="D147" s="531" t="s">
        <v>2170</v>
      </c>
      <c r="E147" s="532"/>
      <c r="F147" s="533" t="s">
        <v>2452</v>
      </c>
      <c r="G147" s="539"/>
      <c r="H147" s="503" t="s">
        <v>48</v>
      </c>
      <c r="I147" s="400" t="str">
        <f t="shared" si="14"/>
        <v>BB01-9</v>
      </c>
      <c r="J147" s="507">
        <v>9</v>
      </c>
      <c r="K147" s="539"/>
      <c r="L147" s="393"/>
      <c r="M147" s="539"/>
      <c r="N147" s="397"/>
      <c r="O147" s="395" cm="1">
        <f t="array" ref="O147">IFERROR(_xlfn.IFS(R147=1,1,Q147=1,1,P147=1,1,S147=1,1),0)</f>
        <v>1</v>
      </c>
      <c r="P147" s="526"/>
      <c r="Q147" s="526">
        <v>1</v>
      </c>
      <c r="R147" s="526"/>
      <c r="S147" s="526"/>
      <c r="T147" s="395" cm="1">
        <f t="array" ref="T147">IFERROR(_xlfn.IFS(W147=1,1,V147=1,1,U147=1,1,X147=1,1),0)</f>
        <v>0</v>
      </c>
    </row>
    <row r="148" spans="1:57" s="536" customFormat="1" ht="12.75" hidden="1" customHeight="1" outlineLevel="2">
      <c r="A148" s="539"/>
      <c r="B148" s="523" t="s">
        <v>2434</v>
      </c>
      <c r="C148" s="522" t="s">
        <v>2239</v>
      </c>
      <c r="D148" s="531" t="s">
        <v>2170</v>
      </c>
      <c r="E148" s="532"/>
      <c r="F148" s="533" t="s">
        <v>2453</v>
      </c>
      <c r="G148" s="539"/>
      <c r="H148" s="503" t="s">
        <v>48</v>
      </c>
      <c r="I148" s="400" t="str">
        <f t="shared" si="14"/>
        <v>BB01-9</v>
      </c>
      <c r="J148" s="507">
        <v>9</v>
      </c>
      <c r="K148" s="539"/>
      <c r="L148" s="393"/>
      <c r="M148" s="539"/>
      <c r="N148" s="397"/>
      <c r="O148" s="395" cm="1">
        <f t="array" ref="O148">IFERROR(_xlfn.IFS(R148=1,1,Q148=1,1,P148=1,1,S148=1,1),0)</f>
        <v>1</v>
      </c>
      <c r="P148" s="526"/>
      <c r="Q148" s="526">
        <v>1</v>
      </c>
      <c r="R148" s="526"/>
      <c r="S148" s="526"/>
      <c r="T148" s="395" cm="1">
        <f t="array" ref="T148">IFERROR(_xlfn.IFS(W148=1,1,V148=1,1,U148=1,1,X148=1,1),0)</f>
        <v>0</v>
      </c>
    </row>
    <row r="149" spans="1:57" s="536" customFormat="1" ht="12.75" hidden="1" customHeight="1" outlineLevel="2">
      <c r="A149" s="539"/>
      <c r="B149" s="523" t="s">
        <v>2434</v>
      </c>
      <c r="C149" s="522" t="s">
        <v>2437</v>
      </c>
      <c r="D149" s="531" t="s">
        <v>2170</v>
      </c>
      <c r="E149" s="532"/>
      <c r="F149" s="533" t="s">
        <v>2454</v>
      </c>
      <c r="G149" s="539"/>
      <c r="H149" s="503" t="s">
        <v>48</v>
      </c>
      <c r="I149" s="400" t="str">
        <f t="shared" si="14"/>
        <v>BB01-9</v>
      </c>
      <c r="J149" s="507">
        <v>9</v>
      </c>
      <c r="K149" s="539"/>
      <c r="L149" s="393"/>
      <c r="M149" s="539"/>
      <c r="N149" s="397"/>
      <c r="O149" s="395" cm="1">
        <f t="array" ref="O149">IFERROR(_xlfn.IFS(R149=1,1,Q149=1,1,P149=1,1,S149=1,1),0)</f>
        <v>1</v>
      </c>
      <c r="P149" s="526"/>
      <c r="Q149" s="526">
        <v>1</v>
      </c>
      <c r="R149" s="526"/>
      <c r="S149" s="526"/>
      <c r="T149" s="395" cm="1">
        <f t="array" ref="T149">IFERROR(_xlfn.IFS(W149=1,1,V149=1,1,U149=1,1,X149=1,1),0)</f>
        <v>0</v>
      </c>
    </row>
    <row r="150" spans="1:57" s="536" customFormat="1" ht="12.75" hidden="1" customHeight="1" outlineLevel="2">
      <c r="A150" s="539"/>
      <c r="B150" s="523" t="s">
        <v>2434</v>
      </c>
      <c r="C150" s="522" t="s">
        <v>2333</v>
      </c>
      <c r="D150" s="531" t="s">
        <v>2440</v>
      </c>
      <c r="E150" s="532">
        <v>1032</v>
      </c>
      <c r="F150" s="533" t="s">
        <v>2455</v>
      </c>
      <c r="G150" s="539"/>
      <c r="H150" s="503" t="s">
        <v>48</v>
      </c>
      <c r="I150" s="400" t="str">
        <f t="shared" si="14"/>
        <v>BB01-9</v>
      </c>
      <c r="J150" s="507">
        <v>9</v>
      </c>
      <c r="K150" s="539"/>
      <c r="L150" s="393"/>
      <c r="M150" s="539"/>
      <c r="N150" s="397"/>
      <c r="O150" s="395" cm="1">
        <f t="array" ref="O150">IFERROR(_xlfn.IFS(R150=1,1,Q150=1,1,P150=1,1,S150=1,1),0)</f>
        <v>1</v>
      </c>
      <c r="P150" s="526"/>
      <c r="Q150" s="526">
        <v>1</v>
      </c>
      <c r="R150" s="526"/>
      <c r="S150" s="526"/>
      <c r="T150" s="395" cm="1">
        <f t="array" ref="T150">IFERROR(_xlfn.IFS(W150=1,1,V150=1,1,U150=1,1,X150=1,1),0)</f>
        <v>0</v>
      </c>
    </row>
    <row r="151" spans="1:57" s="536" customFormat="1" ht="12.75" hidden="1" customHeight="1" outlineLevel="2">
      <c r="A151" s="539"/>
      <c r="B151" s="523" t="s">
        <v>2434</v>
      </c>
      <c r="C151" s="522" t="s">
        <v>2333</v>
      </c>
      <c r="D151" s="531" t="s">
        <v>2440</v>
      </c>
      <c r="E151" s="532">
        <v>1033</v>
      </c>
      <c r="F151" s="533" t="s">
        <v>2456</v>
      </c>
      <c r="G151" s="539"/>
      <c r="H151" s="503" t="s">
        <v>48</v>
      </c>
      <c r="I151" s="400" t="str">
        <f t="shared" si="14"/>
        <v>BB01-9</v>
      </c>
      <c r="J151" s="507">
        <v>9</v>
      </c>
      <c r="K151" s="539"/>
      <c r="L151" s="393"/>
      <c r="M151" s="539"/>
      <c r="N151" s="397"/>
      <c r="O151" s="395" cm="1">
        <f t="array" ref="O151">IFERROR(_xlfn.IFS(R151=1,1,Q151=1,1,P151=1,1,S151=1,1),0)</f>
        <v>1</v>
      </c>
      <c r="P151" s="526"/>
      <c r="Q151" s="526">
        <v>1</v>
      </c>
      <c r="R151" s="526"/>
      <c r="S151" s="526"/>
      <c r="T151" s="395" cm="1">
        <f t="array" ref="T151">IFERROR(_xlfn.IFS(W151=1,1,V151=1,1,U151=1,1,X151=1,1),0)</f>
        <v>0</v>
      </c>
    </row>
    <row r="152" spans="1:57" s="536" customFormat="1" ht="12.75" hidden="1" customHeight="1" outlineLevel="2">
      <c r="A152" s="539"/>
      <c r="B152" s="523" t="s">
        <v>2434</v>
      </c>
      <c r="C152" s="522" t="s">
        <v>2333</v>
      </c>
      <c r="D152" s="531" t="s">
        <v>2443</v>
      </c>
      <c r="E152" s="532">
        <v>1046</v>
      </c>
      <c r="F152" s="533" t="s">
        <v>2455</v>
      </c>
      <c r="G152" s="539"/>
      <c r="H152" s="503" t="s">
        <v>48</v>
      </c>
      <c r="I152" s="400" t="str">
        <f t="shared" si="14"/>
        <v>BB01-9</v>
      </c>
      <c r="J152" s="507">
        <v>9</v>
      </c>
      <c r="K152" s="539"/>
      <c r="L152" s="393"/>
      <c r="M152" s="539"/>
      <c r="N152" s="397"/>
      <c r="O152" s="395" cm="1">
        <f t="array" ref="O152">IFERROR(_xlfn.IFS(R152=1,1,Q152=1,1,P152=1,1,S152=1,1),0)</f>
        <v>1</v>
      </c>
      <c r="P152" s="526"/>
      <c r="Q152" s="526">
        <v>1</v>
      </c>
      <c r="R152" s="526"/>
      <c r="S152" s="526"/>
      <c r="T152" s="395" cm="1">
        <f t="array" ref="T152">IFERROR(_xlfn.IFS(W152=1,1,V152=1,1,U152=1,1,X152=1,1),0)</f>
        <v>0</v>
      </c>
    </row>
    <row r="153" spans="1:57" s="536" customFormat="1" ht="12.75" hidden="1" customHeight="1" outlineLevel="2">
      <c r="A153" s="539"/>
      <c r="B153" s="523" t="s">
        <v>2434</v>
      </c>
      <c r="C153" s="522" t="s">
        <v>2333</v>
      </c>
      <c r="D153" s="531" t="s">
        <v>2443</v>
      </c>
      <c r="E153" s="532">
        <v>1047</v>
      </c>
      <c r="F153" s="533" t="s">
        <v>2457</v>
      </c>
      <c r="G153" s="539"/>
      <c r="H153" s="503" t="s">
        <v>48</v>
      </c>
      <c r="I153" s="400" t="str">
        <f t="shared" si="14"/>
        <v>BB01-9</v>
      </c>
      <c r="J153" s="507">
        <v>9</v>
      </c>
      <c r="K153" s="539"/>
      <c r="L153" s="393"/>
      <c r="M153" s="539"/>
      <c r="N153" s="397"/>
      <c r="O153" s="395" cm="1">
        <f t="array" ref="O153">IFERROR(_xlfn.IFS(R153=1,1,Q153=1,1,P153=1,1,S153=1,1),0)</f>
        <v>1</v>
      </c>
      <c r="P153" s="526"/>
      <c r="Q153" s="526">
        <v>1</v>
      </c>
      <c r="R153" s="526"/>
      <c r="S153" s="526"/>
      <c r="T153" s="395" cm="1">
        <f t="array" ref="T153">IFERROR(_xlfn.IFS(W153=1,1,V153=1,1,U153=1,1,X153=1,1),0)</f>
        <v>0</v>
      </c>
      <c r="U153" s="526"/>
      <c r="V153" s="526"/>
      <c r="W153" s="526"/>
      <c r="X153" s="526"/>
      <c r="BE153" s="539"/>
    </row>
    <row r="154" spans="1:57" s="536" customFormat="1" ht="12.75" hidden="1" customHeight="1" outlineLevel="2">
      <c r="A154" s="539"/>
      <c r="B154" s="523" t="s">
        <v>2434</v>
      </c>
      <c r="C154" s="522" t="s">
        <v>2333</v>
      </c>
      <c r="D154" s="531" t="s">
        <v>2170</v>
      </c>
      <c r="E154" s="532">
        <v>1047</v>
      </c>
      <c r="F154" s="533" t="s">
        <v>2458</v>
      </c>
      <c r="G154" s="539"/>
      <c r="H154" s="503" t="s">
        <v>48</v>
      </c>
      <c r="I154" s="400" t="str">
        <f t="shared" si="14"/>
        <v>BB01-9</v>
      </c>
      <c r="J154" s="507">
        <v>9</v>
      </c>
      <c r="K154" s="539"/>
      <c r="L154" s="393"/>
      <c r="M154" s="539"/>
      <c r="N154" s="397"/>
      <c r="O154" s="395" cm="1">
        <f t="array" ref="O154">IFERROR(_xlfn.IFS(R154=1,1,Q154=1,1,P154=1,1,S154=1,1),0)</f>
        <v>1</v>
      </c>
      <c r="P154" s="526"/>
      <c r="Q154" s="526">
        <v>1</v>
      </c>
      <c r="R154" s="526"/>
      <c r="S154" s="526"/>
      <c r="T154" s="395" cm="1">
        <f t="array" ref="T154">IFERROR(_xlfn.IFS(W154=1,1,V154=1,1,U154=1,1,X154=1,1),0)</f>
        <v>0</v>
      </c>
      <c r="U154" s="526"/>
      <c r="V154" s="526"/>
      <c r="W154" s="526"/>
      <c r="X154" s="526"/>
      <c r="BE154" s="539"/>
    </row>
    <row r="155" spans="1:57" s="536" customFormat="1" ht="12.75" hidden="1" customHeight="1" outlineLevel="2">
      <c r="A155" s="539"/>
      <c r="B155" s="523" t="s">
        <v>2434</v>
      </c>
      <c r="C155" s="522" t="s">
        <v>2333</v>
      </c>
      <c r="D155" s="531" t="s">
        <v>2170</v>
      </c>
      <c r="E155" s="532">
        <v>1048</v>
      </c>
      <c r="F155" s="533" t="s">
        <v>2459</v>
      </c>
      <c r="G155" s="539"/>
      <c r="H155" s="503" t="s">
        <v>48</v>
      </c>
      <c r="I155" s="400" t="str">
        <f t="shared" si="14"/>
        <v>BB01-9</v>
      </c>
      <c r="J155" s="507">
        <v>9</v>
      </c>
      <c r="K155" s="539"/>
      <c r="L155" s="393"/>
      <c r="M155" s="539"/>
      <c r="N155" s="397"/>
      <c r="O155" s="395" cm="1">
        <f t="array" ref="O155">IFERROR(_xlfn.IFS(R155=1,1,Q155=1,1,P155=1,1,S155=1,1),0)</f>
        <v>1</v>
      </c>
      <c r="P155" s="526"/>
      <c r="Q155" s="526">
        <v>1</v>
      </c>
      <c r="R155" s="526"/>
      <c r="S155" s="526"/>
      <c r="T155" s="395" cm="1">
        <f t="array" ref="T155">IFERROR(_xlfn.IFS(W155=1,1,V155=1,1,U155=1,1,X155=1,1),0)</f>
        <v>0</v>
      </c>
      <c r="U155" s="526"/>
      <c r="V155" s="526"/>
      <c r="W155" s="526"/>
      <c r="X155" s="526"/>
      <c r="BE155" s="539"/>
    </row>
    <row r="156" spans="1:57" s="536" customFormat="1" ht="12.75" hidden="1" customHeight="1" outlineLevel="2">
      <c r="A156" s="539"/>
      <c r="B156" s="523" t="s">
        <v>2434</v>
      </c>
      <c r="C156" s="522" t="s">
        <v>2333</v>
      </c>
      <c r="D156" s="531" t="s">
        <v>2170</v>
      </c>
      <c r="E156" s="532">
        <v>1049</v>
      </c>
      <c r="F156" s="533" t="s">
        <v>2460</v>
      </c>
      <c r="G156" s="539"/>
      <c r="H156" s="503" t="s">
        <v>48</v>
      </c>
      <c r="I156" s="400" t="str">
        <f t="shared" si="14"/>
        <v>BB01-9</v>
      </c>
      <c r="J156" s="507">
        <v>9</v>
      </c>
      <c r="K156" s="539"/>
      <c r="L156" s="393"/>
      <c r="M156" s="539"/>
      <c r="N156" s="397"/>
      <c r="O156" s="395" cm="1">
        <f t="array" ref="O156">IFERROR(_xlfn.IFS(R156=1,1,Q156=1,1,P156=1,1,S156=1,1),0)</f>
        <v>1</v>
      </c>
      <c r="P156" s="526"/>
      <c r="Q156" s="526">
        <v>1</v>
      </c>
      <c r="R156" s="526"/>
      <c r="S156" s="526"/>
      <c r="T156" s="395" cm="1">
        <f t="array" ref="T156">IFERROR(_xlfn.IFS(W156=1,1,V156=1,1,U156=1,1,X156=1,1),0)</f>
        <v>0</v>
      </c>
      <c r="U156" s="526"/>
      <c r="V156" s="526"/>
      <c r="W156" s="526"/>
      <c r="X156" s="526"/>
      <c r="BE156" s="539"/>
    </row>
    <row r="157" spans="1:57" s="536" customFormat="1" ht="12.75" hidden="1" customHeight="1" outlineLevel="2">
      <c r="A157" s="539"/>
      <c r="B157" s="523" t="s">
        <v>2434</v>
      </c>
      <c r="C157" s="522" t="s">
        <v>2333</v>
      </c>
      <c r="D157" s="531" t="s">
        <v>2170</v>
      </c>
      <c r="E157" s="532">
        <v>1050</v>
      </c>
      <c r="F157" s="533" t="s">
        <v>2461</v>
      </c>
      <c r="G157" s="539"/>
      <c r="H157" s="503" t="s">
        <v>48</v>
      </c>
      <c r="I157" s="400" t="str">
        <f t="shared" si="14"/>
        <v>BB01-9</v>
      </c>
      <c r="J157" s="507">
        <v>9</v>
      </c>
      <c r="K157" s="539"/>
      <c r="L157" s="393"/>
      <c r="M157" s="539"/>
      <c r="N157" s="397"/>
      <c r="O157" s="395" cm="1">
        <f t="array" ref="O157">IFERROR(_xlfn.IFS(R157=1,1,Q157=1,1,P157=1,1,S157=1,1),0)</f>
        <v>1</v>
      </c>
      <c r="P157" s="526"/>
      <c r="Q157" s="526">
        <v>1</v>
      </c>
      <c r="R157" s="526"/>
      <c r="S157" s="526"/>
      <c r="T157" s="395" cm="1">
        <f t="array" ref="T157">IFERROR(_xlfn.IFS(W157=1,1,V157=1,1,U157=1,1,X157=1,1),0)</f>
        <v>0</v>
      </c>
      <c r="U157" s="526"/>
      <c r="V157" s="526"/>
      <c r="W157" s="526"/>
      <c r="X157" s="526"/>
      <c r="BE157" s="539"/>
    </row>
    <row r="158" spans="1:57" s="536" customFormat="1" ht="12.75" hidden="1" customHeight="1" outlineLevel="2">
      <c r="A158" s="539"/>
      <c r="B158" s="523" t="s">
        <v>2434</v>
      </c>
      <c r="C158" s="522" t="s">
        <v>2462</v>
      </c>
      <c r="D158" s="531" t="s">
        <v>2463</v>
      </c>
      <c r="E158" s="532">
        <v>1014</v>
      </c>
      <c r="F158" s="533" t="s">
        <v>2464</v>
      </c>
      <c r="G158" s="539"/>
      <c r="H158" s="503" t="s">
        <v>48</v>
      </c>
      <c r="I158" s="400" t="str">
        <f t="shared" si="14"/>
        <v>BB01-9</v>
      </c>
      <c r="J158" s="507">
        <v>9</v>
      </c>
      <c r="K158" s="539"/>
      <c r="L158" s="393"/>
      <c r="M158" s="539"/>
      <c r="N158" s="397"/>
      <c r="O158" s="395" cm="1">
        <f t="array" ref="O158">IFERROR(_xlfn.IFS(R158=1,1,Q158=1,1,P158=1,1,S158=1,1),0)</f>
        <v>1</v>
      </c>
      <c r="P158" s="526"/>
      <c r="Q158" s="526">
        <v>1</v>
      </c>
      <c r="R158" s="526"/>
      <c r="S158" s="526"/>
      <c r="T158" s="395" cm="1">
        <f t="array" ref="T158">IFERROR(_xlfn.IFS(W158=1,1,V158=1,1,U158=1,1,X158=1,1),0)</f>
        <v>0</v>
      </c>
      <c r="U158" s="526"/>
      <c r="V158" s="526"/>
      <c r="W158" s="526"/>
      <c r="X158" s="526"/>
      <c r="BE158" s="539"/>
    </row>
    <row r="159" spans="1:57" s="536" customFormat="1" ht="12.75" hidden="1" customHeight="1" outlineLevel="2">
      <c r="A159" s="539"/>
      <c r="B159" s="523" t="s">
        <v>2434</v>
      </c>
      <c r="C159" s="522" t="s">
        <v>2462</v>
      </c>
      <c r="D159" s="531" t="s">
        <v>2465</v>
      </c>
      <c r="E159" s="532">
        <v>1015</v>
      </c>
      <c r="F159" s="533" t="s">
        <v>2466</v>
      </c>
      <c r="G159" s="539"/>
      <c r="H159" s="503" t="s">
        <v>48</v>
      </c>
      <c r="I159" s="400" t="str">
        <f t="shared" si="14"/>
        <v>BB01-9</v>
      </c>
      <c r="J159" s="507">
        <v>9</v>
      </c>
      <c r="K159" s="539"/>
      <c r="L159" s="393"/>
      <c r="M159" s="539"/>
      <c r="N159" s="397"/>
      <c r="O159" s="395" cm="1">
        <f t="array" ref="O159">IFERROR(_xlfn.IFS(R159=1,1,Q159=1,1,P159=1,1,S159=1,1),0)</f>
        <v>1</v>
      </c>
      <c r="P159" s="526"/>
      <c r="Q159" s="526">
        <v>1</v>
      </c>
      <c r="R159" s="526"/>
      <c r="S159" s="526"/>
      <c r="T159" s="395" cm="1">
        <f t="array" ref="T159">IFERROR(_xlfn.IFS(W159=1,1,V159=1,1,U159=1,1,X159=1,1),0)</f>
        <v>0</v>
      </c>
      <c r="U159" s="526"/>
      <c r="V159" s="526"/>
      <c r="W159" s="526"/>
      <c r="X159" s="526"/>
      <c r="BE159" s="539"/>
    </row>
    <row r="160" spans="1:57" s="536" customFormat="1" ht="3" hidden="1" customHeight="1">
      <c r="A160" s="539"/>
      <c r="B160" s="540"/>
      <c r="C160" s="537"/>
      <c r="D160" s="538"/>
      <c r="E160" s="532"/>
      <c r="F160" s="533"/>
      <c r="G160" s="539"/>
      <c r="H160" s="503"/>
      <c r="I160" s="400"/>
      <c r="J160" s="507"/>
      <c r="K160" s="539"/>
      <c r="L160" s="393"/>
      <c r="M160" s="539"/>
      <c r="N160" s="397"/>
      <c r="O160" s="526"/>
      <c r="P160" s="526"/>
      <c r="Q160" s="526"/>
      <c r="R160" s="526"/>
      <c r="S160" s="526"/>
      <c r="T160" s="526"/>
      <c r="U160" s="526"/>
      <c r="V160" s="526"/>
      <c r="W160" s="526"/>
      <c r="X160" s="526"/>
      <c r="BE160" s="539"/>
    </row>
    <row r="161" spans="1:57" s="541" customFormat="1" ht="12.75" hidden="1" customHeight="1" collapsed="1">
      <c r="A161" s="392"/>
      <c r="B161" s="466" t="s">
        <v>2467</v>
      </c>
      <c r="C161" s="491"/>
      <c r="D161" s="491"/>
      <c r="E161" s="528"/>
      <c r="F161" s="493"/>
      <c r="G161" s="392"/>
      <c r="H161" s="493"/>
      <c r="I161" s="493"/>
      <c r="J161" s="493"/>
      <c r="K161" s="392"/>
      <c r="L161" s="493"/>
      <c r="M161" s="392"/>
      <c r="N161" s="493"/>
      <c r="O161" s="493"/>
      <c r="P161" s="493"/>
      <c r="Q161" s="493"/>
      <c r="R161" s="493"/>
      <c r="S161" s="493"/>
      <c r="T161" s="493"/>
      <c r="U161" s="493"/>
      <c r="V161" s="493"/>
      <c r="W161" s="493"/>
      <c r="X161" s="493"/>
      <c r="BE161" s="392" t="s">
        <v>181</v>
      </c>
    </row>
    <row r="162" spans="1:57" s="541" customFormat="1" ht="3" hidden="1" customHeight="1" outlineLevel="1">
      <c r="A162" s="542"/>
      <c r="B162" s="540"/>
      <c r="C162" s="537"/>
      <c r="D162" s="538"/>
      <c r="E162" s="532"/>
      <c r="F162" s="533"/>
      <c r="G162" s="542"/>
      <c r="H162" s="503"/>
      <c r="I162" s="400"/>
      <c r="J162" s="507"/>
      <c r="K162" s="542"/>
      <c r="L162" s="393"/>
      <c r="M162" s="542"/>
      <c r="N162" s="397"/>
      <c r="O162" s="526"/>
      <c r="P162" s="526"/>
      <c r="Q162" s="526"/>
      <c r="R162" s="526"/>
      <c r="S162" s="526"/>
      <c r="T162" s="526"/>
      <c r="U162" s="526"/>
      <c r="V162" s="526"/>
      <c r="W162" s="526"/>
      <c r="X162" s="526"/>
      <c r="BE162" s="542"/>
    </row>
    <row r="163" spans="1:57" s="541" customFormat="1" ht="12.75" hidden="1" customHeight="1" outlineLevel="1">
      <c r="A163" s="542"/>
      <c r="B163" s="460" t="s">
        <v>82</v>
      </c>
      <c r="C163" s="460" t="s">
        <v>83</v>
      </c>
      <c r="D163" s="460"/>
      <c r="E163" s="460"/>
      <c r="F163" s="460"/>
      <c r="G163" s="542"/>
      <c r="H163" s="503"/>
      <c r="I163" s="400"/>
      <c r="J163" s="507"/>
      <c r="K163" s="542"/>
      <c r="L163" s="393"/>
      <c r="M163" s="542"/>
      <c r="N163" s="397"/>
      <c r="O163" s="526"/>
      <c r="P163" s="526"/>
      <c r="Q163" s="526"/>
      <c r="R163" s="526"/>
      <c r="S163" s="526"/>
      <c r="T163" s="526"/>
      <c r="U163" s="526"/>
      <c r="V163" s="526"/>
      <c r="W163" s="526"/>
      <c r="X163" s="526"/>
      <c r="BE163" s="542"/>
    </row>
    <row r="164" spans="1:57" s="541" customFormat="1" ht="3" hidden="1" customHeight="1" outlineLevel="2">
      <c r="A164" s="542"/>
      <c r="B164" s="540"/>
      <c r="C164" s="537"/>
      <c r="D164" s="538"/>
      <c r="E164" s="532"/>
      <c r="F164" s="533"/>
      <c r="G164" s="542"/>
      <c r="H164" s="503"/>
      <c r="I164" s="400"/>
      <c r="J164" s="507"/>
      <c r="K164" s="542"/>
      <c r="L164" s="393"/>
      <c r="M164" s="542"/>
      <c r="N164" s="397"/>
      <c r="O164" s="526"/>
      <c r="P164" s="526"/>
      <c r="Q164" s="526"/>
      <c r="R164" s="526"/>
      <c r="S164" s="526"/>
      <c r="T164" s="526"/>
      <c r="U164" s="526"/>
      <c r="V164" s="526"/>
      <c r="W164" s="526"/>
      <c r="X164" s="526"/>
      <c r="BE164" s="542"/>
    </row>
    <row r="165" spans="1:57" s="541" customFormat="1" ht="12.75" hidden="1" customHeight="1" outlineLevel="2">
      <c r="A165" s="542"/>
      <c r="B165" s="540"/>
      <c r="C165" s="537" t="s">
        <v>2468</v>
      </c>
      <c r="D165" s="538"/>
      <c r="E165" s="532"/>
      <c r="F165" s="533"/>
      <c r="G165" s="542"/>
      <c r="H165" s="503"/>
      <c r="I165" s="400"/>
      <c r="J165" s="507"/>
      <c r="K165" s="542"/>
      <c r="L165" s="393"/>
      <c r="M165" s="542"/>
      <c r="N165" s="397"/>
      <c r="O165" s="526"/>
      <c r="P165" s="526"/>
      <c r="Q165" s="526"/>
      <c r="R165" s="526"/>
      <c r="S165" s="526"/>
      <c r="T165" s="526"/>
      <c r="U165" s="526"/>
      <c r="V165" s="526"/>
      <c r="W165" s="526"/>
      <c r="X165" s="526"/>
      <c r="BE165" s="542"/>
    </row>
    <row r="166" spans="1:57" s="541" customFormat="1" ht="12.75" hidden="1" customHeight="1" outlineLevel="3">
      <c r="A166" s="542"/>
      <c r="B166" s="540"/>
      <c r="C166" s="537" t="s">
        <v>2469</v>
      </c>
      <c r="D166" s="538"/>
      <c r="E166" s="532"/>
      <c r="F166" s="533"/>
      <c r="G166" s="542"/>
      <c r="H166" s="503" t="s">
        <v>758</v>
      </c>
      <c r="I166" s="400" t="str">
        <f t="shared" ref="I166:I175" si="15">CONCATENATE(H166,"-",J166)</f>
        <v>R25-1</v>
      </c>
      <c r="J166" s="507">
        <v>1</v>
      </c>
      <c r="K166" s="542"/>
      <c r="L166" s="526">
        <v>1</v>
      </c>
      <c r="M166" s="542"/>
      <c r="N166" s="397"/>
      <c r="O166" s="526"/>
      <c r="P166" s="526"/>
      <c r="Q166" s="526"/>
      <c r="R166" s="526"/>
      <c r="S166" s="526"/>
      <c r="T166" s="526"/>
      <c r="U166" s="526"/>
      <c r="V166" s="526"/>
      <c r="W166" s="526"/>
      <c r="X166" s="526"/>
      <c r="BE166" s="542"/>
    </row>
    <row r="167" spans="1:57" s="541" customFormat="1" ht="12.75" hidden="1" customHeight="1" outlineLevel="3">
      <c r="A167" s="542"/>
      <c r="B167" s="540"/>
      <c r="C167" s="522" t="s">
        <v>2239</v>
      </c>
      <c r="D167" s="531" t="s">
        <v>2170</v>
      </c>
      <c r="E167" s="532" t="s">
        <v>2470</v>
      </c>
      <c r="F167" s="533" t="s">
        <v>2471</v>
      </c>
      <c r="G167" s="542"/>
      <c r="H167" s="503" t="s">
        <v>758</v>
      </c>
      <c r="I167" s="400" t="str">
        <f t="shared" si="15"/>
        <v>R25-1</v>
      </c>
      <c r="J167" s="507">
        <v>1</v>
      </c>
      <c r="K167" s="542"/>
      <c r="L167" s="526">
        <v>1</v>
      </c>
      <c r="M167" s="542"/>
      <c r="N167" s="397" t="s">
        <v>610</v>
      </c>
      <c r="O167" s="526"/>
      <c r="P167" s="526"/>
      <c r="Q167" s="526"/>
      <c r="R167" s="526"/>
      <c r="S167" s="526"/>
      <c r="T167" s="526"/>
      <c r="U167" s="526"/>
      <c r="V167" s="526"/>
      <c r="W167" s="526"/>
      <c r="X167" s="526"/>
      <c r="BE167" s="542"/>
    </row>
    <row r="168" spans="1:57" s="541" customFormat="1" ht="12.75" hidden="1" customHeight="1" outlineLevel="3">
      <c r="A168" s="542"/>
      <c r="B168" s="540"/>
      <c r="C168" s="522" t="s">
        <v>2239</v>
      </c>
      <c r="D168" s="531" t="s">
        <v>2170</v>
      </c>
      <c r="E168" s="532" t="s">
        <v>2472</v>
      </c>
      <c r="F168" s="533" t="s">
        <v>2473</v>
      </c>
      <c r="G168" s="542"/>
      <c r="H168" s="503" t="s">
        <v>758</v>
      </c>
      <c r="I168" s="400" t="str">
        <f t="shared" si="15"/>
        <v>R25-1</v>
      </c>
      <c r="J168" s="507">
        <v>1</v>
      </c>
      <c r="K168" s="542"/>
      <c r="L168" s="526">
        <v>1</v>
      </c>
      <c r="M168" s="542"/>
      <c r="N168" s="397" t="s">
        <v>610</v>
      </c>
      <c r="O168" s="526"/>
      <c r="P168" s="526"/>
      <c r="Q168" s="526"/>
      <c r="R168" s="526"/>
      <c r="S168" s="526"/>
      <c r="T168" s="526"/>
      <c r="U168" s="526"/>
      <c r="V168" s="526"/>
      <c r="W168" s="526"/>
      <c r="X168" s="526"/>
      <c r="BE168" s="542"/>
    </row>
    <row r="169" spans="1:57" s="541" customFormat="1" ht="12.75" hidden="1" customHeight="1" outlineLevel="3">
      <c r="A169" s="542"/>
      <c r="B169" s="540"/>
      <c r="C169" s="522" t="s">
        <v>2239</v>
      </c>
      <c r="D169" s="531" t="s">
        <v>2170</v>
      </c>
      <c r="E169" s="532" t="s">
        <v>2474</v>
      </c>
      <c r="F169" s="533" t="s">
        <v>2475</v>
      </c>
      <c r="G169" s="542"/>
      <c r="H169" s="503" t="s">
        <v>758</v>
      </c>
      <c r="I169" s="400" t="str">
        <f t="shared" si="15"/>
        <v>R25-1</v>
      </c>
      <c r="J169" s="507">
        <v>1</v>
      </c>
      <c r="K169" s="542"/>
      <c r="L169" s="526">
        <v>1</v>
      </c>
      <c r="M169" s="542"/>
      <c r="N169" s="397" t="s">
        <v>610</v>
      </c>
      <c r="O169" s="526"/>
      <c r="P169" s="526"/>
      <c r="Q169" s="526"/>
      <c r="R169" s="526"/>
      <c r="S169" s="526"/>
      <c r="T169" s="526"/>
      <c r="U169" s="526"/>
      <c r="V169" s="526"/>
      <c r="W169" s="526"/>
      <c r="X169" s="526"/>
      <c r="BE169" s="542"/>
    </row>
    <row r="170" spans="1:57" s="541" customFormat="1" ht="12.75" hidden="1" customHeight="1" outlineLevel="3">
      <c r="A170" s="542"/>
      <c r="B170" s="540"/>
      <c r="C170" s="522" t="s">
        <v>2239</v>
      </c>
      <c r="D170" s="531" t="s">
        <v>2170</v>
      </c>
      <c r="E170" s="532" t="s">
        <v>2476</v>
      </c>
      <c r="F170" s="533" t="s">
        <v>2477</v>
      </c>
      <c r="G170" s="542"/>
      <c r="H170" s="503" t="s">
        <v>758</v>
      </c>
      <c r="I170" s="400" t="str">
        <f t="shared" si="15"/>
        <v>R25-1</v>
      </c>
      <c r="J170" s="507">
        <v>1</v>
      </c>
      <c r="K170" s="542"/>
      <c r="L170" s="526">
        <v>1</v>
      </c>
      <c r="M170" s="542"/>
      <c r="N170" s="397" t="s">
        <v>610</v>
      </c>
      <c r="O170" s="526"/>
      <c r="P170" s="526"/>
      <c r="Q170" s="526"/>
      <c r="R170" s="526"/>
      <c r="S170" s="526"/>
      <c r="T170" s="526"/>
      <c r="U170" s="526"/>
      <c r="V170" s="526"/>
      <c r="W170" s="526"/>
      <c r="X170" s="526"/>
      <c r="BE170" s="542"/>
    </row>
    <row r="171" spans="1:57" s="541" customFormat="1" ht="12.75" hidden="1" customHeight="1" outlineLevel="3">
      <c r="A171" s="542"/>
      <c r="B171" s="540"/>
      <c r="C171" s="522" t="s">
        <v>2239</v>
      </c>
      <c r="D171" s="531" t="s">
        <v>2170</v>
      </c>
      <c r="E171" s="532" t="s">
        <v>2478</v>
      </c>
      <c r="F171" s="533" t="s">
        <v>2479</v>
      </c>
      <c r="G171" s="542"/>
      <c r="H171" s="503" t="s">
        <v>758</v>
      </c>
      <c r="I171" s="400" t="str">
        <f t="shared" si="15"/>
        <v>R25-1</v>
      </c>
      <c r="J171" s="507">
        <v>1</v>
      </c>
      <c r="K171" s="542"/>
      <c r="L171" s="526">
        <v>1</v>
      </c>
      <c r="M171" s="542"/>
      <c r="N171" s="397" t="s">
        <v>193</v>
      </c>
      <c r="O171" s="526"/>
      <c r="P171" s="526"/>
      <c r="Q171" s="526"/>
      <c r="R171" s="526"/>
      <c r="S171" s="526"/>
      <c r="T171" s="526"/>
      <c r="U171" s="526"/>
      <c r="V171" s="526"/>
      <c r="W171" s="526"/>
      <c r="X171" s="526"/>
      <c r="BE171" s="542"/>
    </row>
    <row r="172" spans="1:57" s="541" customFormat="1" ht="12.75" hidden="1" customHeight="1" outlineLevel="3">
      <c r="A172" s="542"/>
      <c r="B172" s="540"/>
      <c r="C172" s="522" t="s">
        <v>2239</v>
      </c>
      <c r="D172" s="531" t="s">
        <v>2170</v>
      </c>
      <c r="E172" s="532" t="s">
        <v>2480</v>
      </c>
      <c r="F172" s="533" t="s">
        <v>2481</v>
      </c>
      <c r="G172" s="542"/>
      <c r="H172" s="503" t="s">
        <v>758</v>
      </c>
      <c r="I172" s="400" t="str">
        <f t="shared" si="15"/>
        <v>R25-1</v>
      </c>
      <c r="J172" s="507">
        <v>1</v>
      </c>
      <c r="K172" s="542"/>
      <c r="L172" s="526">
        <v>1</v>
      </c>
      <c r="M172" s="542"/>
      <c r="N172" s="397" t="s">
        <v>193</v>
      </c>
      <c r="O172" s="526"/>
      <c r="P172" s="526"/>
      <c r="Q172" s="526"/>
      <c r="R172" s="526"/>
      <c r="S172" s="526"/>
      <c r="T172" s="526"/>
      <c r="U172" s="526"/>
      <c r="V172" s="526"/>
      <c r="W172" s="526"/>
      <c r="X172" s="526"/>
      <c r="BE172" s="542"/>
    </row>
    <row r="173" spans="1:57" s="541" customFormat="1" ht="12.75" hidden="1" customHeight="1" outlineLevel="3">
      <c r="A173" s="542"/>
      <c r="B173" s="540"/>
      <c r="C173" s="522" t="s">
        <v>2239</v>
      </c>
      <c r="D173" s="531" t="s">
        <v>2170</v>
      </c>
      <c r="E173" s="532" t="s">
        <v>2482</v>
      </c>
      <c r="F173" s="533" t="s">
        <v>2483</v>
      </c>
      <c r="G173" s="542"/>
      <c r="H173" s="503" t="s">
        <v>758</v>
      </c>
      <c r="I173" s="400" t="str">
        <f t="shared" si="15"/>
        <v>R25-1</v>
      </c>
      <c r="J173" s="507">
        <v>1</v>
      </c>
      <c r="K173" s="542"/>
      <c r="L173" s="526">
        <v>1</v>
      </c>
      <c r="M173" s="542"/>
      <c r="N173" s="397" t="s">
        <v>193</v>
      </c>
      <c r="O173" s="526"/>
      <c r="P173" s="526"/>
      <c r="Q173" s="526"/>
      <c r="R173" s="526"/>
      <c r="S173" s="526"/>
      <c r="T173" s="526"/>
      <c r="U173" s="526"/>
      <c r="V173" s="526"/>
      <c r="W173" s="526"/>
      <c r="X173" s="526"/>
      <c r="BE173" s="542"/>
    </row>
    <row r="174" spans="1:57" s="541" customFormat="1" ht="12.75" hidden="1" customHeight="1" outlineLevel="3">
      <c r="A174" s="542"/>
      <c r="B174" s="540"/>
      <c r="C174" s="522" t="s">
        <v>2239</v>
      </c>
      <c r="D174" s="531" t="s">
        <v>2170</v>
      </c>
      <c r="E174" s="532" t="s">
        <v>2484</v>
      </c>
      <c r="F174" s="533" t="s">
        <v>2485</v>
      </c>
      <c r="G174" s="542"/>
      <c r="H174" s="503" t="s">
        <v>758</v>
      </c>
      <c r="I174" s="400" t="str">
        <f t="shared" si="15"/>
        <v>R25-1</v>
      </c>
      <c r="J174" s="507">
        <v>1</v>
      </c>
      <c r="K174" s="542"/>
      <c r="L174" s="526">
        <v>1</v>
      </c>
      <c r="M174" s="542"/>
      <c r="N174" s="397" t="s">
        <v>193</v>
      </c>
      <c r="O174" s="526"/>
      <c r="P174" s="526"/>
      <c r="Q174" s="526"/>
      <c r="R174" s="526"/>
      <c r="S174" s="526"/>
      <c r="T174" s="526"/>
      <c r="U174" s="526"/>
      <c r="V174" s="526"/>
      <c r="W174" s="526"/>
      <c r="X174" s="526"/>
      <c r="BE174" s="542"/>
    </row>
    <row r="175" spans="1:57" s="541" customFormat="1" ht="12.75" hidden="1" customHeight="1" outlineLevel="3">
      <c r="A175" s="542"/>
      <c r="B175" s="540"/>
      <c r="C175" s="522" t="s">
        <v>2239</v>
      </c>
      <c r="D175" s="531" t="s">
        <v>2170</v>
      </c>
      <c r="E175" s="532" t="s">
        <v>2486</v>
      </c>
      <c r="F175" s="533" t="s">
        <v>2487</v>
      </c>
      <c r="G175" s="542"/>
      <c r="H175" s="503" t="s">
        <v>758</v>
      </c>
      <c r="I175" s="400" t="str">
        <f t="shared" si="15"/>
        <v>R25-1</v>
      </c>
      <c r="J175" s="507">
        <v>1</v>
      </c>
      <c r="K175" s="542"/>
      <c r="L175" s="526">
        <v>1</v>
      </c>
      <c r="M175" s="542"/>
      <c r="N175" s="397" t="s">
        <v>193</v>
      </c>
      <c r="O175" s="526"/>
      <c r="P175" s="526"/>
      <c r="Q175" s="526"/>
      <c r="R175" s="526"/>
      <c r="S175" s="526"/>
      <c r="T175" s="526"/>
      <c r="U175" s="526"/>
      <c r="V175" s="526"/>
      <c r="W175" s="526"/>
      <c r="X175" s="526"/>
      <c r="BE175" s="542"/>
    </row>
    <row r="176" spans="1:57" s="541" customFormat="1" ht="12.75" hidden="1" customHeight="1" outlineLevel="3">
      <c r="A176" s="542"/>
      <c r="B176" s="540"/>
      <c r="C176" s="522" t="s">
        <v>2239</v>
      </c>
      <c r="D176" s="531" t="s">
        <v>2170</v>
      </c>
      <c r="E176" s="532" t="s">
        <v>2488</v>
      </c>
      <c r="F176" s="533" t="s">
        <v>2489</v>
      </c>
      <c r="G176" s="542"/>
      <c r="H176" s="503" t="s">
        <v>758</v>
      </c>
      <c r="I176" s="400" t="str">
        <f t="shared" ref="I176:I187" si="16">CONCATENATE(H176,"-",J176)</f>
        <v>R25-1</v>
      </c>
      <c r="J176" s="507">
        <v>1</v>
      </c>
      <c r="K176" s="542"/>
      <c r="L176" s="526">
        <v>1</v>
      </c>
      <c r="M176" s="542"/>
      <c r="N176" s="397" t="s">
        <v>193</v>
      </c>
      <c r="O176" s="395"/>
      <c r="P176" s="526"/>
      <c r="Q176" s="526"/>
      <c r="R176" s="526"/>
      <c r="S176" s="526"/>
      <c r="T176" s="395"/>
      <c r="U176" s="526"/>
      <c r="V176" s="526"/>
      <c r="W176" s="526"/>
      <c r="X176" s="526"/>
      <c r="BE176" s="542">
        <v>1</v>
      </c>
    </row>
    <row r="177" spans="1:57" s="541" customFormat="1" ht="12.75" hidden="1" customHeight="1" outlineLevel="3">
      <c r="A177" s="542"/>
      <c r="B177" s="540"/>
      <c r="C177" s="522" t="s">
        <v>2239</v>
      </c>
      <c r="D177" s="531" t="s">
        <v>2170</v>
      </c>
      <c r="E177" s="532" t="s">
        <v>2490</v>
      </c>
      <c r="F177" s="533" t="s">
        <v>2491</v>
      </c>
      <c r="G177" s="542"/>
      <c r="H177" s="503" t="s">
        <v>758</v>
      </c>
      <c r="I177" s="400" t="str">
        <f t="shared" si="16"/>
        <v>R25-1</v>
      </c>
      <c r="J177" s="507">
        <v>1</v>
      </c>
      <c r="K177" s="542"/>
      <c r="L177" s="526">
        <v>1</v>
      </c>
      <c r="M177" s="542"/>
      <c r="N177" s="397" t="s">
        <v>193</v>
      </c>
      <c r="O177" s="395"/>
      <c r="P177" s="526"/>
      <c r="Q177" s="526"/>
      <c r="R177" s="526"/>
      <c r="S177" s="526"/>
      <c r="T177" s="395" cm="1">
        <f t="array" ref="T177">IFERROR(_xlfn.IFS(U177=1,1,V177=1,1,W177=1,1,X177=1,1),0)</f>
        <v>0</v>
      </c>
      <c r="U177" s="526"/>
      <c r="V177" s="526"/>
      <c r="W177" s="526"/>
      <c r="X177" s="526"/>
      <c r="BE177" s="542">
        <v>1</v>
      </c>
    </row>
    <row r="178" spans="1:57" s="541" customFormat="1" ht="12.75" hidden="1" customHeight="1" outlineLevel="3">
      <c r="A178" s="542"/>
      <c r="C178" s="522" t="s">
        <v>2239</v>
      </c>
      <c r="D178" s="531" t="s">
        <v>2170</v>
      </c>
      <c r="E178" s="532" t="s">
        <v>2492</v>
      </c>
      <c r="F178" s="533" t="s">
        <v>2493</v>
      </c>
      <c r="G178" s="542"/>
      <c r="H178" s="503" t="s">
        <v>758</v>
      </c>
      <c r="I178" s="400" t="str">
        <f t="shared" si="16"/>
        <v>R25-1</v>
      </c>
      <c r="J178" s="507">
        <v>1</v>
      </c>
      <c r="K178" s="542"/>
      <c r="L178" s="526">
        <v>1</v>
      </c>
      <c r="M178" s="542"/>
      <c r="N178" s="397" t="s">
        <v>193</v>
      </c>
      <c r="O178" s="395"/>
      <c r="P178" s="526"/>
      <c r="Q178" s="526"/>
      <c r="R178" s="526"/>
      <c r="S178" s="526"/>
      <c r="T178" s="395" cm="1">
        <f t="array" ref="T178">IFERROR(_xlfn.IFS(U178=1,1,V178=1,1,W178=1,1,X178=1,1),0)</f>
        <v>0</v>
      </c>
      <c r="U178" s="526"/>
      <c r="V178" s="526"/>
      <c r="W178" s="526"/>
      <c r="X178" s="526"/>
      <c r="BE178" s="542">
        <v>1</v>
      </c>
    </row>
    <row r="179" spans="1:57" s="541" customFormat="1" ht="12.75" hidden="1" customHeight="1" outlineLevel="3">
      <c r="A179" s="542"/>
      <c r="C179" s="522" t="s">
        <v>2239</v>
      </c>
      <c r="D179" s="531" t="s">
        <v>2170</v>
      </c>
      <c r="E179" s="532" t="s">
        <v>2494</v>
      </c>
      <c r="F179" s="533" t="s">
        <v>2495</v>
      </c>
      <c r="G179" s="542"/>
      <c r="H179" s="503" t="s">
        <v>758</v>
      </c>
      <c r="I179" s="400" t="str">
        <f t="shared" si="16"/>
        <v>R25-1</v>
      </c>
      <c r="J179" s="507">
        <v>1</v>
      </c>
      <c r="K179" s="542"/>
      <c r="L179" s="526">
        <v>1</v>
      </c>
      <c r="M179" s="542"/>
      <c r="N179" s="397" t="s">
        <v>193</v>
      </c>
      <c r="O179" s="395"/>
      <c r="P179" s="526"/>
      <c r="Q179" s="526"/>
      <c r="R179" s="526"/>
      <c r="S179" s="526"/>
      <c r="T179" s="395" cm="1">
        <f t="array" ref="T179">IFERROR(_xlfn.IFS(U179=1,1,V179=1,1,W179=1,1,X179=1,1),0)</f>
        <v>0</v>
      </c>
      <c r="U179" s="526"/>
      <c r="V179" s="526"/>
      <c r="W179" s="526"/>
      <c r="X179" s="526"/>
      <c r="BE179" s="542">
        <v>1</v>
      </c>
    </row>
    <row r="180" spans="1:57" s="541" customFormat="1" ht="12.75" hidden="1" customHeight="1" outlineLevel="3">
      <c r="A180" s="542"/>
      <c r="C180" s="522" t="s">
        <v>2239</v>
      </c>
      <c r="D180" s="531" t="s">
        <v>2170</v>
      </c>
      <c r="E180" s="532" t="s">
        <v>2496</v>
      </c>
      <c r="F180" s="533" t="s">
        <v>2497</v>
      </c>
      <c r="G180" s="542"/>
      <c r="H180" s="503" t="s">
        <v>758</v>
      </c>
      <c r="I180" s="400" t="str">
        <f t="shared" si="16"/>
        <v>R25-1</v>
      </c>
      <c r="J180" s="507">
        <v>1</v>
      </c>
      <c r="K180" s="542"/>
      <c r="L180" s="526">
        <v>1</v>
      </c>
      <c r="M180" s="542"/>
      <c r="N180" s="397" t="s">
        <v>610</v>
      </c>
      <c r="O180" s="395"/>
      <c r="P180" s="526"/>
      <c r="Q180" s="526"/>
      <c r="R180" s="526"/>
      <c r="S180" s="526"/>
      <c r="T180" s="395" cm="1">
        <f t="array" ref="T180">IFERROR(_xlfn.IFS(U180=1,1,V180=1,1,W180=1,1,X180=1,1),0)</f>
        <v>0</v>
      </c>
      <c r="U180" s="526"/>
      <c r="V180" s="526"/>
      <c r="W180" s="526"/>
      <c r="X180" s="526"/>
      <c r="BE180" s="542">
        <v>1</v>
      </c>
    </row>
    <row r="181" spans="1:57" s="541" customFormat="1" ht="12.75" hidden="1" customHeight="1" outlineLevel="3">
      <c r="A181" s="542"/>
      <c r="C181" s="522" t="s">
        <v>2239</v>
      </c>
      <c r="D181" s="531" t="s">
        <v>2170</v>
      </c>
      <c r="E181" s="532" t="s">
        <v>2498</v>
      </c>
      <c r="F181" s="533" t="s">
        <v>2499</v>
      </c>
      <c r="G181" s="542"/>
      <c r="H181" s="503" t="s">
        <v>758</v>
      </c>
      <c r="I181" s="400" t="str">
        <f t="shared" si="16"/>
        <v>R25-1</v>
      </c>
      <c r="J181" s="507">
        <v>1</v>
      </c>
      <c r="K181" s="542"/>
      <c r="L181" s="526">
        <v>1</v>
      </c>
      <c r="M181" s="542"/>
      <c r="N181" s="397" t="s">
        <v>610</v>
      </c>
      <c r="O181" s="395"/>
      <c r="P181" s="526"/>
      <c r="Q181" s="526"/>
      <c r="R181" s="526"/>
      <c r="S181" s="526"/>
      <c r="T181" s="395" cm="1">
        <f t="array" ref="T181">IFERROR(_xlfn.IFS(U181=1,1,V181=1,1,W181=1,1,X181=1,1),0)</f>
        <v>0</v>
      </c>
      <c r="U181" s="526"/>
      <c r="V181" s="526"/>
      <c r="W181" s="526"/>
      <c r="X181" s="526"/>
      <c r="BE181" s="542">
        <v>1</v>
      </c>
    </row>
    <row r="182" spans="1:57" s="541" customFormat="1" ht="12.75" hidden="1" customHeight="1" outlineLevel="3">
      <c r="A182" s="580"/>
      <c r="C182" s="522" t="s">
        <v>2239</v>
      </c>
      <c r="D182" s="581" t="s">
        <v>2170</v>
      </c>
      <c r="E182" s="582" t="s">
        <v>2500</v>
      </c>
      <c r="F182" s="533" t="s">
        <v>2501</v>
      </c>
      <c r="G182" s="580"/>
      <c r="H182" s="503" t="s">
        <v>758</v>
      </c>
      <c r="I182" s="400" t="str">
        <f>CONCATENATE(H182,"-",J182)</f>
        <v>R25-1</v>
      </c>
      <c r="J182" s="584">
        <v>1</v>
      </c>
      <c r="K182" s="580"/>
      <c r="L182" s="583">
        <v>1</v>
      </c>
      <c r="M182" s="580"/>
      <c r="N182" s="397" t="s">
        <v>610</v>
      </c>
      <c r="O182" s="579"/>
      <c r="P182" s="583"/>
      <c r="Q182" s="583"/>
      <c r="R182" s="583"/>
      <c r="S182" s="583"/>
      <c r="T182" s="579"/>
      <c r="U182" s="583"/>
      <c r="V182" s="583"/>
      <c r="W182" s="583"/>
      <c r="X182" s="583"/>
      <c r="BE182" s="580"/>
    </row>
    <row r="183" spans="1:57" s="541" customFormat="1" ht="12.75" hidden="1" customHeight="1" outlineLevel="3">
      <c r="A183" s="580"/>
      <c r="C183" s="522" t="s">
        <v>2239</v>
      </c>
      <c r="D183" s="581" t="s">
        <v>2170</v>
      </c>
      <c r="E183" s="582" t="s">
        <v>2502</v>
      </c>
      <c r="F183" s="533" t="s">
        <v>2503</v>
      </c>
      <c r="G183" s="580"/>
      <c r="H183" s="503" t="s">
        <v>758</v>
      </c>
      <c r="I183" s="400" t="str">
        <f>CONCATENATE(H183,"-",J183)</f>
        <v>R25-1</v>
      </c>
      <c r="J183" s="584">
        <v>1</v>
      </c>
      <c r="K183" s="580"/>
      <c r="L183" s="583">
        <v>1</v>
      </c>
      <c r="M183" s="580"/>
      <c r="N183" s="397" t="s">
        <v>193</v>
      </c>
      <c r="O183" s="579"/>
      <c r="P183" s="583"/>
      <c r="Q183" s="583"/>
      <c r="R183" s="583"/>
      <c r="S183" s="583"/>
      <c r="T183" s="579"/>
      <c r="U183" s="583"/>
      <c r="V183" s="583"/>
      <c r="W183" s="583"/>
      <c r="X183" s="583"/>
      <c r="BE183" s="580"/>
    </row>
    <row r="184" spans="1:57" s="541" customFormat="1" ht="12.75" hidden="1" customHeight="1" outlineLevel="3">
      <c r="A184" s="580"/>
      <c r="C184" s="522" t="s">
        <v>2239</v>
      </c>
      <c r="D184" s="581" t="s">
        <v>2170</v>
      </c>
      <c r="E184" s="582" t="s">
        <v>2504</v>
      </c>
      <c r="F184" s="533" t="s">
        <v>2505</v>
      </c>
      <c r="G184" s="580"/>
      <c r="H184" s="503" t="s">
        <v>758</v>
      </c>
      <c r="I184" s="400" t="str">
        <f>CONCATENATE(H184,"-",J184)</f>
        <v>R25-1</v>
      </c>
      <c r="J184" s="584">
        <v>1</v>
      </c>
      <c r="K184" s="580"/>
      <c r="L184" s="583">
        <v>1</v>
      </c>
      <c r="M184" s="580"/>
      <c r="N184" s="397" t="s">
        <v>610</v>
      </c>
      <c r="O184" s="579"/>
      <c r="P184" s="583"/>
      <c r="Q184" s="583"/>
      <c r="R184" s="583"/>
      <c r="S184" s="583"/>
      <c r="T184" s="579" cm="1">
        <f t="array" ref="T184">IFERROR(_xlfn.IFS(U184=1,1,V184=1,1,W184=1,1,X184=1,1),0)</f>
        <v>0</v>
      </c>
      <c r="U184" s="583"/>
      <c r="V184" s="583"/>
      <c r="W184" s="583"/>
      <c r="X184" s="583"/>
      <c r="BE184" s="580">
        <v>1</v>
      </c>
    </row>
    <row r="185" spans="1:57" s="541" customFormat="1" ht="12.75" hidden="1" customHeight="1" outlineLevel="3">
      <c r="A185" s="542"/>
      <c r="C185" s="522" t="s">
        <v>2239</v>
      </c>
      <c r="D185" s="531" t="s">
        <v>2170</v>
      </c>
      <c r="E185" s="532" t="s">
        <v>2506</v>
      </c>
      <c r="F185" s="533" t="s">
        <v>2507</v>
      </c>
      <c r="G185" s="542"/>
      <c r="H185" s="503" t="s">
        <v>758</v>
      </c>
      <c r="I185" s="400" t="str">
        <f t="shared" ref="I185" si="17">CONCATENATE(H185,"-",J185)</f>
        <v>R25-1</v>
      </c>
      <c r="J185" s="507">
        <v>1</v>
      </c>
      <c r="K185" s="542"/>
      <c r="L185" s="526">
        <v>1</v>
      </c>
      <c r="M185" s="542"/>
      <c r="N185" s="397" t="s">
        <v>193</v>
      </c>
      <c r="O185" s="395"/>
      <c r="P185" s="526"/>
      <c r="Q185" s="526"/>
      <c r="R185" s="526"/>
      <c r="S185" s="526"/>
      <c r="T185" s="395"/>
      <c r="U185" s="526"/>
      <c r="V185" s="526"/>
      <c r="W185" s="526"/>
      <c r="X185" s="526"/>
      <c r="BE185" s="542"/>
    </row>
    <row r="186" spans="1:57" s="541" customFormat="1" ht="12.75" hidden="1" customHeight="1" outlineLevel="3">
      <c r="A186" s="542"/>
      <c r="C186" s="522" t="s">
        <v>2239</v>
      </c>
      <c r="D186" s="531" t="s">
        <v>2170</v>
      </c>
      <c r="E186" s="532" t="s">
        <v>2508</v>
      </c>
      <c r="F186" s="533" t="s">
        <v>2509</v>
      </c>
      <c r="G186" s="542"/>
      <c r="H186" s="503" t="s">
        <v>758</v>
      </c>
      <c r="I186" s="400" t="str">
        <f t="shared" ref="I186" si="18">CONCATENATE(H186,"-",J186)</f>
        <v>R25-1</v>
      </c>
      <c r="J186" s="507">
        <v>1</v>
      </c>
      <c r="K186" s="542"/>
      <c r="L186" s="526">
        <v>1</v>
      </c>
      <c r="M186" s="542"/>
      <c r="N186" s="397" t="s">
        <v>193</v>
      </c>
      <c r="O186" s="395"/>
      <c r="P186" s="526"/>
      <c r="Q186" s="526"/>
      <c r="R186" s="526"/>
      <c r="S186" s="526"/>
      <c r="T186" s="395"/>
      <c r="U186" s="526"/>
      <c r="V186" s="526"/>
      <c r="W186" s="526"/>
      <c r="X186" s="526"/>
      <c r="BE186" s="542"/>
    </row>
    <row r="187" spans="1:57" s="541" customFormat="1" ht="12.75" hidden="1" customHeight="1" outlineLevel="3">
      <c r="A187" s="542"/>
      <c r="C187" s="522" t="s">
        <v>2239</v>
      </c>
      <c r="D187" s="531" t="s">
        <v>2170</v>
      </c>
      <c r="E187" s="532" t="s">
        <v>2510</v>
      </c>
      <c r="F187" s="533" t="s">
        <v>2511</v>
      </c>
      <c r="G187" s="542"/>
      <c r="H187" s="503" t="s">
        <v>758</v>
      </c>
      <c r="I187" s="400" t="str">
        <f t="shared" si="16"/>
        <v>R25-1</v>
      </c>
      <c r="J187" s="507">
        <v>1</v>
      </c>
      <c r="K187" s="542"/>
      <c r="L187" s="526">
        <v>1</v>
      </c>
      <c r="M187" s="542"/>
      <c r="N187" s="397" t="s">
        <v>193</v>
      </c>
      <c r="O187" s="395"/>
      <c r="P187" s="526"/>
      <c r="Q187" s="526"/>
      <c r="R187" s="526"/>
      <c r="S187" s="526"/>
      <c r="T187" s="395" cm="1">
        <f t="array" ref="T187">IFERROR(_xlfn.IFS(U187=1,1,V187=1,1,W187=1,1,X187=1,1),0)</f>
        <v>0</v>
      </c>
      <c r="U187" s="526"/>
      <c r="V187" s="526"/>
      <c r="W187" s="526"/>
      <c r="X187" s="526"/>
      <c r="BE187" s="542">
        <v>1</v>
      </c>
    </row>
    <row r="188" spans="1:57" s="541" customFormat="1" ht="3" hidden="1" customHeight="1" outlineLevel="2">
      <c r="A188" s="542"/>
      <c r="C188" s="537"/>
      <c r="D188" s="538"/>
      <c r="E188" s="532"/>
      <c r="F188" s="533" t="s">
        <v>2512</v>
      </c>
      <c r="G188" s="542"/>
      <c r="H188" s="503"/>
      <c r="I188" s="400"/>
      <c r="J188" s="507"/>
      <c r="K188" s="542"/>
      <c r="L188" s="393"/>
      <c r="M188" s="542"/>
      <c r="N188" s="397"/>
      <c r="O188" s="526"/>
      <c r="P188" s="526"/>
      <c r="Q188" s="526"/>
      <c r="R188" s="526"/>
      <c r="S188" s="526"/>
      <c r="T188" s="526"/>
      <c r="U188" s="526"/>
      <c r="V188" s="526"/>
      <c r="W188" s="526"/>
      <c r="X188" s="526"/>
      <c r="BE188" s="542"/>
    </row>
    <row r="189" spans="1:57" s="541" customFormat="1" ht="12.75" hidden="1" customHeight="1" outlineLevel="2">
      <c r="A189" s="542"/>
      <c r="C189" s="537" t="s">
        <v>2513</v>
      </c>
      <c r="D189" s="538"/>
      <c r="E189" s="532"/>
      <c r="F189" s="533" t="s">
        <v>2514</v>
      </c>
      <c r="G189" s="542"/>
      <c r="H189" s="503"/>
      <c r="I189" s="400"/>
      <c r="J189" s="507"/>
      <c r="K189" s="542"/>
      <c r="L189" s="393"/>
      <c r="M189" s="542"/>
      <c r="N189" s="397"/>
      <c r="O189" s="395"/>
      <c r="P189" s="526"/>
      <c r="Q189" s="526"/>
      <c r="R189" s="526"/>
      <c r="S189" s="526"/>
      <c r="T189" s="395"/>
      <c r="U189" s="526"/>
      <c r="V189" s="526"/>
      <c r="W189" s="526"/>
      <c r="X189" s="526"/>
      <c r="BE189" s="542"/>
    </row>
    <row r="190" spans="1:57" s="541" customFormat="1" ht="3" hidden="1" customHeight="1" outlineLevel="2">
      <c r="A190" s="542"/>
      <c r="C190" s="537"/>
      <c r="D190" s="538"/>
      <c r="E190" s="532"/>
      <c r="F190" s="533"/>
      <c r="G190" s="542"/>
      <c r="H190" s="503"/>
      <c r="I190" s="400"/>
      <c r="J190" s="507"/>
      <c r="K190" s="542"/>
      <c r="L190" s="393"/>
      <c r="M190" s="542"/>
      <c r="N190" s="397"/>
      <c r="O190" s="526"/>
      <c r="P190" s="526"/>
      <c r="Q190" s="526"/>
      <c r="R190" s="526"/>
      <c r="S190" s="526"/>
      <c r="T190" s="526"/>
      <c r="U190" s="526"/>
      <c r="V190" s="526"/>
      <c r="W190" s="526"/>
      <c r="X190" s="526"/>
      <c r="BE190" s="542"/>
    </row>
    <row r="191" spans="1:57" s="541" customFormat="1" ht="12.75" hidden="1" customHeight="1" outlineLevel="2">
      <c r="A191" s="542"/>
      <c r="C191" s="537" t="s">
        <v>2462</v>
      </c>
      <c r="D191" s="538"/>
      <c r="E191" s="532"/>
      <c r="F191" s="533"/>
      <c r="G191" s="542"/>
      <c r="H191" s="503"/>
      <c r="I191" s="400"/>
      <c r="J191" s="507"/>
      <c r="K191" s="542"/>
      <c r="L191" s="393"/>
      <c r="M191" s="542"/>
      <c r="N191" s="397"/>
      <c r="O191" s="526"/>
      <c r="P191" s="526"/>
      <c r="Q191" s="526"/>
      <c r="R191" s="526"/>
      <c r="S191" s="526"/>
      <c r="T191" s="526"/>
      <c r="U191" s="526"/>
      <c r="V191" s="526"/>
      <c r="W191" s="526"/>
      <c r="X191" s="526"/>
      <c r="BE191" s="542"/>
    </row>
    <row r="192" spans="1:57" s="541" customFormat="1" ht="12.75" hidden="1" customHeight="1" outlineLevel="7">
      <c r="A192" s="542"/>
      <c r="C192" s="522" t="s">
        <v>2462</v>
      </c>
      <c r="D192" s="531" t="s">
        <v>2170</v>
      </c>
      <c r="E192" s="532"/>
      <c r="F192" s="533"/>
      <c r="G192" s="542"/>
      <c r="H192" s="503" t="s">
        <v>758</v>
      </c>
      <c r="I192" s="400" t="s">
        <v>82</v>
      </c>
      <c r="J192" s="507">
        <v>1</v>
      </c>
      <c r="K192" s="542"/>
      <c r="L192" s="393">
        <v>1</v>
      </c>
      <c r="M192" s="542"/>
      <c r="N192" s="397" t="s">
        <v>193</v>
      </c>
      <c r="O192" s="526"/>
      <c r="P192" s="526"/>
      <c r="Q192" s="526"/>
      <c r="R192" s="526"/>
      <c r="S192" s="526"/>
      <c r="T192" s="526"/>
      <c r="U192" s="526"/>
      <c r="V192" s="526"/>
      <c r="W192" s="526"/>
      <c r="X192" s="526"/>
      <c r="BE192" s="542"/>
    </row>
    <row r="193" spans="1:57" s="541" customFormat="1" ht="12.75" hidden="1" customHeight="1" outlineLevel="7">
      <c r="A193" s="542"/>
      <c r="C193" s="522" t="s">
        <v>2462</v>
      </c>
      <c r="D193" s="531" t="s">
        <v>2170</v>
      </c>
      <c r="E193" s="532"/>
      <c r="F193" s="533"/>
      <c r="G193" s="542"/>
      <c r="H193" s="503" t="s">
        <v>758</v>
      </c>
      <c r="I193" s="400" t="s">
        <v>82</v>
      </c>
      <c r="J193" s="507">
        <v>1</v>
      </c>
      <c r="K193" s="542"/>
      <c r="L193" s="393">
        <v>1</v>
      </c>
      <c r="M193" s="542"/>
      <c r="N193" s="397" t="s">
        <v>193</v>
      </c>
      <c r="O193" s="526"/>
      <c r="P193" s="526"/>
      <c r="Q193" s="526"/>
      <c r="R193" s="526"/>
      <c r="S193" s="526"/>
      <c r="T193" s="526"/>
      <c r="U193" s="526"/>
      <c r="V193" s="526"/>
      <c r="W193" s="526"/>
      <c r="X193" s="526"/>
      <c r="BE193" s="542"/>
    </row>
    <row r="194" spans="1:57" s="541" customFormat="1" ht="12.75" hidden="1" customHeight="1" outlineLevel="7">
      <c r="A194" s="542"/>
      <c r="C194" s="522" t="s">
        <v>2462</v>
      </c>
      <c r="D194" s="531" t="s">
        <v>2170</v>
      </c>
      <c r="E194" s="532"/>
      <c r="F194" s="533"/>
      <c r="G194" s="542"/>
      <c r="H194" s="503" t="s">
        <v>758</v>
      </c>
      <c r="I194" s="400" t="s">
        <v>82</v>
      </c>
      <c r="J194" s="507">
        <v>1</v>
      </c>
      <c r="K194" s="542"/>
      <c r="L194" s="393">
        <v>1</v>
      </c>
      <c r="M194" s="542"/>
      <c r="N194" s="397" t="s">
        <v>193</v>
      </c>
      <c r="O194" s="526"/>
      <c r="P194" s="526"/>
      <c r="Q194" s="526"/>
      <c r="R194" s="526"/>
      <c r="S194" s="526"/>
      <c r="T194" s="526"/>
      <c r="U194" s="526"/>
      <c r="V194" s="526"/>
      <c r="W194" s="526"/>
      <c r="X194" s="526"/>
      <c r="BE194" s="542"/>
    </row>
    <row r="195" spans="1:57" s="541" customFormat="1" ht="12.75" hidden="1" customHeight="1" outlineLevel="7">
      <c r="A195" s="542"/>
      <c r="C195" s="522" t="s">
        <v>2462</v>
      </c>
      <c r="D195" s="531" t="s">
        <v>2170</v>
      </c>
      <c r="E195" s="532"/>
      <c r="F195" s="533"/>
      <c r="G195" s="542"/>
      <c r="H195" s="503" t="s">
        <v>758</v>
      </c>
      <c r="I195" s="400" t="s">
        <v>82</v>
      </c>
      <c r="J195" s="507">
        <v>1</v>
      </c>
      <c r="K195" s="542"/>
      <c r="L195" s="393">
        <v>1</v>
      </c>
      <c r="M195" s="542"/>
      <c r="N195" s="397" t="s">
        <v>193</v>
      </c>
      <c r="O195" s="526"/>
      <c r="P195" s="526"/>
      <c r="Q195" s="526"/>
      <c r="R195" s="526"/>
      <c r="S195" s="526"/>
      <c r="T195" s="526"/>
      <c r="U195" s="526"/>
      <c r="V195" s="526"/>
      <c r="W195" s="526"/>
      <c r="X195" s="526"/>
      <c r="BE195" s="542"/>
    </row>
    <row r="196" spans="1:57" s="541" customFormat="1" ht="12.75" hidden="1" customHeight="1" outlineLevel="7">
      <c r="A196" s="542"/>
      <c r="C196" s="522" t="s">
        <v>2462</v>
      </c>
      <c r="D196" s="531" t="s">
        <v>2170</v>
      </c>
      <c r="E196" s="532"/>
      <c r="F196" s="533"/>
      <c r="G196" s="542"/>
      <c r="H196" s="503" t="s">
        <v>758</v>
      </c>
      <c r="I196" s="400" t="s">
        <v>82</v>
      </c>
      <c r="J196" s="507">
        <v>1</v>
      </c>
      <c r="K196" s="542"/>
      <c r="L196" s="393">
        <v>1</v>
      </c>
      <c r="M196" s="542"/>
      <c r="N196" s="397" t="s">
        <v>193</v>
      </c>
      <c r="O196" s="526"/>
      <c r="P196" s="526"/>
      <c r="Q196" s="526"/>
      <c r="R196" s="526"/>
      <c r="S196" s="526"/>
      <c r="T196" s="526"/>
      <c r="U196" s="526"/>
      <c r="V196" s="526"/>
      <c r="W196" s="526"/>
      <c r="X196" s="526"/>
      <c r="BE196" s="542"/>
    </row>
    <row r="197" spans="1:57" s="541" customFormat="1" ht="12.75" hidden="1" customHeight="1" outlineLevel="7">
      <c r="A197" s="542"/>
      <c r="C197" s="522" t="s">
        <v>2462</v>
      </c>
      <c r="D197" s="531" t="s">
        <v>2170</v>
      </c>
      <c r="E197" s="532"/>
      <c r="F197" s="533"/>
      <c r="G197" s="542"/>
      <c r="H197" s="503" t="s">
        <v>758</v>
      </c>
      <c r="I197" s="400" t="s">
        <v>82</v>
      </c>
      <c r="J197" s="507">
        <v>1</v>
      </c>
      <c r="K197" s="542"/>
      <c r="L197" s="393">
        <v>1</v>
      </c>
      <c r="M197" s="542"/>
      <c r="N197" s="397" t="s">
        <v>193</v>
      </c>
      <c r="O197" s="526"/>
      <c r="P197" s="526"/>
      <c r="Q197" s="526"/>
      <c r="R197" s="526"/>
      <c r="S197" s="526"/>
      <c r="T197" s="526"/>
      <c r="U197" s="526"/>
      <c r="V197" s="526"/>
      <c r="W197" s="526"/>
      <c r="X197" s="526"/>
      <c r="BE197" s="542"/>
    </row>
    <row r="198" spans="1:57" s="541" customFormat="1" ht="12.75" hidden="1" customHeight="1" outlineLevel="7">
      <c r="A198" s="542"/>
      <c r="C198" s="522" t="s">
        <v>2462</v>
      </c>
      <c r="D198" s="531" t="s">
        <v>2170</v>
      </c>
      <c r="E198" s="532"/>
      <c r="F198" s="533"/>
      <c r="G198" s="542"/>
      <c r="H198" s="503" t="s">
        <v>758</v>
      </c>
      <c r="I198" s="400" t="s">
        <v>82</v>
      </c>
      <c r="J198" s="507">
        <v>1</v>
      </c>
      <c r="K198" s="542"/>
      <c r="L198" s="393">
        <v>1</v>
      </c>
      <c r="M198" s="542"/>
      <c r="N198" s="397" t="s">
        <v>193</v>
      </c>
      <c r="O198" s="526"/>
      <c r="P198" s="526"/>
      <c r="Q198" s="526"/>
      <c r="R198" s="526"/>
      <c r="S198" s="526"/>
      <c r="T198" s="526"/>
      <c r="U198" s="526"/>
      <c r="V198" s="526"/>
      <c r="W198" s="526"/>
      <c r="X198" s="526"/>
      <c r="BE198" s="542"/>
    </row>
    <row r="199" spans="1:57" s="541" customFormat="1" ht="12.75" hidden="1" customHeight="1" outlineLevel="7">
      <c r="A199" s="542"/>
      <c r="C199" s="522" t="s">
        <v>2462</v>
      </c>
      <c r="D199" s="531" t="s">
        <v>2170</v>
      </c>
      <c r="E199" s="532"/>
      <c r="F199" s="533"/>
      <c r="G199" s="542"/>
      <c r="H199" s="503" t="s">
        <v>758</v>
      </c>
      <c r="I199" s="400" t="str">
        <f>CONCATENATE(H199,"-",J199)</f>
        <v>R25-1</v>
      </c>
      <c r="J199" s="507">
        <v>1</v>
      </c>
      <c r="K199" s="542"/>
      <c r="L199" s="526">
        <v>1</v>
      </c>
      <c r="M199" s="542"/>
      <c r="N199" s="397" t="s">
        <v>193</v>
      </c>
      <c r="O199" s="395"/>
      <c r="P199" s="526"/>
      <c r="Q199" s="526"/>
      <c r="R199" s="526"/>
      <c r="S199" s="526"/>
      <c r="T199" s="395" cm="1">
        <f t="array" ref="T199">IFERROR(_xlfn.IFS(U199=1,1,V199=1,1,W199=1,1,X199=1,1),0)</f>
        <v>0</v>
      </c>
      <c r="U199" s="526"/>
      <c r="V199" s="526"/>
      <c r="W199" s="526"/>
      <c r="X199" s="526"/>
      <c r="BE199" s="542">
        <v>1</v>
      </c>
    </row>
    <row r="200" spans="1:57" s="541" customFormat="1" ht="3" hidden="1" customHeight="1" outlineLevel="2">
      <c r="A200" s="542"/>
      <c r="C200" s="537"/>
      <c r="D200" s="538"/>
      <c r="E200" s="532"/>
      <c r="F200" s="533"/>
      <c r="G200" s="542"/>
      <c r="H200" s="503"/>
      <c r="I200" s="400"/>
      <c r="J200" s="507"/>
      <c r="K200" s="542"/>
      <c r="L200" s="393"/>
      <c r="M200" s="542"/>
      <c r="N200" s="397"/>
      <c r="O200" s="526"/>
      <c r="P200" s="526"/>
      <c r="Q200" s="526"/>
      <c r="R200" s="526"/>
      <c r="S200" s="526"/>
      <c r="T200" s="526"/>
      <c r="U200" s="526"/>
      <c r="V200" s="526"/>
      <c r="W200" s="526"/>
      <c r="X200" s="526"/>
      <c r="BE200" s="542"/>
    </row>
    <row r="201" spans="1:57" s="541" customFormat="1" ht="12.75" hidden="1" customHeight="1" outlineLevel="2">
      <c r="A201" s="542"/>
      <c r="C201" s="537" t="s">
        <v>2515</v>
      </c>
      <c r="D201" s="538"/>
      <c r="E201" s="532"/>
      <c r="F201" s="533"/>
      <c r="G201" s="542"/>
      <c r="H201" s="503"/>
      <c r="I201" s="400"/>
      <c r="J201" s="507"/>
      <c r="K201" s="542"/>
      <c r="L201" s="393"/>
      <c r="M201" s="542"/>
      <c r="N201" s="397"/>
      <c r="O201" s="526"/>
      <c r="P201" s="526"/>
      <c r="Q201" s="526"/>
      <c r="R201" s="526"/>
      <c r="S201" s="526"/>
      <c r="T201" s="526"/>
      <c r="U201" s="526"/>
      <c r="V201" s="526"/>
      <c r="W201" s="526"/>
      <c r="X201" s="526"/>
      <c r="BE201" s="542"/>
    </row>
    <row r="202" spans="1:57" s="535" customFormat="1" ht="12.75" hidden="1" customHeight="1" outlineLevel="3">
      <c r="A202" s="542"/>
      <c r="C202" s="522" t="s">
        <v>2516</v>
      </c>
      <c r="D202" s="531" t="s">
        <v>2170</v>
      </c>
      <c r="E202" s="532" t="s">
        <v>2517</v>
      </c>
      <c r="F202" s="533" t="s">
        <v>2518</v>
      </c>
      <c r="G202" s="542"/>
      <c r="H202" s="503" t="s">
        <v>758</v>
      </c>
      <c r="I202" s="400" t="str">
        <f t="shared" ref="I202" si="19">CONCATENATE(H202,"-",J202)</f>
        <v>R25-1</v>
      </c>
      <c r="J202" s="507">
        <v>1</v>
      </c>
      <c r="K202" s="542"/>
      <c r="L202" s="526">
        <v>1</v>
      </c>
      <c r="M202" s="542"/>
      <c r="N202" s="397" t="s">
        <v>610</v>
      </c>
      <c r="O202" s="395"/>
      <c r="P202" s="526"/>
      <c r="Q202" s="526"/>
      <c r="R202" s="526"/>
      <c r="S202" s="526"/>
      <c r="T202" s="395" cm="1">
        <f t="array" ref="T202">IFERROR(_xlfn.IFS(U202=1,1,V202=1,1,W202=1,1,X202=1,1),0)</f>
        <v>0</v>
      </c>
      <c r="U202" s="526"/>
      <c r="V202" s="526"/>
      <c r="W202" s="526"/>
      <c r="X202" s="526"/>
      <c r="BE202" s="542">
        <v>1</v>
      </c>
    </row>
    <row r="203" spans="1:57" s="535" customFormat="1" ht="12.75" hidden="1" customHeight="1" outlineLevel="3">
      <c r="A203" s="542"/>
      <c r="C203" s="522" t="s">
        <v>2516</v>
      </c>
      <c r="D203" s="531" t="s">
        <v>2170</v>
      </c>
      <c r="E203" s="532" t="s">
        <v>2519</v>
      </c>
      <c r="F203" s="533" t="s">
        <v>2520</v>
      </c>
      <c r="G203" s="542"/>
      <c r="H203" s="503" t="s">
        <v>758</v>
      </c>
      <c r="I203" s="400" t="str">
        <f t="shared" ref="I203:I217" si="20">CONCATENATE(H203,"-",J203)</f>
        <v>R25-1</v>
      </c>
      <c r="J203" s="507">
        <v>1</v>
      </c>
      <c r="K203" s="542"/>
      <c r="L203" s="526">
        <v>1</v>
      </c>
      <c r="M203" s="542"/>
      <c r="N203" s="397" t="s">
        <v>610</v>
      </c>
      <c r="O203" s="395"/>
      <c r="P203" s="526"/>
      <c r="Q203" s="526"/>
      <c r="R203" s="526"/>
      <c r="S203" s="526"/>
      <c r="T203" s="395"/>
      <c r="U203" s="526"/>
      <c r="V203" s="526"/>
      <c r="W203" s="526"/>
      <c r="X203" s="526"/>
      <c r="BE203" s="542"/>
    </row>
    <row r="204" spans="1:57" s="535" customFormat="1" ht="12.75" hidden="1" customHeight="1" outlineLevel="3">
      <c r="A204" s="542"/>
      <c r="C204" s="522" t="s">
        <v>2516</v>
      </c>
      <c r="D204" s="531" t="s">
        <v>2170</v>
      </c>
      <c r="E204" s="532" t="s">
        <v>2521</v>
      </c>
      <c r="F204" s="533" t="s">
        <v>2522</v>
      </c>
      <c r="G204" s="542"/>
      <c r="H204" s="503" t="s">
        <v>758</v>
      </c>
      <c r="I204" s="400" t="str">
        <f t="shared" si="20"/>
        <v>R25-1</v>
      </c>
      <c r="J204" s="507">
        <v>1</v>
      </c>
      <c r="K204" s="542"/>
      <c r="L204" s="526">
        <v>1</v>
      </c>
      <c r="M204" s="542"/>
      <c r="N204" s="397" t="s">
        <v>610</v>
      </c>
      <c r="O204" s="395"/>
      <c r="P204" s="526"/>
      <c r="Q204" s="526"/>
      <c r="R204" s="526"/>
      <c r="S204" s="526"/>
      <c r="T204" s="395"/>
      <c r="U204" s="526"/>
      <c r="V204" s="526"/>
      <c r="W204" s="526"/>
      <c r="X204" s="526"/>
      <c r="BE204" s="542"/>
    </row>
    <row r="205" spans="1:57" s="535" customFormat="1" ht="12.75" hidden="1" customHeight="1" outlineLevel="3">
      <c r="A205" s="542"/>
      <c r="C205" s="522" t="s">
        <v>2516</v>
      </c>
      <c r="D205" s="531" t="s">
        <v>2170</v>
      </c>
      <c r="E205" s="532" t="s">
        <v>2523</v>
      </c>
      <c r="F205" s="533" t="s">
        <v>2524</v>
      </c>
      <c r="G205" s="542"/>
      <c r="H205" s="503" t="s">
        <v>758</v>
      </c>
      <c r="I205" s="400" t="str">
        <f t="shared" ref="I205" si="21">CONCATENATE(H205,"-",J205)</f>
        <v>R25-1</v>
      </c>
      <c r="J205" s="507">
        <v>1</v>
      </c>
      <c r="K205" s="542"/>
      <c r="L205" s="526">
        <v>1</v>
      </c>
      <c r="M205" s="542"/>
      <c r="N205" s="397" t="s">
        <v>193</v>
      </c>
      <c r="O205" s="395"/>
      <c r="P205" s="526"/>
      <c r="Q205" s="526"/>
      <c r="R205" s="526"/>
      <c r="S205" s="526"/>
      <c r="T205" s="395"/>
      <c r="U205" s="526"/>
      <c r="V205" s="526"/>
      <c r="W205" s="526"/>
      <c r="X205" s="526"/>
      <c r="BE205" s="542"/>
    </row>
    <row r="206" spans="1:57" s="535" customFormat="1" ht="12.75" hidden="1" customHeight="1" outlineLevel="3">
      <c r="A206" s="542"/>
      <c r="C206" s="522" t="s">
        <v>2516</v>
      </c>
      <c r="D206" s="531" t="s">
        <v>2170</v>
      </c>
      <c r="E206" s="532" t="s">
        <v>2525</v>
      </c>
      <c r="F206" s="533" t="s">
        <v>2526</v>
      </c>
      <c r="G206" s="542"/>
      <c r="H206" s="503" t="s">
        <v>758</v>
      </c>
      <c r="I206" s="400" t="str">
        <f t="shared" si="20"/>
        <v>R25-1</v>
      </c>
      <c r="J206" s="507">
        <v>1</v>
      </c>
      <c r="K206" s="542"/>
      <c r="L206" s="526">
        <v>1</v>
      </c>
      <c r="M206" s="542"/>
      <c r="N206" s="397" t="s">
        <v>193</v>
      </c>
      <c r="O206" s="395"/>
      <c r="P206" s="526"/>
      <c r="Q206" s="526"/>
      <c r="R206" s="526"/>
      <c r="S206" s="526"/>
      <c r="T206" s="395"/>
      <c r="U206" s="526"/>
      <c r="V206" s="526"/>
      <c r="W206" s="526"/>
      <c r="X206" s="526"/>
      <c r="BE206" s="542"/>
    </row>
    <row r="207" spans="1:57" s="535" customFormat="1" ht="12.75" hidden="1" customHeight="1" outlineLevel="3">
      <c r="A207" s="542"/>
      <c r="C207" s="522" t="s">
        <v>2516</v>
      </c>
      <c r="D207" s="531" t="s">
        <v>2170</v>
      </c>
      <c r="E207" s="532" t="s">
        <v>2527</v>
      </c>
      <c r="F207" s="533" t="s">
        <v>2528</v>
      </c>
      <c r="G207" s="542"/>
      <c r="H207" s="503" t="s">
        <v>758</v>
      </c>
      <c r="I207" s="400" t="s">
        <v>82</v>
      </c>
      <c r="J207" s="507">
        <v>1</v>
      </c>
      <c r="K207" s="542"/>
      <c r="L207" s="526">
        <v>1</v>
      </c>
      <c r="M207" s="542"/>
      <c r="N207" s="397" t="s">
        <v>193</v>
      </c>
      <c r="O207" s="395"/>
      <c r="P207" s="526"/>
      <c r="Q207" s="526"/>
      <c r="R207" s="526"/>
      <c r="S207" s="526"/>
      <c r="T207" s="395"/>
      <c r="U207" s="526"/>
      <c r="V207" s="526"/>
      <c r="W207" s="526"/>
      <c r="X207" s="526"/>
      <c r="BE207" s="542"/>
    </row>
    <row r="208" spans="1:57" s="535" customFormat="1" ht="12.75" hidden="1" customHeight="1" outlineLevel="3">
      <c r="A208" s="542"/>
      <c r="C208" s="522" t="s">
        <v>2516</v>
      </c>
      <c r="D208" s="531" t="s">
        <v>2170</v>
      </c>
      <c r="E208" s="532" t="s">
        <v>2529</v>
      </c>
      <c r="F208" s="533" t="s">
        <v>2530</v>
      </c>
      <c r="G208" s="542"/>
      <c r="H208" s="503" t="s">
        <v>758</v>
      </c>
      <c r="I208" s="400" t="s">
        <v>82</v>
      </c>
      <c r="J208" s="507">
        <v>1</v>
      </c>
      <c r="K208" s="542"/>
      <c r="L208" s="526">
        <v>1</v>
      </c>
      <c r="M208" s="542"/>
      <c r="N208" s="397" t="s">
        <v>193</v>
      </c>
      <c r="O208" s="395"/>
      <c r="P208" s="526"/>
      <c r="Q208" s="526"/>
      <c r="R208" s="526"/>
      <c r="S208" s="526"/>
      <c r="T208" s="395"/>
      <c r="U208" s="526"/>
      <c r="V208" s="526"/>
      <c r="W208" s="526"/>
      <c r="X208" s="526"/>
      <c r="BE208" s="542"/>
    </row>
    <row r="209" spans="1:57" s="535" customFormat="1" ht="12.75" hidden="1" customHeight="1" outlineLevel="3">
      <c r="A209" s="542"/>
      <c r="C209" s="522" t="s">
        <v>2516</v>
      </c>
      <c r="D209" s="531" t="s">
        <v>2170</v>
      </c>
      <c r="E209" s="532" t="s">
        <v>2531</v>
      </c>
      <c r="F209" s="533" t="s">
        <v>2532</v>
      </c>
      <c r="G209" s="542"/>
      <c r="H209" s="503" t="s">
        <v>758</v>
      </c>
      <c r="I209" s="400" t="s">
        <v>82</v>
      </c>
      <c r="J209" s="507">
        <v>1</v>
      </c>
      <c r="K209" s="542"/>
      <c r="L209" s="526">
        <v>1</v>
      </c>
      <c r="M209" s="542"/>
      <c r="N209" s="397" t="s">
        <v>193</v>
      </c>
      <c r="O209" s="395"/>
      <c r="P209" s="526"/>
      <c r="Q209" s="526"/>
      <c r="R209" s="526"/>
      <c r="S209" s="526"/>
      <c r="T209" s="395"/>
      <c r="U209" s="526"/>
      <c r="V209" s="526"/>
      <c r="W209" s="526"/>
      <c r="X209" s="526"/>
      <c r="BE209" s="542"/>
    </row>
    <row r="210" spans="1:57" s="535" customFormat="1" ht="12.75" hidden="1" customHeight="1" outlineLevel="3">
      <c r="A210" s="542"/>
      <c r="C210" s="522" t="s">
        <v>2516</v>
      </c>
      <c r="D210" s="531" t="s">
        <v>2170</v>
      </c>
      <c r="E210" s="532" t="s">
        <v>2533</v>
      </c>
      <c r="F210" s="533" t="s">
        <v>2534</v>
      </c>
      <c r="G210" s="542"/>
      <c r="H210" s="503" t="s">
        <v>758</v>
      </c>
      <c r="I210" s="400" t="s">
        <v>82</v>
      </c>
      <c r="J210" s="507">
        <v>1</v>
      </c>
      <c r="K210" s="542"/>
      <c r="L210" s="526">
        <v>1</v>
      </c>
      <c r="M210" s="542"/>
      <c r="N210" s="397" t="s">
        <v>193</v>
      </c>
      <c r="O210" s="395"/>
      <c r="P210" s="526"/>
      <c r="Q210" s="526"/>
      <c r="R210" s="526"/>
      <c r="S210" s="526"/>
      <c r="T210" s="395"/>
      <c r="U210" s="526"/>
      <c r="V210" s="526"/>
      <c r="W210" s="526"/>
      <c r="X210" s="526"/>
      <c r="BE210" s="542"/>
    </row>
    <row r="211" spans="1:57" s="535" customFormat="1" ht="12.75" hidden="1" customHeight="1" outlineLevel="3">
      <c r="A211" s="542"/>
      <c r="C211" s="522" t="s">
        <v>2516</v>
      </c>
      <c r="D211" s="531" t="s">
        <v>2170</v>
      </c>
      <c r="E211" s="532" t="s">
        <v>2535</v>
      </c>
      <c r="F211" s="533" t="s">
        <v>2536</v>
      </c>
      <c r="G211" s="542"/>
      <c r="H211" s="503" t="s">
        <v>758</v>
      </c>
      <c r="I211" s="400" t="s">
        <v>82</v>
      </c>
      <c r="J211" s="507">
        <v>1</v>
      </c>
      <c r="K211" s="542"/>
      <c r="L211" s="526">
        <v>1</v>
      </c>
      <c r="M211" s="542"/>
      <c r="N211" s="397" t="s">
        <v>193</v>
      </c>
      <c r="O211" s="395"/>
      <c r="P211" s="526"/>
      <c r="Q211" s="526"/>
      <c r="R211" s="526"/>
      <c r="S211" s="526"/>
      <c r="T211" s="395"/>
      <c r="U211" s="526"/>
      <c r="V211" s="526"/>
      <c r="W211" s="526"/>
      <c r="X211" s="526"/>
      <c r="BE211" s="542"/>
    </row>
    <row r="212" spans="1:57" s="535" customFormat="1" ht="12.75" hidden="1" customHeight="1" outlineLevel="3">
      <c r="A212" s="542"/>
      <c r="C212" s="522" t="s">
        <v>2516</v>
      </c>
      <c r="D212" s="531" t="s">
        <v>2170</v>
      </c>
      <c r="E212" s="532" t="s">
        <v>2537</v>
      </c>
      <c r="F212" s="533" t="s">
        <v>2538</v>
      </c>
      <c r="G212" s="542"/>
      <c r="H212" s="503" t="s">
        <v>758</v>
      </c>
      <c r="I212" s="400" t="str">
        <f t="shared" si="20"/>
        <v>R25-1</v>
      </c>
      <c r="J212" s="507">
        <v>1</v>
      </c>
      <c r="K212" s="542"/>
      <c r="L212" s="526">
        <v>1</v>
      </c>
      <c r="M212" s="542"/>
      <c r="N212" s="397" t="s">
        <v>193</v>
      </c>
      <c r="O212" s="395"/>
      <c r="P212" s="526"/>
      <c r="Q212" s="526"/>
      <c r="R212" s="526"/>
      <c r="S212" s="526"/>
      <c r="T212" s="395"/>
      <c r="U212" s="526"/>
      <c r="V212" s="526"/>
      <c r="W212" s="526"/>
      <c r="X212" s="526"/>
      <c r="BE212" s="542"/>
    </row>
    <row r="213" spans="1:57" s="535" customFormat="1" ht="12.75" hidden="1" customHeight="1" outlineLevel="3">
      <c r="A213" s="542"/>
      <c r="C213" s="522" t="s">
        <v>2516</v>
      </c>
      <c r="D213" s="531" t="s">
        <v>2170</v>
      </c>
      <c r="E213" s="532" t="s">
        <v>2539</v>
      </c>
      <c r="F213" s="533" t="s">
        <v>2540</v>
      </c>
      <c r="G213" s="542"/>
      <c r="H213" s="503" t="s">
        <v>758</v>
      </c>
      <c r="I213" s="400" t="str">
        <f t="shared" si="20"/>
        <v>R25-1</v>
      </c>
      <c r="J213" s="507">
        <v>1</v>
      </c>
      <c r="K213" s="542"/>
      <c r="L213" s="526">
        <v>1</v>
      </c>
      <c r="M213" s="542"/>
      <c r="N213" s="397" t="s">
        <v>193</v>
      </c>
      <c r="O213" s="395"/>
      <c r="P213" s="526"/>
      <c r="Q213" s="526"/>
      <c r="R213" s="526"/>
      <c r="S213" s="526"/>
      <c r="T213" s="395"/>
      <c r="U213" s="526"/>
      <c r="V213" s="526"/>
      <c r="W213" s="526"/>
      <c r="X213" s="526"/>
      <c r="BE213" s="542"/>
    </row>
    <row r="214" spans="1:57" s="535" customFormat="1" ht="12.75" hidden="1" customHeight="1" outlineLevel="3">
      <c r="A214" s="542"/>
      <c r="C214" s="522" t="s">
        <v>2516</v>
      </c>
      <c r="D214" s="531" t="s">
        <v>2170</v>
      </c>
      <c r="E214" s="532" t="s">
        <v>2541</v>
      </c>
      <c r="F214" s="533" t="s">
        <v>2542</v>
      </c>
      <c r="G214" s="542"/>
      <c r="H214" s="503" t="s">
        <v>758</v>
      </c>
      <c r="I214" s="400" t="str">
        <f t="shared" si="20"/>
        <v>R25-1</v>
      </c>
      <c r="J214" s="507">
        <v>1</v>
      </c>
      <c r="K214" s="542"/>
      <c r="L214" s="526">
        <v>1</v>
      </c>
      <c r="M214" s="542"/>
      <c r="N214" s="397" t="s">
        <v>610</v>
      </c>
      <c r="O214" s="395"/>
      <c r="P214" s="526"/>
      <c r="Q214" s="526"/>
      <c r="R214" s="526"/>
      <c r="S214" s="526"/>
      <c r="T214" s="395"/>
      <c r="U214" s="526"/>
      <c r="V214" s="526"/>
      <c r="W214" s="526"/>
      <c r="X214" s="526"/>
      <c r="BE214" s="542"/>
    </row>
    <row r="215" spans="1:57" s="535" customFormat="1" ht="12.75" hidden="1" customHeight="1" outlineLevel="3">
      <c r="A215" s="542"/>
      <c r="C215" s="522" t="s">
        <v>2516</v>
      </c>
      <c r="D215" s="531" t="s">
        <v>2170</v>
      </c>
      <c r="E215" s="532" t="s">
        <v>2543</v>
      </c>
      <c r="F215" s="533" t="s">
        <v>2544</v>
      </c>
      <c r="G215" s="542"/>
      <c r="H215" s="503" t="s">
        <v>758</v>
      </c>
      <c r="I215" s="400" t="str">
        <f t="shared" si="20"/>
        <v>R25-1</v>
      </c>
      <c r="J215" s="507">
        <v>1</v>
      </c>
      <c r="K215" s="542"/>
      <c r="L215" s="526">
        <v>1</v>
      </c>
      <c r="M215" s="542"/>
      <c r="N215" s="397" t="s">
        <v>610</v>
      </c>
      <c r="O215" s="395"/>
      <c r="P215" s="526"/>
      <c r="Q215" s="526"/>
      <c r="R215" s="526"/>
      <c r="S215" s="526"/>
      <c r="T215" s="395"/>
      <c r="U215" s="526"/>
      <c r="V215" s="526"/>
      <c r="W215" s="526"/>
      <c r="X215" s="526"/>
      <c r="BE215" s="542"/>
    </row>
    <row r="216" spans="1:57" s="535" customFormat="1" ht="12.75" hidden="1" customHeight="1" outlineLevel="3">
      <c r="A216" s="542"/>
      <c r="C216" s="522" t="s">
        <v>2516</v>
      </c>
      <c r="D216" s="531" t="s">
        <v>2170</v>
      </c>
      <c r="E216" s="532" t="s">
        <v>2545</v>
      </c>
      <c r="F216" s="533" t="s">
        <v>2546</v>
      </c>
      <c r="G216" s="542"/>
      <c r="H216" s="503" t="s">
        <v>758</v>
      </c>
      <c r="I216" s="400" t="str">
        <f t="shared" si="20"/>
        <v>R25-1</v>
      </c>
      <c r="J216" s="507">
        <v>1</v>
      </c>
      <c r="K216" s="542"/>
      <c r="L216" s="526">
        <v>1</v>
      </c>
      <c r="M216" s="542"/>
      <c r="N216" s="397" t="s">
        <v>610</v>
      </c>
      <c r="O216" s="395"/>
      <c r="P216" s="526"/>
      <c r="Q216" s="526"/>
      <c r="R216" s="526"/>
      <c r="S216" s="526"/>
      <c r="T216" s="395"/>
      <c r="U216" s="526"/>
      <c r="V216" s="526"/>
      <c r="W216" s="526"/>
      <c r="X216" s="526"/>
      <c r="BE216" s="542"/>
    </row>
    <row r="217" spans="1:57" s="535" customFormat="1" ht="12.75" hidden="1" customHeight="1" outlineLevel="3">
      <c r="A217" s="542"/>
      <c r="C217" s="522" t="s">
        <v>2516</v>
      </c>
      <c r="D217" s="531" t="s">
        <v>2170</v>
      </c>
      <c r="E217" s="532" t="s">
        <v>2547</v>
      </c>
      <c r="F217" s="533" t="s">
        <v>2548</v>
      </c>
      <c r="G217" s="542"/>
      <c r="H217" s="503" t="s">
        <v>758</v>
      </c>
      <c r="I217" s="400" t="str">
        <f t="shared" si="20"/>
        <v>R25-1</v>
      </c>
      <c r="J217" s="507">
        <v>1</v>
      </c>
      <c r="K217" s="542"/>
      <c r="L217" s="526">
        <v>1</v>
      </c>
      <c r="M217" s="542"/>
      <c r="N217" s="397" t="s">
        <v>610</v>
      </c>
      <c r="O217" s="395"/>
      <c r="P217" s="526"/>
      <c r="Q217" s="526"/>
      <c r="R217" s="526"/>
      <c r="S217" s="526"/>
      <c r="T217" s="395"/>
      <c r="U217" s="526"/>
      <c r="V217" s="526"/>
      <c r="W217" s="526"/>
      <c r="X217" s="526"/>
      <c r="BE217" s="542"/>
    </row>
    <row r="218" spans="1:57" s="541" customFormat="1" ht="3" hidden="1" customHeight="1" outlineLevel="2">
      <c r="A218" s="542"/>
      <c r="B218" s="540"/>
      <c r="C218" s="537"/>
      <c r="D218" s="538"/>
      <c r="E218" s="532"/>
      <c r="F218" s="533"/>
      <c r="G218" s="542"/>
      <c r="H218" s="503"/>
      <c r="I218" s="400"/>
      <c r="J218" s="507"/>
      <c r="K218" s="542"/>
      <c r="L218" s="393"/>
      <c r="M218" s="542"/>
      <c r="N218" s="397"/>
      <c r="O218" s="526"/>
      <c r="P218" s="526"/>
      <c r="Q218" s="526"/>
      <c r="R218" s="526"/>
      <c r="S218" s="526"/>
      <c r="T218" s="526"/>
      <c r="U218" s="526"/>
      <c r="V218" s="526"/>
      <c r="W218" s="526"/>
      <c r="X218" s="526"/>
      <c r="BE218" s="542"/>
    </row>
    <row r="219" spans="1:57" s="541" customFormat="1" ht="12.75" hidden="1" customHeight="1" outlineLevel="2">
      <c r="A219" s="542"/>
      <c r="B219" s="540"/>
      <c r="C219" s="537" t="s">
        <v>2549</v>
      </c>
      <c r="D219" s="538"/>
      <c r="E219" s="532"/>
      <c r="F219" s="533"/>
      <c r="G219" s="542"/>
      <c r="H219" s="503"/>
      <c r="I219" s="400"/>
      <c r="J219" s="507"/>
      <c r="K219" s="542"/>
      <c r="L219" s="393"/>
      <c r="M219" s="542"/>
      <c r="N219" s="397"/>
      <c r="O219" s="526"/>
      <c r="P219" s="526"/>
      <c r="Q219" s="526"/>
      <c r="R219" s="526"/>
      <c r="S219" s="526"/>
      <c r="T219" s="526"/>
      <c r="U219" s="526"/>
      <c r="V219" s="526"/>
      <c r="W219" s="526"/>
      <c r="X219" s="526"/>
      <c r="BE219" s="542"/>
    </row>
    <row r="220" spans="1:57" s="535" customFormat="1" ht="12.75" hidden="1" customHeight="1" outlineLevel="3">
      <c r="A220" s="542"/>
      <c r="B220" s="540"/>
      <c r="C220" s="522" t="s">
        <v>2550</v>
      </c>
      <c r="D220" s="531" t="s">
        <v>758</v>
      </c>
      <c r="E220" s="532">
        <v>1001</v>
      </c>
      <c r="F220" s="533" t="s">
        <v>2551</v>
      </c>
      <c r="G220" s="542"/>
      <c r="H220" s="503" t="s">
        <v>758</v>
      </c>
      <c r="I220" s="400" t="str">
        <f t="shared" ref="I220:I221" si="22">CONCATENATE(H220,"-",J220)</f>
        <v>R25-1</v>
      </c>
      <c r="J220" s="507">
        <v>1</v>
      </c>
      <c r="K220" s="542"/>
      <c r="L220" s="526">
        <v>1</v>
      </c>
      <c r="M220" s="542"/>
      <c r="N220" s="397" t="s">
        <v>193</v>
      </c>
      <c r="O220" s="395"/>
      <c r="P220" s="526"/>
      <c r="Q220" s="526"/>
      <c r="R220" s="526"/>
      <c r="S220" s="526"/>
      <c r="T220" s="395" cm="1">
        <f t="array" ref="T220">IFERROR(_xlfn.IFS(U220=1,1,V220=1,1,W220=1,1,X220=1,1),0)</f>
        <v>0</v>
      </c>
      <c r="U220" s="526"/>
      <c r="V220" s="526"/>
      <c r="W220" s="526"/>
      <c r="X220" s="526"/>
      <c r="BE220" s="542">
        <v>1</v>
      </c>
    </row>
    <row r="221" spans="1:57" s="535" customFormat="1" ht="12.75" hidden="1" customHeight="1" outlineLevel="3">
      <c r="A221" s="542"/>
      <c r="B221" s="540"/>
      <c r="C221" s="522" t="s">
        <v>2550</v>
      </c>
      <c r="D221" s="531" t="s">
        <v>758</v>
      </c>
      <c r="E221" s="532">
        <v>9001</v>
      </c>
      <c r="F221" s="533" t="s">
        <v>2552</v>
      </c>
      <c r="G221" s="542"/>
      <c r="H221" s="503" t="s">
        <v>758</v>
      </c>
      <c r="I221" s="400" t="str">
        <f t="shared" si="22"/>
        <v>R25-1</v>
      </c>
      <c r="J221" s="507">
        <v>1</v>
      </c>
      <c r="K221" s="542"/>
      <c r="L221" s="526">
        <v>1</v>
      </c>
      <c r="M221" s="542"/>
      <c r="N221" s="397" t="s">
        <v>193</v>
      </c>
      <c r="O221" s="395"/>
      <c r="P221" s="526"/>
      <c r="Q221" s="526"/>
      <c r="R221" s="526"/>
      <c r="S221" s="526"/>
      <c r="T221" s="395" cm="1">
        <f t="array" ref="T221">IFERROR(_xlfn.IFS(U221=1,1,V221=1,1,W221=1,1,X221=1,1),0)</f>
        <v>0</v>
      </c>
      <c r="U221" s="526"/>
      <c r="V221" s="526"/>
      <c r="W221" s="526"/>
      <c r="X221" s="526"/>
      <c r="BE221" s="542">
        <v>1</v>
      </c>
    </row>
    <row r="222" spans="1:57" s="541" customFormat="1" ht="3" hidden="1" customHeight="1" outlineLevel="1">
      <c r="A222" s="542"/>
      <c r="B222" s="540"/>
      <c r="C222" s="537"/>
      <c r="D222" s="538"/>
      <c r="E222" s="532"/>
      <c r="F222" s="533"/>
      <c r="G222" s="542"/>
      <c r="H222" s="503"/>
      <c r="I222" s="400"/>
      <c r="J222" s="507"/>
      <c r="K222" s="542"/>
      <c r="L222" s="393"/>
      <c r="M222" s="542"/>
      <c r="N222" s="397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BE222" s="542"/>
    </row>
    <row r="223" spans="1:57" s="541" customFormat="1" ht="12.75" hidden="1" customHeight="1" outlineLevel="1">
      <c r="A223" s="542"/>
      <c r="B223" s="460" t="s">
        <v>84</v>
      </c>
      <c r="C223" s="460" t="s">
        <v>85</v>
      </c>
      <c r="D223" s="460"/>
      <c r="E223" s="460"/>
      <c r="F223" s="460"/>
      <c r="G223" s="542"/>
      <c r="H223" s="503"/>
      <c r="I223" s="400"/>
      <c r="J223" s="507"/>
      <c r="K223" s="542"/>
      <c r="L223" s="393"/>
      <c r="M223" s="542"/>
      <c r="N223" s="397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BE223" s="542"/>
    </row>
    <row r="224" spans="1:57" s="541" customFormat="1" ht="3" hidden="1" customHeight="1" outlineLevel="2">
      <c r="A224" s="542"/>
      <c r="B224" s="540"/>
      <c r="C224" s="537"/>
      <c r="D224" s="538"/>
      <c r="E224" s="532"/>
      <c r="F224" s="533"/>
      <c r="G224" s="542"/>
      <c r="H224" s="503"/>
      <c r="I224" s="400"/>
      <c r="J224" s="507"/>
      <c r="K224" s="542"/>
      <c r="L224" s="393"/>
      <c r="M224" s="542"/>
      <c r="N224" s="397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BE224" s="542"/>
    </row>
    <row r="225" spans="1:57" s="541" customFormat="1" ht="12.75" hidden="1" customHeight="1" outlineLevel="2">
      <c r="A225" s="542"/>
      <c r="B225" s="540"/>
      <c r="C225" s="522" t="s">
        <v>2239</v>
      </c>
      <c r="D225" s="531" t="s">
        <v>2170</v>
      </c>
      <c r="E225" s="532" t="s">
        <v>2553</v>
      </c>
      <c r="F225" s="533" t="s">
        <v>2554</v>
      </c>
      <c r="G225" s="542"/>
      <c r="H225" s="503" t="s">
        <v>1049</v>
      </c>
      <c r="I225" s="400" t="str">
        <f t="shared" ref="I225:I237" si="23">CONCATENATE(H225,"-",J225)</f>
        <v>L20-1</v>
      </c>
      <c r="J225" s="507">
        <v>1</v>
      </c>
      <c r="K225" s="542"/>
      <c r="L225" s="393"/>
      <c r="M225" s="542"/>
      <c r="N225" s="397" t="s">
        <v>193</v>
      </c>
      <c r="O225" s="395" cm="1">
        <f t="array" ref="O225">IFERROR(_xlfn.IFS(R225=1,1,Q225=1,1,P225=1,1,S225=1,1),0)</f>
        <v>1</v>
      </c>
      <c r="P225" s="526">
        <v>1</v>
      </c>
      <c r="R225" s="526"/>
      <c r="S225" s="526"/>
      <c r="T225" s="395" cm="1">
        <f t="array" ref="T225">IFERROR(_xlfn.IFS(W225=1,1,V225=1,1,U225=1,1,X225=1,1),0)</f>
        <v>1</v>
      </c>
      <c r="U225" s="526">
        <v>1</v>
      </c>
      <c r="W225" s="526"/>
      <c r="X225" s="526"/>
      <c r="BE225" s="542">
        <v>1</v>
      </c>
    </row>
    <row r="226" spans="1:57" s="541" customFormat="1" ht="12.75" hidden="1" customHeight="1" outlineLevel="2">
      <c r="A226" s="542"/>
      <c r="B226" s="540"/>
      <c r="C226" s="522" t="s">
        <v>2239</v>
      </c>
      <c r="D226" s="531" t="s">
        <v>2170</v>
      </c>
      <c r="E226" s="532" t="s">
        <v>2555</v>
      </c>
      <c r="F226" s="533" t="s">
        <v>2556</v>
      </c>
      <c r="G226" s="542"/>
      <c r="H226" s="503" t="s">
        <v>1049</v>
      </c>
      <c r="I226" s="400" t="str">
        <f t="shared" si="23"/>
        <v>L20-1</v>
      </c>
      <c r="J226" s="507">
        <v>1</v>
      </c>
      <c r="K226" s="542"/>
      <c r="L226" s="393"/>
      <c r="M226" s="542"/>
      <c r="N226" s="397" t="s">
        <v>193</v>
      </c>
      <c r="O226" s="395" cm="1">
        <f t="array" ref="O226">IFERROR(_xlfn.IFS(R226=1,1,Q226=1,1,P226=1,1,S226=1,1),0)</f>
        <v>1</v>
      </c>
      <c r="P226" s="526">
        <v>1</v>
      </c>
      <c r="R226" s="526"/>
      <c r="S226" s="526"/>
      <c r="T226" s="395" cm="1">
        <f t="array" ref="T226">IFERROR(_xlfn.IFS(W226=1,1,V226=1,1,U226=1,1,X226=1,1),0)</f>
        <v>1</v>
      </c>
      <c r="U226" s="526">
        <v>1</v>
      </c>
      <c r="W226" s="526"/>
      <c r="X226" s="526"/>
      <c r="BE226" s="542">
        <v>1</v>
      </c>
    </row>
    <row r="227" spans="1:57" s="541" customFormat="1" ht="12.75" hidden="1" customHeight="1" outlineLevel="2">
      <c r="A227" s="542"/>
      <c r="B227" s="540"/>
      <c r="C227" s="522" t="s">
        <v>2239</v>
      </c>
      <c r="D227" s="531" t="s">
        <v>2170</v>
      </c>
      <c r="E227" s="532" t="s">
        <v>2557</v>
      </c>
      <c r="F227" s="533" t="s">
        <v>2558</v>
      </c>
      <c r="G227" s="542"/>
      <c r="H227" s="503" t="s">
        <v>1049</v>
      </c>
      <c r="I227" s="400" t="str">
        <f t="shared" si="23"/>
        <v>L20-1</v>
      </c>
      <c r="J227" s="507">
        <v>1</v>
      </c>
      <c r="K227" s="542"/>
      <c r="L227" s="393"/>
      <c r="M227" s="542"/>
      <c r="N227" s="397" t="s">
        <v>193</v>
      </c>
      <c r="O227" s="395" cm="1">
        <f t="array" ref="O227">IFERROR(_xlfn.IFS(R227=1,1,Q227=1,1,P227=1,1,S227=1,1),0)</f>
        <v>1</v>
      </c>
      <c r="P227" s="526">
        <v>1</v>
      </c>
      <c r="R227" s="526"/>
      <c r="S227" s="526"/>
      <c r="T227" s="395" cm="1">
        <f t="array" ref="T227">IFERROR(_xlfn.IFS(W227=1,1,V227=1,1,U227=1,1,X227=1,1),0)</f>
        <v>1</v>
      </c>
      <c r="U227" s="526">
        <v>1</v>
      </c>
      <c r="W227" s="526"/>
      <c r="X227" s="526"/>
      <c r="BE227" s="542">
        <v>1</v>
      </c>
    </row>
    <row r="228" spans="1:57" s="541" customFormat="1" ht="12.75" hidden="1" customHeight="1" outlineLevel="2">
      <c r="A228" s="542"/>
      <c r="B228" s="540"/>
      <c r="C228" s="522" t="s">
        <v>2239</v>
      </c>
      <c r="D228" s="531" t="s">
        <v>2170</v>
      </c>
      <c r="E228" s="532" t="s">
        <v>2559</v>
      </c>
      <c r="F228" s="533" t="s">
        <v>2560</v>
      </c>
      <c r="G228" s="542"/>
      <c r="H228" s="503" t="s">
        <v>1049</v>
      </c>
      <c r="I228" s="400" t="str">
        <f t="shared" si="23"/>
        <v>L20-1</v>
      </c>
      <c r="J228" s="507">
        <v>1</v>
      </c>
      <c r="K228" s="542"/>
      <c r="L228" s="393"/>
      <c r="M228" s="542"/>
      <c r="N228" s="397" t="s">
        <v>193</v>
      </c>
      <c r="O228" s="395" cm="1">
        <f t="array" ref="O228">IFERROR(_xlfn.IFS(R228=1,1,Q228=1,1,P228=1,1,S228=1,1),0)</f>
        <v>1</v>
      </c>
      <c r="P228" s="526">
        <v>1</v>
      </c>
      <c r="R228" s="526"/>
      <c r="S228" s="526"/>
      <c r="T228" s="395" cm="1">
        <f t="array" ref="T228">IFERROR(_xlfn.IFS(W228=1,1,V228=1,1,U228=1,1,X228=1,1),0)</f>
        <v>1</v>
      </c>
      <c r="U228" s="526">
        <v>1</v>
      </c>
      <c r="W228" s="526"/>
      <c r="X228" s="526"/>
      <c r="BE228" s="542">
        <v>1</v>
      </c>
    </row>
    <row r="229" spans="1:57" s="541" customFormat="1" ht="12.75" hidden="1" customHeight="1" outlineLevel="2">
      <c r="A229" s="542"/>
      <c r="B229" s="540"/>
      <c r="C229" s="522" t="s">
        <v>2239</v>
      </c>
      <c r="D229" s="531" t="s">
        <v>2170</v>
      </c>
      <c r="E229" s="532" t="s">
        <v>2561</v>
      </c>
      <c r="F229" s="533" t="s">
        <v>2562</v>
      </c>
      <c r="G229" s="542"/>
      <c r="H229" s="503" t="s">
        <v>1049</v>
      </c>
      <c r="I229" s="400" t="str">
        <f t="shared" si="23"/>
        <v>L20-1</v>
      </c>
      <c r="J229" s="507">
        <v>1</v>
      </c>
      <c r="K229" s="542"/>
      <c r="L229" s="393"/>
      <c r="M229" s="542"/>
      <c r="N229" s="397" t="s">
        <v>193</v>
      </c>
      <c r="O229" s="395" cm="1">
        <f t="array" ref="O229">IFERROR(_xlfn.IFS(R229=1,1,Q229=1,1,P229=1,1,S229=1,1),0)</f>
        <v>1</v>
      </c>
      <c r="P229" s="526">
        <v>1</v>
      </c>
      <c r="R229" s="526"/>
      <c r="S229" s="526"/>
      <c r="T229" s="395" cm="1">
        <f t="array" ref="T229">IFERROR(_xlfn.IFS(W229=1,1,V229=1,1,U229=1,1,X229=1,1),0)</f>
        <v>1</v>
      </c>
      <c r="U229" s="526">
        <v>1</v>
      </c>
      <c r="W229" s="526"/>
      <c r="X229" s="526"/>
      <c r="BE229" s="542">
        <v>1</v>
      </c>
    </row>
    <row r="230" spans="1:57" s="541" customFormat="1" ht="12.75" hidden="1" customHeight="1" outlineLevel="2">
      <c r="A230" s="542"/>
      <c r="B230" s="540"/>
      <c r="C230" s="522" t="s">
        <v>2239</v>
      </c>
      <c r="D230" s="531" t="s">
        <v>2170</v>
      </c>
      <c r="E230" s="532" t="s">
        <v>2563</v>
      </c>
      <c r="F230" s="533" t="s">
        <v>2564</v>
      </c>
      <c r="G230" s="542"/>
      <c r="H230" s="503" t="s">
        <v>1049</v>
      </c>
      <c r="I230" s="400" t="str">
        <f t="shared" si="23"/>
        <v>L20-1</v>
      </c>
      <c r="J230" s="507">
        <v>1</v>
      </c>
      <c r="K230" s="542"/>
      <c r="L230" s="393"/>
      <c r="M230" s="542"/>
      <c r="N230" s="397" t="s">
        <v>193</v>
      </c>
      <c r="O230" s="395" cm="1">
        <f t="array" ref="O230">IFERROR(_xlfn.IFS(R230=1,1,Q230=1,1,P230=1,1,S230=1,1),0)</f>
        <v>1</v>
      </c>
      <c r="P230" s="526">
        <v>1</v>
      </c>
      <c r="R230" s="526"/>
      <c r="S230" s="526"/>
      <c r="T230" s="395" cm="1">
        <f t="array" ref="T230">IFERROR(_xlfn.IFS(W230=1,1,V230=1,1,U230=1,1,X230=1,1),0)</f>
        <v>1</v>
      </c>
      <c r="U230" s="526">
        <v>1</v>
      </c>
      <c r="W230" s="526"/>
      <c r="X230" s="526"/>
      <c r="BE230" s="542">
        <v>1</v>
      </c>
    </row>
    <row r="231" spans="1:57" s="541" customFormat="1" ht="12.75" hidden="1" customHeight="1" outlineLevel="2">
      <c r="A231" s="542"/>
      <c r="B231" s="540"/>
      <c r="C231" s="522" t="s">
        <v>2239</v>
      </c>
      <c r="D231" s="531" t="s">
        <v>2170</v>
      </c>
      <c r="E231" s="532" t="s">
        <v>2565</v>
      </c>
      <c r="F231" s="533" t="s">
        <v>2566</v>
      </c>
      <c r="G231" s="542"/>
      <c r="H231" s="503" t="s">
        <v>1049</v>
      </c>
      <c r="I231" s="400" t="str">
        <f t="shared" si="23"/>
        <v>L20-1</v>
      </c>
      <c r="J231" s="507">
        <v>1</v>
      </c>
      <c r="K231" s="542"/>
      <c r="L231" s="393"/>
      <c r="M231" s="542"/>
      <c r="N231" s="397" t="s">
        <v>193</v>
      </c>
      <c r="O231" s="395" cm="1">
        <f t="array" ref="O231">IFERROR(_xlfn.IFS(R231=1,1,Q231=1,1,P231=1,1,S231=1,1),0)</f>
        <v>1</v>
      </c>
      <c r="P231" s="526">
        <v>1</v>
      </c>
      <c r="R231" s="526"/>
      <c r="S231" s="526"/>
      <c r="T231" s="395" cm="1">
        <f t="array" ref="T231">IFERROR(_xlfn.IFS(W231=1,1,V231=1,1,U231=1,1,X231=1,1),0)</f>
        <v>1</v>
      </c>
      <c r="U231" s="526">
        <v>1</v>
      </c>
      <c r="W231" s="526"/>
      <c r="X231" s="526"/>
      <c r="BE231" s="542">
        <v>1</v>
      </c>
    </row>
    <row r="232" spans="1:57" s="541" customFormat="1" ht="12.75" hidden="1" customHeight="1" outlineLevel="2">
      <c r="A232" s="542"/>
      <c r="B232" s="540"/>
      <c r="C232" s="522" t="s">
        <v>2239</v>
      </c>
      <c r="D232" s="531" t="s">
        <v>2170</v>
      </c>
      <c r="E232" s="532" t="s">
        <v>2567</v>
      </c>
      <c r="F232" s="533" t="s">
        <v>2568</v>
      </c>
      <c r="G232" s="542"/>
      <c r="H232" s="503" t="s">
        <v>1049</v>
      </c>
      <c r="I232" s="400" t="str">
        <f t="shared" si="23"/>
        <v>L20-1</v>
      </c>
      <c r="J232" s="507">
        <v>1</v>
      </c>
      <c r="K232" s="542"/>
      <c r="L232" s="393"/>
      <c r="M232" s="542"/>
      <c r="N232" s="397" t="s">
        <v>193</v>
      </c>
      <c r="O232" s="395" cm="1">
        <f t="array" ref="O232">IFERROR(_xlfn.IFS(R232=1,1,Q232=1,1,P232=1,1,S232=1,1),0)</f>
        <v>1</v>
      </c>
      <c r="P232" s="526">
        <v>1</v>
      </c>
      <c r="R232" s="526"/>
      <c r="S232" s="526"/>
      <c r="T232" s="395" cm="1">
        <f t="array" ref="T232">IFERROR(_xlfn.IFS(W232=1,1,V232=1,1,U232=1,1,X232=1,1),0)</f>
        <v>1</v>
      </c>
      <c r="U232" s="526">
        <v>1</v>
      </c>
      <c r="W232" s="526"/>
      <c r="X232" s="526"/>
      <c r="BE232" s="542">
        <v>1</v>
      </c>
    </row>
    <row r="233" spans="1:57" s="541" customFormat="1" ht="12.75" hidden="1" customHeight="1" outlineLevel="2">
      <c r="A233" s="542"/>
      <c r="B233" s="540"/>
      <c r="C233" s="522" t="s">
        <v>2239</v>
      </c>
      <c r="D233" s="531" t="s">
        <v>2170</v>
      </c>
      <c r="E233" s="532" t="s">
        <v>2569</v>
      </c>
      <c r="F233" s="533" t="s">
        <v>2570</v>
      </c>
      <c r="G233" s="542"/>
      <c r="H233" s="503" t="s">
        <v>1049</v>
      </c>
      <c r="I233" s="400" t="str">
        <f t="shared" si="23"/>
        <v>L20-1</v>
      </c>
      <c r="J233" s="507">
        <v>1</v>
      </c>
      <c r="K233" s="542"/>
      <c r="L233" s="393"/>
      <c r="M233" s="542"/>
      <c r="N233" s="397" t="s">
        <v>193</v>
      </c>
      <c r="O233" s="395" cm="1">
        <f t="array" ref="O233">IFERROR(_xlfn.IFS(R233=1,1,Q233=1,1,P233=1,1,S233=1,1),0)</f>
        <v>1</v>
      </c>
      <c r="P233" s="526">
        <v>1</v>
      </c>
      <c r="R233" s="526"/>
      <c r="S233" s="526"/>
      <c r="T233" s="395" cm="1">
        <f t="array" ref="T233">IFERROR(_xlfn.IFS(W233=1,1,V233=1,1,U233=1,1,X233=1,1),0)</f>
        <v>1</v>
      </c>
      <c r="U233" s="526">
        <v>1</v>
      </c>
      <c r="W233" s="526"/>
      <c r="X233" s="526"/>
      <c r="BE233" s="542">
        <v>1</v>
      </c>
    </row>
    <row r="234" spans="1:57" s="541" customFormat="1" ht="12.75" hidden="1" customHeight="1" outlineLevel="2">
      <c r="A234" s="542"/>
      <c r="B234" s="540"/>
      <c r="C234" s="522" t="s">
        <v>2239</v>
      </c>
      <c r="D234" s="531" t="s">
        <v>2170</v>
      </c>
      <c r="E234" s="532" t="s">
        <v>2571</v>
      </c>
      <c r="F234" s="533" t="s">
        <v>2572</v>
      </c>
      <c r="G234" s="542"/>
      <c r="H234" s="503" t="s">
        <v>1049</v>
      </c>
      <c r="I234" s="400" t="str">
        <f t="shared" si="23"/>
        <v>L20-1</v>
      </c>
      <c r="J234" s="507">
        <v>1</v>
      </c>
      <c r="K234" s="542"/>
      <c r="L234" s="393"/>
      <c r="M234" s="542"/>
      <c r="N234" s="397" t="s">
        <v>193</v>
      </c>
      <c r="O234" s="395" cm="1">
        <f t="array" ref="O234">IFERROR(_xlfn.IFS(R234=1,1,Q234=1,1,P234=1,1,S234=1,1),0)</f>
        <v>1</v>
      </c>
      <c r="P234" s="526">
        <v>1</v>
      </c>
      <c r="R234" s="526"/>
      <c r="S234" s="526"/>
      <c r="T234" s="395" cm="1">
        <f t="array" ref="T234">IFERROR(_xlfn.IFS(W234=1,1,V234=1,1,U234=1,1,X234=1,1),0)</f>
        <v>1</v>
      </c>
      <c r="U234" s="526">
        <v>1</v>
      </c>
      <c r="W234" s="526"/>
      <c r="X234" s="526"/>
      <c r="BE234" s="542">
        <v>1</v>
      </c>
    </row>
    <row r="235" spans="1:57" s="541" customFormat="1" ht="12.75" hidden="1" customHeight="1" outlineLevel="2">
      <c r="A235" s="542"/>
      <c r="B235" s="540"/>
      <c r="C235" s="522" t="s">
        <v>2239</v>
      </c>
      <c r="D235" s="531" t="s">
        <v>2170</v>
      </c>
      <c r="E235" s="532" t="s">
        <v>2573</v>
      </c>
      <c r="F235" s="533" t="s">
        <v>2574</v>
      </c>
      <c r="G235" s="542"/>
      <c r="H235" s="503" t="s">
        <v>1049</v>
      </c>
      <c r="I235" s="400" t="str">
        <f t="shared" si="23"/>
        <v>L20-1</v>
      </c>
      <c r="J235" s="507">
        <v>1</v>
      </c>
      <c r="K235" s="542"/>
      <c r="L235" s="393"/>
      <c r="M235" s="542"/>
      <c r="N235" s="397" t="s">
        <v>193</v>
      </c>
      <c r="O235" s="395" cm="1">
        <f t="array" ref="O235">IFERROR(_xlfn.IFS(R235=1,1,Q235=1,1,P235=1,1,S235=1,1),0)</f>
        <v>1</v>
      </c>
      <c r="P235" s="526">
        <v>1</v>
      </c>
      <c r="R235" s="526"/>
      <c r="S235" s="526"/>
      <c r="T235" s="395" cm="1">
        <f t="array" ref="T235">IFERROR(_xlfn.IFS(W235=1,1,V235=1,1,U235=1,1,X235=1,1),0)</f>
        <v>1</v>
      </c>
      <c r="U235" s="526">
        <v>1</v>
      </c>
      <c r="W235" s="526"/>
      <c r="X235" s="526"/>
      <c r="BE235" s="542">
        <v>1</v>
      </c>
    </row>
    <row r="236" spans="1:57" s="541" customFormat="1" ht="12.75" hidden="1" customHeight="1" outlineLevel="2">
      <c r="A236" s="542"/>
      <c r="B236" s="540"/>
      <c r="C236" s="522" t="s">
        <v>2239</v>
      </c>
      <c r="D236" s="531" t="s">
        <v>2170</v>
      </c>
      <c r="E236" s="532" t="s">
        <v>2575</v>
      </c>
      <c r="F236" s="533" t="s">
        <v>2576</v>
      </c>
      <c r="G236" s="542"/>
      <c r="H236" s="503" t="s">
        <v>1049</v>
      </c>
      <c r="I236" s="400" t="str">
        <f t="shared" si="23"/>
        <v>L20-1</v>
      </c>
      <c r="J236" s="507">
        <v>1</v>
      </c>
      <c r="K236" s="542"/>
      <c r="L236" s="393"/>
      <c r="M236" s="542"/>
      <c r="N236" s="397" t="s">
        <v>193</v>
      </c>
      <c r="O236" s="395" cm="1">
        <f t="array" ref="O236">IFERROR(_xlfn.IFS(R236=1,1,Q236=1,1,P236=1,1,S236=1,1),0)</f>
        <v>1</v>
      </c>
      <c r="P236" s="526">
        <v>1</v>
      </c>
      <c r="R236" s="526"/>
      <c r="S236" s="526"/>
      <c r="T236" s="395" cm="1">
        <f t="array" ref="T236">IFERROR(_xlfn.IFS(W236=1,1,V236=1,1,U236=1,1,X236=1,1),0)</f>
        <v>1</v>
      </c>
      <c r="U236" s="526">
        <v>1</v>
      </c>
      <c r="W236" s="526"/>
      <c r="X236" s="526"/>
      <c r="BE236" s="542">
        <v>1</v>
      </c>
    </row>
    <row r="237" spans="1:57" s="541" customFormat="1" ht="12.75" hidden="1" customHeight="1" outlineLevel="2">
      <c r="A237" s="542"/>
      <c r="B237" s="540"/>
      <c r="C237" s="522" t="s">
        <v>2239</v>
      </c>
      <c r="D237" s="531" t="s">
        <v>2170</v>
      </c>
      <c r="E237" s="532" t="s">
        <v>2577</v>
      </c>
      <c r="F237" s="533" t="s">
        <v>2578</v>
      </c>
      <c r="G237" s="542"/>
      <c r="H237" s="503" t="s">
        <v>1049</v>
      </c>
      <c r="I237" s="400" t="str">
        <f t="shared" si="23"/>
        <v>L20-1</v>
      </c>
      <c r="J237" s="507">
        <v>1</v>
      </c>
      <c r="K237" s="542"/>
      <c r="L237" s="393"/>
      <c r="M237" s="542"/>
      <c r="N237" s="397" t="s">
        <v>193</v>
      </c>
      <c r="O237" s="395" cm="1">
        <f t="array" ref="O237">IFERROR(_xlfn.IFS(R237=1,1,Q237=1,1,P237=1,1,S237=1,1),0)</f>
        <v>1</v>
      </c>
      <c r="P237" s="526">
        <v>1</v>
      </c>
      <c r="R237" s="526"/>
      <c r="S237" s="526"/>
      <c r="T237" s="395" cm="1">
        <f t="array" ref="T237">IFERROR(_xlfn.IFS(W237=1,1,V237=1,1,U237=1,1,X237=1,1),0)</f>
        <v>1</v>
      </c>
      <c r="U237" s="526">
        <v>1</v>
      </c>
      <c r="W237" s="526"/>
      <c r="X237" s="526"/>
      <c r="BE237" s="542">
        <v>1</v>
      </c>
    </row>
    <row r="238" spans="1:57" s="541" customFormat="1" ht="12.75" hidden="1" customHeight="1" outlineLevel="2">
      <c r="A238" s="542"/>
      <c r="B238" s="540"/>
      <c r="C238" s="522" t="s">
        <v>2239</v>
      </c>
      <c r="D238" s="531" t="s">
        <v>2170</v>
      </c>
      <c r="E238" s="532" t="s">
        <v>2579</v>
      </c>
      <c r="F238" s="533" t="s">
        <v>2580</v>
      </c>
      <c r="G238" s="542"/>
      <c r="H238" s="503" t="s">
        <v>1049</v>
      </c>
      <c r="I238" s="400" t="str">
        <f t="shared" ref="I238:I253" si="24">CONCATENATE(H238,"-",J238)</f>
        <v>L20-1</v>
      </c>
      <c r="J238" s="507">
        <v>1</v>
      </c>
      <c r="K238" s="542"/>
      <c r="L238" s="393"/>
      <c r="M238" s="542"/>
      <c r="N238" s="397" t="s">
        <v>193</v>
      </c>
      <c r="O238" s="395" cm="1">
        <f t="array" ref="O238">IFERROR(_xlfn.IFS(R238=1,1,Q238=1,1,P238=1,1,S238=1,1),0)</f>
        <v>1</v>
      </c>
      <c r="P238" s="526">
        <v>1</v>
      </c>
      <c r="R238" s="526"/>
      <c r="S238" s="526"/>
      <c r="T238" s="395" cm="1">
        <f t="array" ref="T238">IFERROR(_xlfn.IFS(W238=1,1,V238=1,1,U238=1,1,X238=1,1),0)</f>
        <v>1</v>
      </c>
      <c r="U238" s="526">
        <v>1</v>
      </c>
      <c r="W238" s="526"/>
      <c r="X238" s="526"/>
      <c r="BE238" s="542">
        <v>1</v>
      </c>
    </row>
    <row r="239" spans="1:57" s="541" customFormat="1" ht="12.75" hidden="1" customHeight="1" outlineLevel="2">
      <c r="A239" s="542"/>
      <c r="B239" s="540"/>
      <c r="C239" s="522" t="s">
        <v>2239</v>
      </c>
      <c r="D239" s="531" t="s">
        <v>2170</v>
      </c>
      <c r="E239" s="532" t="s">
        <v>2581</v>
      </c>
      <c r="F239" s="533" t="s">
        <v>2582</v>
      </c>
      <c r="G239" s="542"/>
      <c r="H239" s="503" t="s">
        <v>1049</v>
      </c>
      <c r="I239" s="400" t="str">
        <f t="shared" si="24"/>
        <v>L20-1</v>
      </c>
      <c r="J239" s="507">
        <v>1</v>
      </c>
      <c r="K239" s="542"/>
      <c r="L239" s="393"/>
      <c r="M239" s="542"/>
      <c r="N239" s="397" t="s">
        <v>193</v>
      </c>
      <c r="O239" s="395" cm="1">
        <f t="array" ref="O239">IFERROR(_xlfn.IFS(R239=1,1,Q239=1,1,P239=1,1,S239=1,1),0)</f>
        <v>1</v>
      </c>
      <c r="P239" s="526">
        <v>1</v>
      </c>
      <c r="R239" s="526"/>
      <c r="S239" s="526"/>
      <c r="T239" s="395" cm="1">
        <f t="array" ref="T239">IFERROR(_xlfn.IFS(W239=1,1,V239=1,1,U239=1,1,X239=1,1),0)</f>
        <v>1</v>
      </c>
      <c r="U239" s="526">
        <v>1</v>
      </c>
      <c r="W239" s="526"/>
      <c r="X239" s="526"/>
      <c r="BE239" s="542">
        <v>1</v>
      </c>
    </row>
    <row r="240" spans="1:57" s="541" customFormat="1" ht="12.75" hidden="1" customHeight="1" outlineLevel="2">
      <c r="A240" s="542"/>
      <c r="B240" s="540"/>
      <c r="C240" s="522" t="s">
        <v>2239</v>
      </c>
      <c r="D240" s="531" t="s">
        <v>2170</v>
      </c>
      <c r="E240" s="532" t="s">
        <v>2583</v>
      </c>
      <c r="F240" s="533" t="s">
        <v>2584</v>
      </c>
      <c r="G240" s="542"/>
      <c r="H240" s="503" t="s">
        <v>1049</v>
      </c>
      <c r="I240" s="400" t="str">
        <f t="shared" si="24"/>
        <v>L20-1</v>
      </c>
      <c r="J240" s="507">
        <v>1</v>
      </c>
      <c r="K240" s="542"/>
      <c r="L240" s="393"/>
      <c r="M240" s="542"/>
      <c r="N240" s="397" t="s">
        <v>193</v>
      </c>
      <c r="O240" s="395" cm="1">
        <f t="array" ref="O240">IFERROR(_xlfn.IFS(R240=1,1,Q240=1,1,P240=1,1,S240=1,1),0)</f>
        <v>1</v>
      </c>
      <c r="P240" s="526">
        <v>1</v>
      </c>
      <c r="R240" s="526"/>
      <c r="S240" s="526"/>
      <c r="T240" s="395" cm="1">
        <f t="array" ref="T240">IFERROR(_xlfn.IFS(W240=1,1,V240=1,1,U240=1,1,X240=1,1),0)</f>
        <v>1</v>
      </c>
      <c r="U240" s="526">
        <v>1</v>
      </c>
      <c r="W240" s="526"/>
      <c r="X240" s="526"/>
      <c r="BE240" s="542">
        <v>1</v>
      </c>
    </row>
    <row r="241" spans="1:57" s="541" customFormat="1" ht="12.75" hidden="1" customHeight="1" outlineLevel="2">
      <c r="A241" s="542"/>
      <c r="B241" s="540"/>
      <c r="C241" s="522" t="s">
        <v>2239</v>
      </c>
      <c r="D241" s="531" t="s">
        <v>2170</v>
      </c>
      <c r="E241" s="532" t="s">
        <v>2585</v>
      </c>
      <c r="F241" s="533" t="s">
        <v>2586</v>
      </c>
      <c r="G241" s="542"/>
      <c r="H241" s="503" t="s">
        <v>1049</v>
      </c>
      <c r="I241" s="400" t="str">
        <f t="shared" si="24"/>
        <v>L20-1</v>
      </c>
      <c r="J241" s="507">
        <v>1</v>
      </c>
      <c r="K241" s="542"/>
      <c r="L241" s="393"/>
      <c r="M241" s="542"/>
      <c r="N241" s="397" t="s">
        <v>193</v>
      </c>
      <c r="O241" s="395" cm="1">
        <f t="array" ref="O241">IFERROR(_xlfn.IFS(R241=1,1,Q241=1,1,P241=1,1,S241=1,1),0)</f>
        <v>1</v>
      </c>
      <c r="P241" s="526">
        <v>1</v>
      </c>
      <c r="R241" s="526"/>
      <c r="S241" s="526"/>
      <c r="T241" s="395" cm="1">
        <f t="array" ref="T241">IFERROR(_xlfn.IFS(W241=1,1,V241=1,1,U241=1,1,X241=1,1),0)</f>
        <v>1</v>
      </c>
      <c r="U241" s="526">
        <v>1</v>
      </c>
      <c r="W241" s="526"/>
      <c r="X241" s="526"/>
      <c r="BE241" s="542">
        <v>1</v>
      </c>
    </row>
    <row r="242" spans="1:57" s="541" customFormat="1" ht="12.75" hidden="1" customHeight="1" outlineLevel="2">
      <c r="A242" s="542"/>
      <c r="B242" s="540"/>
      <c r="C242" s="522" t="s">
        <v>2239</v>
      </c>
      <c r="D242" s="531" t="s">
        <v>2170</v>
      </c>
      <c r="E242" s="532" t="s">
        <v>2587</v>
      </c>
      <c r="F242" s="533" t="s">
        <v>2588</v>
      </c>
      <c r="G242" s="542"/>
      <c r="H242" s="503" t="s">
        <v>1049</v>
      </c>
      <c r="I242" s="400" t="str">
        <f t="shared" si="24"/>
        <v>L20-1</v>
      </c>
      <c r="J242" s="507">
        <v>1</v>
      </c>
      <c r="K242" s="542"/>
      <c r="L242" s="393"/>
      <c r="M242" s="542"/>
      <c r="N242" s="397" t="s">
        <v>193</v>
      </c>
      <c r="O242" s="395" cm="1">
        <f t="array" ref="O242">IFERROR(_xlfn.IFS(R242=1,1,Q242=1,1,P242=1,1,S242=1,1),0)</f>
        <v>1</v>
      </c>
      <c r="P242" s="526">
        <v>1</v>
      </c>
      <c r="R242" s="526"/>
      <c r="S242" s="526"/>
      <c r="T242" s="395" cm="1">
        <f t="array" ref="T242">IFERROR(_xlfn.IFS(W242=1,1,V242=1,1,U242=1,1,X242=1,1),0)</f>
        <v>1</v>
      </c>
      <c r="U242" s="526">
        <v>1</v>
      </c>
      <c r="W242" s="526"/>
      <c r="X242" s="526"/>
      <c r="BE242" s="542">
        <v>1</v>
      </c>
    </row>
    <row r="243" spans="1:57" s="541" customFormat="1" ht="12.75" hidden="1" customHeight="1" outlineLevel="2">
      <c r="A243" s="542"/>
      <c r="B243" s="540"/>
      <c r="C243" s="522" t="s">
        <v>2239</v>
      </c>
      <c r="D243" s="531" t="s">
        <v>2170</v>
      </c>
      <c r="E243" s="532" t="s">
        <v>2589</v>
      </c>
      <c r="F243" s="533" t="s">
        <v>2590</v>
      </c>
      <c r="G243" s="542"/>
      <c r="H243" s="503" t="s">
        <v>1049</v>
      </c>
      <c r="I243" s="400" t="str">
        <f t="shared" si="24"/>
        <v>L20-1</v>
      </c>
      <c r="J243" s="507">
        <v>1</v>
      </c>
      <c r="K243" s="542"/>
      <c r="L243" s="393"/>
      <c r="M243" s="542"/>
      <c r="N243" s="397" t="s">
        <v>193</v>
      </c>
      <c r="O243" s="395" cm="1">
        <f t="array" ref="O243">IFERROR(_xlfn.IFS(R243=1,1,Q243=1,1,P243=1,1,S243=1,1),0)</f>
        <v>1</v>
      </c>
      <c r="P243" s="526">
        <v>1</v>
      </c>
      <c r="R243" s="526"/>
      <c r="S243" s="526"/>
      <c r="T243" s="395" cm="1">
        <f t="array" ref="T243">IFERROR(_xlfn.IFS(W243=1,1,V243=1,1,U243=1,1,X243=1,1),0)</f>
        <v>1</v>
      </c>
      <c r="U243" s="526">
        <v>1</v>
      </c>
      <c r="W243" s="526"/>
      <c r="X243" s="526"/>
      <c r="BE243" s="542">
        <v>1</v>
      </c>
    </row>
    <row r="244" spans="1:57" s="541" customFormat="1" ht="12.75" hidden="1" customHeight="1" outlineLevel="2">
      <c r="A244" s="542"/>
      <c r="B244" s="540"/>
      <c r="C244" s="522" t="s">
        <v>2239</v>
      </c>
      <c r="D244" s="531" t="s">
        <v>2170</v>
      </c>
      <c r="E244" s="532" t="s">
        <v>2591</v>
      </c>
      <c r="F244" s="533" t="s">
        <v>2592</v>
      </c>
      <c r="G244" s="542"/>
      <c r="H244" s="503" t="s">
        <v>1049</v>
      </c>
      <c r="I244" s="400" t="str">
        <f t="shared" si="24"/>
        <v>L20-1</v>
      </c>
      <c r="J244" s="507">
        <v>1</v>
      </c>
      <c r="K244" s="542"/>
      <c r="L244" s="393"/>
      <c r="M244" s="542"/>
      <c r="N244" s="397" t="s">
        <v>193</v>
      </c>
      <c r="O244" s="395" cm="1">
        <f t="array" ref="O244">IFERROR(_xlfn.IFS(R244=1,1,Q244=1,1,P244=1,1,S244=1,1),0)</f>
        <v>1</v>
      </c>
      <c r="P244" s="526">
        <v>1</v>
      </c>
      <c r="R244" s="526"/>
      <c r="S244" s="526"/>
      <c r="T244" s="395" cm="1">
        <f t="array" ref="T244">IFERROR(_xlfn.IFS(W244=1,1,V244=1,1,U244=1,1,X244=1,1),0)</f>
        <v>1</v>
      </c>
      <c r="U244" s="526">
        <v>1</v>
      </c>
      <c r="W244" s="526"/>
      <c r="X244" s="526"/>
      <c r="BE244" s="542">
        <v>1</v>
      </c>
    </row>
    <row r="245" spans="1:57" s="541" customFormat="1" ht="12.75" hidden="1" customHeight="1" outlineLevel="2">
      <c r="A245" s="542"/>
      <c r="B245" s="540"/>
      <c r="C245" s="522" t="s">
        <v>2239</v>
      </c>
      <c r="D245" s="531" t="s">
        <v>2170</v>
      </c>
      <c r="E245" s="532" t="s">
        <v>2593</v>
      </c>
      <c r="F245" s="533" t="s">
        <v>2594</v>
      </c>
      <c r="G245" s="542"/>
      <c r="H245" s="503" t="s">
        <v>1049</v>
      </c>
      <c r="I245" s="400" t="str">
        <f t="shared" si="24"/>
        <v>L20-1</v>
      </c>
      <c r="J245" s="507">
        <v>1</v>
      </c>
      <c r="K245" s="542"/>
      <c r="L245" s="393"/>
      <c r="M245" s="542"/>
      <c r="N245" s="397" t="s">
        <v>193</v>
      </c>
      <c r="O245" s="395" cm="1">
        <f t="array" ref="O245">IFERROR(_xlfn.IFS(R245=1,1,Q245=1,1,P245=1,1,S245=1,1),0)</f>
        <v>1</v>
      </c>
      <c r="P245" s="526">
        <v>1</v>
      </c>
      <c r="R245" s="526"/>
      <c r="S245" s="526"/>
      <c r="T245" s="395" cm="1">
        <f t="array" ref="T245">IFERROR(_xlfn.IFS(W245=1,1,V245=1,1,U245=1,1,X245=1,1),0)</f>
        <v>1</v>
      </c>
      <c r="U245" s="526">
        <v>1</v>
      </c>
      <c r="W245" s="526"/>
      <c r="X245" s="526"/>
      <c r="BE245" s="542">
        <v>1</v>
      </c>
    </row>
    <row r="246" spans="1:57" s="541" customFormat="1" ht="12.75" hidden="1" customHeight="1" outlineLevel="2">
      <c r="A246" s="542"/>
      <c r="B246" s="540"/>
      <c r="C246" s="522" t="s">
        <v>2239</v>
      </c>
      <c r="D246" s="531" t="s">
        <v>2170</v>
      </c>
      <c r="E246" s="532" t="s">
        <v>2595</v>
      </c>
      <c r="F246" s="533" t="s">
        <v>2596</v>
      </c>
      <c r="G246" s="542"/>
      <c r="H246" s="503" t="s">
        <v>1049</v>
      </c>
      <c r="I246" s="400" t="str">
        <f t="shared" si="24"/>
        <v>L20-1</v>
      </c>
      <c r="J246" s="507">
        <v>1</v>
      </c>
      <c r="K246" s="542"/>
      <c r="L246" s="393"/>
      <c r="M246" s="542"/>
      <c r="N246" s="397" t="s">
        <v>193</v>
      </c>
      <c r="O246" s="395" cm="1">
        <f t="array" ref="O246">IFERROR(_xlfn.IFS(R246=1,1,Q246=1,1,P246=1,1,S246=1,1),0)</f>
        <v>1</v>
      </c>
      <c r="P246" s="526">
        <v>1</v>
      </c>
      <c r="R246" s="526"/>
      <c r="S246" s="526"/>
      <c r="T246" s="395" cm="1">
        <f t="array" ref="T246">IFERROR(_xlfn.IFS(W246=1,1,V246=1,1,U246=1,1,X246=1,1),0)</f>
        <v>1</v>
      </c>
      <c r="U246" s="526">
        <v>1</v>
      </c>
      <c r="W246" s="526"/>
      <c r="X246" s="526"/>
      <c r="BE246" s="542">
        <v>1</v>
      </c>
    </row>
    <row r="247" spans="1:57" s="541" customFormat="1" ht="12.75" hidden="1" customHeight="1" outlineLevel="2">
      <c r="A247" s="542"/>
      <c r="B247" s="540"/>
      <c r="C247" s="522" t="s">
        <v>2239</v>
      </c>
      <c r="D247" s="531" t="s">
        <v>2170</v>
      </c>
      <c r="E247" s="532" t="s">
        <v>2597</v>
      </c>
      <c r="F247" s="533" t="s">
        <v>2598</v>
      </c>
      <c r="G247" s="542"/>
      <c r="H247" s="503" t="s">
        <v>1049</v>
      </c>
      <c r="I247" s="400" t="str">
        <f t="shared" si="24"/>
        <v>L20-1</v>
      </c>
      <c r="J247" s="507">
        <v>1</v>
      </c>
      <c r="K247" s="542"/>
      <c r="L247" s="393"/>
      <c r="M247" s="542"/>
      <c r="N247" s="397" t="s">
        <v>193</v>
      </c>
      <c r="O247" s="395" cm="1">
        <f t="array" ref="O247">IFERROR(_xlfn.IFS(R247=1,1,Q247=1,1,P247=1,1,S247=1,1),0)</f>
        <v>1</v>
      </c>
      <c r="P247" s="526">
        <v>1</v>
      </c>
      <c r="R247" s="526"/>
      <c r="S247" s="526"/>
      <c r="T247" s="395" cm="1">
        <f t="array" ref="T247">IFERROR(_xlfn.IFS(W247=1,1,V247=1,1,U247=1,1,X247=1,1),0)</f>
        <v>1</v>
      </c>
      <c r="U247" s="526">
        <v>1</v>
      </c>
      <c r="W247" s="526"/>
      <c r="X247" s="526"/>
      <c r="BE247" s="542">
        <v>1</v>
      </c>
    </row>
    <row r="248" spans="1:57" s="541" customFormat="1" ht="12.75" hidden="1" customHeight="1" outlineLevel="2">
      <c r="A248" s="542"/>
      <c r="B248" s="540"/>
      <c r="C248" s="522" t="s">
        <v>2239</v>
      </c>
      <c r="D248" s="531" t="s">
        <v>2170</v>
      </c>
      <c r="E248" s="532" t="s">
        <v>2599</v>
      </c>
      <c r="F248" s="533" t="s">
        <v>2600</v>
      </c>
      <c r="G248" s="542"/>
      <c r="H248" s="503" t="s">
        <v>1049</v>
      </c>
      <c r="I248" s="400" t="str">
        <f t="shared" si="24"/>
        <v>L20-1</v>
      </c>
      <c r="J248" s="507">
        <v>1</v>
      </c>
      <c r="K248" s="542"/>
      <c r="L248" s="393"/>
      <c r="M248" s="542"/>
      <c r="N248" s="397" t="s">
        <v>193</v>
      </c>
      <c r="O248" s="395" cm="1">
        <f t="array" ref="O248">IFERROR(_xlfn.IFS(R248=1,1,Q248=1,1,P248=1,1,S248=1,1),0)</f>
        <v>1</v>
      </c>
      <c r="P248" s="526">
        <v>1</v>
      </c>
      <c r="R248" s="526"/>
      <c r="S248" s="526"/>
      <c r="T248" s="395" cm="1">
        <f t="array" ref="T248">IFERROR(_xlfn.IFS(W248=1,1,V248=1,1,U248=1,1,X248=1,1),0)</f>
        <v>1</v>
      </c>
      <c r="U248" s="526">
        <v>1</v>
      </c>
      <c r="W248" s="526"/>
      <c r="X248" s="526"/>
      <c r="BE248" s="542">
        <v>1</v>
      </c>
    </row>
    <row r="249" spans="1:57" s="541" customFormat="1" ht="12.75" hidden="1" customHeight="1" outlineLevel="2">
      <c r="A249" s="542"/>
      <c r="B249" s="540"/>
      <c r="C249" s="522" t="s">
        <v>2239</v>
      </c>
      <c r="D249" s="531" t="s">
        <v>2170</v>
      </c>
      <c r="E249" s="532" t="s">
        <v>2601</v>
      </c>
      <c r="F249" s="533" t="s">
        <v>2602</v>
      </c>
      <c r="G249" s="542"/>
      <c r="H249" s="503" t="s">
        <v>1049</v>
      </c>
      <c r="I249" s="400" t="str">
        <f t="shared" si="24"/>
        <v>L20-1</v>
      </c>
      <c r="J249" s="507">
        <v>1</v>
      </c>
      <c r="K249" s="542"/>
      <c r="L249" s="393"/>
      <c r="M249" s="542"/>
      <c r="N249" s="397" t="s">
        <v>193</v>
      </c>
      <c r="O249" s="395" cm="1">
        <f t="array" ref="O249">IFERROR(_xlfn.IFS(R249=1,1,Q249=1,1,P249=1,1,S249=1,1),0)</f>
        <v>1</v>
      </c>
      <c r="P249" s="526">
        <v>1</v>
      </c>
      <c r="R249" s="526"/>
      <c r="S249" s="526"/>
      <c r="T249" s="395" cm="1">
        <f t="array" ref="T249">IFERROR(_xlfn.IFS(W249=1,1,V249=1,1,U249=1,1,X249=1,1),0)</f>
        <v>1</v>
      </c>
      <c r="U249" s="526">
        <v>1</v>
      </c>
      <c r="W249" s="526"/>
      <c r="X249" s="526"/>
      <c r="BE249" s="542">
        <v>1</v>
      </c>
    </row>
    <row r="250" spans="1:57" s="541" customFormat="1" ht="12.75" hidden="1" customHeight="1" outlineLevel="2">
      <c r="A250" s="542"/>
      <c r="B250" s="540"/>
      <c r="C250" s="522" t="s">
        <v>2239</v>
      </c>
      <c r="D250" s="531" t="s">
        <v>2170</v>
      </c>
      <c r="E250" s="532" t="s">
        <v>2603</v>
      </c>
      <c r="F250" s="533" t="s">
        <v>2604</v>
      </c>
      <c r="G250" s="542"/>
      <c r="H250" s="503" t="s">
        <v>1049</v>
      </c>
      <c r="I250" s="400" t="str">
        <f t="shared" si="24"/>
        <v>L20-1</v>
      </c>
      <c r="J250" s="507">
        <v>1</v>
      </c>
      <c r="K250" s="542"/>
      <c r="L250" s="393"/>
      <c r="M250" s="542"/>
      <c r="N250" s="397" t="s">
        <v>193</v>
      </c>
      <c r="O250" s="395" cm="1">
        <f t="array" ref="O250">IFERROR(_xlfn.IFS(R250=1,1,Q250=1,1,P250=1,1,S250=1,1),0)</f>
        <v>1</v>
      </c>
      <c r="P250" s="526">
        <v>1</v>
      </c>
      <c r="R250" s="526"/>
      <c r="S250" s="526"/>
      <c r="T250" s="395" cm="1">
        <f t="array" ref="T250">IFERROR(_xlfn.IFS(W250=1,1,V250=1,1,U250=1,1,X250=1,1),0)</f>
        <v>1</v>
      </c>
      <c r="U250" s="526">
        <v>1</v>
      </c>
      <c r="W250" s="526"/>
      <c r="X250" s="526"/>
      <c r="BE250" s="542">
        <v>1</v>
      </c>
    </row>
    <row r="251" spans="1:57" s="541" customFormat="1" ht="12.75" hidden="1" customHeight="1" outlineLevel="2">
      <c r="A251" s="542"/>
      <c r="B251" s="540"/>
      <c r="C251" s="522" t="s">
        <v>2239</v>
      </c>
      <c r="D251" s="531" t="s">
        <v>2170</v>
      </c>
      <c r="E251" s="532" t="s">
        <v>2605</v>
      </c>
      <c r="F251" s="533" t="s">
        <v>2606</v>
      </c>
      <c r="G251" s="542"/>
      <c r="H251" s="503" t="s">
        <v>1049</v>
      </c>
      <c r="I251" s="400" t="str">
        <f t="shared" si="24"/>
        <v>L20-1</v>
      </c>
      <c r="J251" s="507">
        <v>1</v>
      </c>
      <c r="K251" s="542"/>
      <c r="L251" s="393"/>
      <c r="M251" s="542"/>
      <c r="N251" s="397" t="s">
        <v>193</v>
      </c>
      <c r="O251" s="395" cm="1">
        <f t="array" ref="O251">IFERROR(_xlfn.IFS(R251=1,1,Q251=1,1,P251=1,1,S251=1,1),0)</f>
        <v>1</v>
      </c>
      <c r="P251" s="526">
        <v>1</v>
      </c>
      <c r="R251" s="526"/>
      <c r="S251" s="526"/>
      <c r="T251" s="395" cm="1">
        <f t="array" ref="T251">IFERROR(_xlfn.IFS(W251=1,1,V251=1,1,U251=1,1,X251=1,1),0)</f>
        <v>1</v>
      </c>
      <c r="U251" s="526">
        <v>1</v>
      </c>
      <c r="W251" s="526"/>
      <c r="X251" s="526"/>
      <c r="BE251" s="542">
        <v>1</v>
      </c>
    </row>
    <row r="252" spans="1:57" s="541" customFormat="1" ht="12.75" hidden="1" customHeight="1" outlineLevel="2">
      <c r="A252" s="542"/>
      <c r="B252" s="540"/>
      <c r="C252" s="522" t="s">
        <v>2239</v>
      </c>
      <c r="D252" s="531" t="s">
        <v>2170</v>
      </c>
      <c r="E252" s="532" t="s">
        <v>2607</v>
      </c>
      <c r="F252" s="533" t="s">
        <v>2608</v>
      </c>
      <c r="G252" s="542"/>
      <c r="H252" s="503" t="s">
        <v>1049</v>
      </c>
      <c r="I252" s="400" t="str">
        <f t="shared" si="24"/>
        <v>L20-1</v>
      </c>
      <c r="J252" s="507">
        <v>1</v>
      </c>
      <c r="K252" s="542"/>
      <c r="L252" s="393"/>
      <c r="M252" s="542"/>
      <c r="N252" s="397" t="s">
        <v>193</v>
      </c>
      <c r="O252" s="395" cm="1">
        <f t="array" ref="O252">IFERROR(_xlfn.IFS(R252=1,1,Q252=1,1,P252=1,1,S252=1,1),0)</f>
        <v>1</v>
      </c>
      <c r="P252" s="526">
        <v>1</v>
      </c>
      <c r="R252" s="526"/>
      <c r="S252" s="526"/>
      <c r="T252" s="395" cm="1">
        <f t="array" ref="T252">IFERROR(_xlfn.IFS(W252=1,1,V252=1,1,U252=1,1,X252=1,1),0)</f>
        <v>1</v>
      </c>
      <c r="U252" s="526">
        <v>1</v>
      </c>
      <c r="W252" s="526"/>
      <c r="X252" s="526"/>
      <c r="BE252" s="542">
        <v>1</v>
      </c>
    </row>
    <row r="253" spans="1:57" s="541" customFormat="1" ht="12.75" hidden="1" customHeight="1" outlineLevel="2">
      <c r="A253" s="542"/>
      <c r="B253" s="540"/>
      <c r="C253" s="522" t="s">
        <v>2239</v>
      </c>
      <c r="D253" s="531" t="s">
        <v>2170</v>
      </c>
      <c r="E253" s="532" t="s">
        <v>2609</v>
      </c>
      <c r="F253" s="533" t="s">
        <v>2610</v>
      </c>
      <c r="G253" s="542"/>
      <c r="H253" s="503" t="s">
        <v>1049</v>
      </c>
      <c r="I253" s="400" t="str">
        <f t="shared" si="24"/>
        <v>L20-1</v>
      </c>
      <c r="J253" s="507">
        <v>1</v>
      </c>
      <c r="K253" s="542"/>
      <c r="L253" s="393"/>
      <c r="M253" s="542"/>
      <c r="N253" s="397" t="s">
        <v>193</v>
      </c>
      <c r="O253" s="395" cm="1">
        <f t="array" ref="O253">IFERROR(_xlfn.IFS(R253=1,1,Q253=1,1,P253=1,1,S253=1,1),0)</f>
        <v>1</v>
      </c>
      <c r="P253" s="526">
        <v>1</v>
      </c>
      <c r="R253" s="526"/>
      <c r="S253" s="526"/>
      <c r="T253" s="395" cm="1">
        <f t="array" ref="T253">IFERROR(_xlfn.IFS(W253=1,1,V253=1,1,U253=1,1,X253=1,1),0)</f>
        <v>1</v>
      </c>
      <c r="U253" s="526">
        <v>1</v>
      </c>
      <c r="W253" s="526"/>
      <c r="X253" s="526"/>
      <c r="BE253" s="542">
        <v>1</v>
      </c>
    </row>
    <row r="254" spans="1:57" s="541" customFormat="1" ht="12.75" hidden="1" customHeight="1" outlineLevel="2">
      <c r="A254" s="542"/>
      <c r="B254" s="540"/>
      <c r="C254" s="522" t="s">
        <v>2239</v>
      </c>
      <c r="D254" s="531" t="s">
        <v>2170</v>
      </c>
      <c r="E254" s="532" t="s">
        <v>2611</v>
      </c>
      <c r="F254" s="533" t="s">
        <v>2612</v>
      </c>
      <c r="G254" s="542"/>
      <c r="H254" s="503" t="s">
        <v>1049</v>
      </c>
      <c r="I254" s="400" t="str">
        <f t="shared" ref="I254:I261" si="25">CONCATENATE(H254,"-",J254)</f>
        <v>L20-1</v>
      </c>
      <c r="J254" s="507">
        <v>1</v>
      </c>
      <c r="K254" s="542"/>
      <c r="L254" s="393"/>
      <c r="M254" s="542"/>
      <c r="N254" s="397" t="s">
        <v>193</v>
      </c>
      <c r="O254" s="395" cm="1">
        <f t="array" ref="O254">IFERROR(_xlfn.IFS(R254=1,1,Q254=1,1,P254=1,1,S254=1,1),0)</f>
        <v>1</v>
      </c>
      <c r="P254" s="526">
        <v>1</v>
      </c>
      <c r="R254" s="526"/>
      <c r="S254" s="526"/>
      <c r="T254" s="395" cm="1">
        <f t="array" ref="T254">IFERROR(_xlfn.IFS(W254=1,1,V254=1,1,U254=1,1,X254=1,1),0)</f>
        <v>1</v>
      </c>
      <c r="U254" s="526">
        <v>1</v>
      </c>
      <c r="W254" s="526"/>
      <c r="X254" s="526"/>
      <c r="BE254" s="542">
        <v>1</v>
      </c>
    </row>
    <row r="255" spans="1:57" s="541" customFormat="1" ht="12.75" hidden="1" customHeight="1" outlineLevel="2">
      <c r="A255" s="542"/>
      <c r="B255" s="540"/>
      <c r="C255" s="522" t="s">
        <v>2239</v>
      </c>
      <c r="D255" s="531" t="s">
        <v>2170</v>
      </c>
      <c r="E255" s="532" t="s">
        <v>2613</v>
      </c>
      <c r="F255" s="533" t="s">
        <v>2614</v>
      </c>
      <c r="G255" s="542"/>
      <c r="H255" s="503" t="s">
        <v>1049</v>
      </c>
      <c r="I255" s="400" t="str">
        <f t="shared" si="25"/>
        <v>L20-1</v>
      </c>
      <c r="J255" s="507">
        <v>1</v>
      </c>
      <c r="K255" s="542"/>
      <c r="L255" s="393"/>
      <c r="M255" s="542"/>
      <c r="N255" s="397" t="s">
        <v>193</v>
      </c>
      <c r="O255" s="395" cm="1">
        <f t="array" ref="O255">IFERROR(_xlfn.IFS(R255=1,1,Q255=1,1,P255=1,1,S255=1,1),0)</f>
        <v>1</v>
      </c>
      <c r="P255" s="526">
        <v>1</v>
      </c>
      <c r="R255" s="526"/>
      <c r="S255" s="526"/>
      <c r="T255" s="395" cm="1">
        <f t="array" ref="T255">IFERROR(_xlfn.IFS(W255=1,1,V255=1,1,U255=1,1,X255=1,1),0)</f>
        <v>1</v>
      </c>
      <c r="U255" s="526">
        <v>1</v>
      </c>
      <c r="W255" s="526"/>
      <c r="X255" s="526"/>
      <c r="BE255" s="542">
        <v>1</v>
      </c>
    </row>
    <row r="256" spans="1:57" s="541" customFormat="1" ht="12.75" hidden="1" customHeight="1" outlineLevel="2">
      <c r="A256" s="542"/>
      <c r="B256" s="540"/>
      <c r="C256" s="522" t="s">
        <v>2239</v>
      </c>
      <c r="D256" s="531" t="s">
        <v>2170</v>
      </c>
      <c r="E256" s="532" t="s">
        <v>2615</v>
      </c>
      <c r="F256" s="533" t="s">
        <v>2616</v>
      </c>
      <c r="G256" s="542"/>
      <c r="H256" s="503" t="s">
        <v>1049</v>
      </c>
      <c r="I256" s="400" t="str">
        <f t="shared" si="25"/>
        <v>L20-1</v>
      </c>
      <c r="J256" s="507">
        <v>1</v>
      </c>
      <c r="K256" s="542"/>
      <c r="L256" s="393"/>
      <c r="M256" s="542"/>
      <c r="N256" s="397" t="s">
        <v>193</v>
      </c>
      <c r="O256" s="395" cm="1">
        <f t="array" ref="O256">IFERROR(_xlfn.IFS(R256=1,1,Q256=1,1,P256=1,1,S256=1,1),0)</f>
        <v>1</v>
      </c>
      <c r="P256" s="526">
        <v>1</v>
      </c>
      <c r="R256" s="526"/>
      <c r="S256" s="526"/>
      <c r="T256" s="395" cm="1">
        <f t="array" ref="T256">IFERROR(_xlfn.IFS(W256=1,1,V256=1,1,U256=1,1,X256=1,1),0)</f>
        <v>1</v>
      </c>
      <c r="U256" s="526">
        <v>1</v>
      </c>
      <c r="W256" s="526"/>
      <c r="X256" s="526"/>
      <c r="BE256" s="542">
        <v>1</v>
      </c>
    </row>
    <row r="257" spans="1:57" s="541" customFormat="1" ht="12.75" hidden="1" customHeight="1" outlineLevel="2">
      <c r="A257" s="542"/>
      <c r="B257" s="540"/>
      <c r="C257" s="522" t="s">
        <v>2239</v>
      </c>
      <c r="D257" s="531" t="s">
        <v>2170</v>
      </c>
      <c r="E257" s="532" t="s">
        <v>2617</v>
      </c>
      <c r="F257" s="533" t="s">
        <v>2618</v>
      </c>
      <c r="G257" s="542"/>
      <c r="H257" s="503" t="s">
        <v>1049</v>
      </c>
      <c r="I257" s="400" t="str">
        <f t="shared" si="25"/>
        <v>L20-1</v>
      </c>
      <c r="J257" s="507">
        <v>1</v>
      </c>
      <c r="K257" s="542"/>
      <c r="L257" s="393"/>
      <c r="M257" s="542"/>
      <c r="N257" s="397" t="s">
        <v>193</v>
      </c>
      <c r="O257" s="395" cm="1">
        <f t="array" ref="O257">IFERROR(_xlfn.IFS(R257=1,1,Q257=1,1,P257=1,1,S257=1,1),0)</f>
        <v>1</v>
      </c>
      <c r="P257" s="526">
        <v>1</v>
      </c>
      <c r="R257" s="526"/>
      <c r="S257" s="526"/>
      <c r="T257" s="395" cm="1">
        <f t="array" ref="T257">IFERROR(_xlfn.IFS(W257=1,1,V257=1,1,U257=1,1,X257=1,1),0)</f>
        <v>1</v>
      </c>
      <c r="U257" s="526">
        <v>1</v>
      </c>
      <c r="W257" s="526"/>
      <c r="X257" s="526"/>
      <c r="BE257" s="542">
        <v>1</v>
      </c>
    </row>
    <row r="258" spans="1:57" s="541" customFormat="1" ht="12.75" hidden="1" customHeight="1" outlineLevel="2">
      <c r="A258" s="542"/>
      <c r="B258" s="540"/>
      <c r="C258" s="522" t="s">
        <v>2239</v>
      </c>
      <c r="D258" s="531" t="s">
        <v>2170</v>
      </c>
      <c r="E258" s="532" t="s">
        <v>2619</v>
      </c>
      <c r="F258" s="533" t="s">
        <v>2620</v>
      </c>
      <c r="G258" s="542"/>
      <c r="H258" s="503" t="s">
        <v>1049</v>
      </c>
      <c r="I258" s="400" t="str">
        <f t="shared" si="25"/>
        <v>L20-1</v>
      </c>
      <c r="J258" s="507">
        <v>1</v>
      </c>
      <c r="K258" s="542"/>
      <c r="L258" s="393"/>
      <c r="M258" s="542"/>
      <c r="N258" s="397" t="s">
        <v>193</v>
      </c>
      <c r="O258" s="395" cm="1">
        <f t="array" ref="O258">IFERROR(_xlfn.IFS(R258=1,1,Q258=1,1,P258=1,1,S258=1,1),0)</f>
        <v>1</v>
      </c>
      <c r="P258" s="526">
        <v>1</v>
      </c>
      <c r="R258" s="526"/>
      <c r="S258" s="526"/>
      <c r="T258" s="395" cm="1">
        <f t="array" ref="T258">IFERROR(_xlfn.IFS(W258=1,1,V258=1,1,U258=1,1,X258=1,1),0)</f>
        <v>1</v>
      </c>
      <c r="U258" s="526">
        <v>1</v>
      </c>
      <c r="W258" s="526"/>
      <c r="X258" s="526"/>
      <c r="BE258" s="542">
        <v>1</v>
      </c>
    </row>
    <row r="259" spans="1:57" s="541" customFormat="1" ht="12.75" hidden="1" customHeight="1" outlineLevel="2">
      <c r="A259" s="542"/>
      <c r="B259" s="540"/>
      <c r="C259" s="522" t="s">
        <v>2239</v>
      </c>
      <c r="D259" s="531" t="s">
        <v>2170</v>
      </c>
      <c r="E259" s="532" t="s">
        <v>2621</v>
      </c>
      <c r="F259" s="533" t="s">
        <v>2622</v>
      </c>
      <c r="G259" s="542"/>
      <c r="H259" s="503" t="s">
        <v>1049</v>
      </c>
      <c r="I259" s="400" t="str">
        <f t="shared" si="25"/>
        <v>L20-1</v>
      </c>
      <c r="J259" s="507">
        <v>1</v>
      </c>
      <c r="K259" s="542"/>
      <c r="L259" s="393"/>
      <c r="M259" s="542"/>
      <c r="N259" s="397" t="s">
        <v>193</v>
      </c>
      <c r="O259" s="395" cm="1">
        <f t="array" ref="O259">IFERROR(_xlfn.IFS(R259=1,1,Q259=1,1,P259=1,1,S259=1,1),0)</f>
        <v>1</v>
      </c>
      <c r="P259" s="526">
        <v>1</v>
      </c>
      <c r="R259" s="526"/>
      <c r="S259" s="526"/>
      <c r="T259" s="395" cm="1">
        <f t="array" ref="T259">IFERROR(_xlfn.IFS(W259=1,1,V259=1,1,U259=1,1,X259=1,1),0)</f>
        <v>1</v>
      </c>
      <c r="U259" s="526">
        <v>1</v>
      </c>
      <c r="W259" s="526"/>
      <c r="X259" s="526"/>
      <c r="BE259" s="542">
        <v>1</v>
      </c>
    </row>
    <row r="260" spans="1:57" s="541" customFormat="1" ht="12.75" hidden="1" customHeight="1" outlineLevel="2">
      <c r="A260" s="542"/>
      <c r="B260" s="540"/>
      <c r="C260" s="522" t="s">
        <v>2239</v>
      </c>
      <c r="D260" s="531" t="s">
        <v>2170</v>
      </c>
      <c r="E260" s="532" t="s">
        <v>2623</v>
      </c>
      <c r="F260" s="533" t="s">
        <v>2624</v>
      </c>
      <c r="G260" s="542"/>
      <c r="H260" s="503" t="s">
        <v>1049</v>
      </c>
      <c r="I260" s="400" t="str">
        <f t="shared" si="25"/>
        <v>L20-1</v>
      </c>
      <c r="J260" s="507">
        <v>1</v>
      </c>
      <c r="K260" s="542"/>
      <c r="L260" s="393"/>
      <c r="M260" s="542"/>
      <c r="N260" s="397" t="s">
        <v>193</v>
      </c>
      <c r="O260" s="395" cm="1">
        <f t="array" ref="O260">IFERROR(_xlfn.IFS(R260=1,1,Q260=1,1,P260=1,1,S260=1,1),0)</f>
        <v>1</v>
      </c>
      <c r="P260" s="526">
        <v>1</v>
      </c>
      <c r="R260" s="526"/>
      <c r="S260" s="526"/>
      <c r="T260" s="395" cm="1">
        <f t="array" ref="T260">IFERROR(_xlfn.IFS(W260=1,1,V260=1,1,U260=1,1,X260=1,1),0)</f>
        <v>1</v>
      </c>
      <c r="U260" s="526">
        <v>1</v>
      </c>
      <c r="W260" s="526"/>
      <c r="X260" s="526"/>
      <c r="BE260" s="542">
        <v>1</v>
      </c>
    </row>
    <row r="261" spans="1:57" s="541" customFormat="1" ht="12.75" hidden="1" customHeight="1" outlineLevel="2">
      <c r="A261" s="542"/>
      <c r="B261" s="540"/>
      <c r="C261" s="522" t="s">
        <v>2239</v>
      </c>
      <c r="D261" s="531" t="s">
        <v>2170</v>
      </c>
      <c r="E261" s="532" t="s">
        <v>2625</v>
      </c>
      <c r="F261" s="533" t="s">
        <v>2626</v>
      </c>
      <c r="G261" s="542"/>
      <c r="H261" s="503" t="s">
        <v>1049</v>
      </c>
      <c r="I261" s="400" t="str">
        <f t="shared" si="25"/>
        <v>L20-1</v>
      </c>
      <c r="J261" s="507">
        <v>1</v>
      </c>
      <c r="K261" s="542"/>
      <c r="L261" s="393"/>
      <c r="M261" s="542"/>
      <c r="N261" s="397" t="s">
        <v>193</v>
      </c>
      <c r="O261" s="395" cm="1">
        <f t="array" ref="O261">IFERROR(_xlfn.IFS(R261=1,1,Q261=1,1,P261=1,1,S261=1,1),0)</f>
        <v>1</v>
      </c>
      <c r="P261" s="526">
        <v>1</v>
      </c>
      <c r="R261" s="526"/>
      <c r="S261" s="526"/>
      <c r="T261" s="395" cm="1">
        <f t="array" ref="T261">IFERROR(_xlfn.IFS(W261=1,1,V261=1,1,U261=1,1,X261=1,1),0)</f>
        <v>1</v>
      </c>
      <c r="U261" s="526">
        <v>1</v>
      </c>
      <c r="W261" s="526"/>
      <c r="X261" s="526"/>
      <c r="BE261" s="542">
        <v>1</v>
      </c>
    </row>
    <row r="262" spans="1:57" s="541" customFormat="1" ht="12.75" hidden="1" customHeight="1" outlineLevel="2">
      <c r="A262" s="542"/>
      <c r="B262" s="540"/>
      <c r="C262" s="522" t="s">
        <v>2239</v>
      </c>
      <c r="D262" s="531" t="s">
        <v>2170</v>
      </c>
      <c r="E262" s="532" t="s">
        <v>2627</v>
      </c>
      <c r="F262" s="533" t="s">
        <v>2628</v>
      </c>
      <c r="G262" s="542"/>
      <c r="H262" s="503" t="s">
        <v>1049</v>
      </c>
      <c r="I262" s="400" t="str">
        <f t="shared" ref="I262" si="26">CONCATENATE(H262,"-",J262)</f>
        <v>L20-1</v>
      </c>
      <c r="J262" s="507">
        <v>1</v>
      </c>
      <c r="K262" s="542"/>
      <c r="L262" s="393"/>
      <c r="M262" s="542"/>
      <c r="N262" s="397" t="s">
        <v>193</v>
      </c>
      <c r="O262" s="395" cm="1">
        <f t="array" ref="O262">IFERROR(_xlfn.IFS(R262=1,1,Q262=1,1,P262=1,1,S262=1,1),0)</f>
        <v>1</v>
      </c>
      <c r="P262" s="526">
        <v>1</v>
      </c>
      <c r="R262" s="526"/>
      <c r="S262" s="526"/>
      <c r="T262" s="395" cm="1">
        <f t="array" ref="T262">IFERROR(_xlfn.IFS(W262=1,1,V262=1,1,U262=1,1,X262=1,1),0)</f>
        <v>1</v>
      </c>
      <c r="U262" s="526">
        <v>1</v>
      </c>
      <c r="W262" s="526"/>
      <c r="X262" s="526"/>
      <c r="BE262" s="542">
        <v>1</v>
      </c>
    </row>
    <row r="263" spans="1:57" s="541" customFormat="1" ht="3" hidden="1" customHeight="1" outlineLevel="2">
      <c r="A263" s="542"/>
      <c r="C263" s="537"/>
      <c r="D263" s="538"/>
      <c r="E263" s="532"/>
      <c r="F263" s="533"/>
      <c r="G263" s="542"/>
      <c r="H263" s="503"/>
      <c r="I263" s="400"/>
      <c r="J263" s="507"/>
      <c r="K263" s="542"/>
      <c r="L263" s="393"/>
      <c r="M263" s="542"/>
      <c r="N263" s="397"/>
      <c r="O263" s="526"/>
      <c r="P263" s="526"/>
      <c r="R263" s="526"/>
      <c r="S263" s="526"/>
      <c r="T263" s="526"/>
      <c r="U263" s="526"/>
      <c r="W263" s="526"/>
      <c r="X263" s="526"/>
      <c r="BE263" s="542"/>
    </row>
    <row r="264" spans="1:57" s="541" customFormat="1" ht="12.75" hidden="1" customHeight="1" outlineLevel="2">
      <c r="A264" s="542"/>
      <c r="C264" s="537" t="s">
        <v>2513</v>
      </c>
      <c r="D264" s="538"/>
      <c r="E264" s="532"/>
      <c r="F264" s="533" t="s">
        <v>2514</v>
      </c>
      <c r="G264" s="542"/>
      <c r="H264" s="503"/>
      <c r="I264" s="400"/>
      <c r="J264" s="507"/>
      <c r="K264" s="542"/>
      <c r="L264" s="393"/>
      <c r="M264" s="542"/>
      <c r="N264" s="397"/>
      <c r="O264" s="395"/>
      <c r="P264" s="526"/>
      <c r="R264" s="526"/>
      <c r="S264" s="526"/>
      <c r="T264" s="395"/>
      <c r="U264" s="526"/>
      <c r="W264" s="526"/>
      <c r="X264" s="526"/>
      <c r="BE264" s="542"/>
    </row>
    <row r="265" spans="1:57" s="541" customFormat="1" ht="3" hidden="1" customHeight="1" outlineLevel="2">
      <c r="A265" s="542"/>
      <c r="C265" s="537"/>
      <c r="D265" s="538"/>
      <c r="E265" s="532"/>
      <c r="F265" s="533"/>
      <c r="G265" s="542"/>
      <c r="H265" s="503"/>
      <c r="I265" s="400"/>
      <c r="J265" s="507"/>
      <c r="K265" s="542"/>
      <c r="L265" s="393"/>
      <c r="M265" s="542"/>
      <c r="N265" s="397"/>
      <c r="O265" s="526"/>
      <c r="P265" s="526"/>
      <c r="R265" s="526"/>
      <c r="S265" s="526"/>
      <c r="T265" s="526"/>
      <c r="U265" s="526"/>
      <c r="W265" s="526"/>
      <c r="X265" s="526"/>
      <c r="BE265" s="542"/>
    </row>
    <row r="266" spans="1:57" s="541" customFormat="1" ht="12.75" hidden="1" customHeight="1" outlineLevel="2">
      <c r="A266" s="542"/>
      <c r="C266" s="537" t="s">
        <v>2462</v>
      </c>
      <c r="D266" s="538"/>
      <c r="E266" s="532"/>
      <c r="F266" s="533"/>
      <c r="G266" s="542"/>
      <c r="H266" s="503"/>
      <c r="I266" s="400"/>
      <c r="J266" s="507"/>
      <c r="K266" s="542"/>
      <c r="L266" s="393"/>
      <c r="M266" s="542"/>
      <c r="N266" s="397"/>
      <c r="O266" s="526"/>
      <c r="P266" s="526"/>
      <c r="R266" s="526"/>
      <c r="S266" s="526"/>
      <c r="T266" s="526"/>
      <c r="U266" s="526"/>
      <c r="W266" s="526"/>
      <c r="X266" s="526"/>
      <c r="BE266" s="542"/>
    </row>
    <row r="267" spans="1:57" s="541" customFormat="1" ht="12.75" hidden="1" customHeight="1" outlineLevel="3">
      <c r="A267" s="542"/>
      <c r="B267" s="540"/>
      <c r="C267" s="522" t="s">
        <v>2462</v>
      </c>
      <c r="D267" s="531" t="s">
        <v>2170</v>
      </c>
      <c r="E267" s="532" t="s">
        <v>2629</v>
      </c>
      <c r="F267" s="533" t="s">
        <v>2630</v>
      </c>
      <c r="G267" s="542"/>
      <c r="H267" s="503" t="s">
        <v>1049</v>
      </c>
      <c r="I267" s="400" t="str">
        <f t="shared" ref="I267" si="27">CONCATENATE(H267,"-",J267)</f>
        <v>L20-1</v>
      </c>
      <c r="J267" s="507">
        <v>1</v>
      </c>
      <c r="K267" s="542"/>
      <c r="L267" s="393"/>
      <c r="M267" s="542"/>
      <c r="N267" s="397" t="s">
        <v>193</v>
      </c>
      <c r="O267" s="395" cm="1">
        <f t="array" ref="O267">IFERROR(_xlfn.IFS(R267=1,1,Q267=1,1,P267=1,1,S267=1,1),0)</f>
        <v>1</v>
      </c>
      <c r="P267" s="526">
        <v>1</v>
      </c>
      <c r="R267" s="526"/>
      <c r="S267" s="526"/>
      <c r="T267" s="395" cm="1">
        <f t="array" ref="T267">IFERROR(_xlfn.IFS(W267=1,1,V267=1,1,U267=1,1,X267=1,1),0)</f>
        <v>1</v>
      </c>
      <c r="U267" s="526">
        <v>1</v>
      </c>
      <c r="W267" s="526"/>
      <c r="X267" s="526"/>
      <c r="BE267" s="542">
        <v>1</v>
      </c>
    </row>
    <row r="268" spans="1:57" s="541" customFormat="1" ht="12.75" hidden="1" customHeight="1" outlineLevel="3">
      <c r="A268" s="542"/>
      <c r="B268" s="540"/>
      <c r="C268" s="522" t="s">
        <v>2462</v>
      </c>
      <c r="D268" s="531" t="s">
        <v>2170</v>
      </c>
      <c r="E268" s="532" t="s">
        <v>2631</v>
      </c>
      <c r="F268" s="533" t="s">
        <v>2632</v>
      </c>
      <c r="G268" s="542"/>
      <c r="H268" s="503" t="s">
        <v>1049</v>
      </c>
      <c r="I268" s="400" t="str">
        <f t="shared" ref="I268" si="28">CONCATENATE(H268,"-",J268)</f>
        <v>L20-1</v>
      </c>
      <c r="J268" s="507">
        <v>1</v>
      </c>
      <c r="K268" s="542"/>
      <c r="L268" s="393"/>
      <c r="M268" s="542"/>
      <c r="N268" s="397" t="s">
        <v>193</v>
      </c>
      <c r="O268" s="395" cm="1">
        <f t="array" ref="O268">IFERROR(_xlfn.IFS(R268=1,1,Q268=1,1,P268=1,1,S268=1,1),0)</f>
        <v>1</v>
      </c>
      <c r="P268" s="526">
        <v>1</v>
      </c>
      <c r="R268" s="526"/>
      <c r="S268" s="526"/>
      <c r="T268" s="395" cm="1">
        <f t="array" ref="T268">IFERROR(_xlfn.IFS(W268=1,1,V268=1,1,U268=1,1,X268=1,1),0)</f>
        <v>1</v>
      </c>
      <c r="U268" s="526">
        <v>1</v>
      </c>
      <c r="W268" s="526"/>
      <c r="X268" s="526"/>
      <c r="BE268" s="542">
        <v>1</v>
      </c>
    </row>
    <row r="269" spans="1:57" s="541" customFormat="1" ht="3" hidden="1" customHeight="1" outlineLevel="2">
      <c r="A269" s="542"/>
      <c r="C269" s="537"/>
      <c r="D269" s="538"/>
      <c r="E269" s="532"/>
      <c r="F269" s="533"/>
      <c r="G269" s="542"/>
      <c r="H269" s="503"/>
      <c r="I269" s="400"/>
      <c r="J269" s="507"/>
      <c r="K269" s="542"/>
      <c r="L269" s="393"/>
      <c r="M269" s="542"/>
      <c r="N269" s="397"/>
      <c r="O269" s="526"/>
      <c r="P269" s="526"/>
      <c r="R269" s="526"/>
      <c r="S269" s="526"/>
      <c r="T269" s="526"/>
      <c r="U269" s="526"/>
      <c r="W269" s="526"/>
      <c r="X269" s="526"/>
      <c r="BE269" s="542"/>
    </row>
    <row r="270" spans="1:57" s="541" customFormat="1" ht="12.75" hidden="1" customHeight="1" outlineLevel="2">
      <c r="A270" s="542"/>
      <c r="B270" s="540"/>
      <c r="C270" s="537" t="s">
        <v>2549</v>
      </c>
      <c r="D270" s="538"/>
      <c r="E270" s="532"/>
      <c r="F270" s="533"/>
      <c r="G270" s="542"/>
      <c r="H270" s="503"/>
      <c r="I270" s="400"/>
      <c r="J270" s="507"/>
      <c r="K270" s="542"/>
      <c r="L270" s="393"/>
      <c r="M270" s="542"/>
      <c r="N270" s="397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BE270" s="542"/>
    </row>
    <row r="271" spans="1:57" s="535" customFormat="1" ht="12.75" hidden="1" customHeight="1" outlineLevel="3">
      <c r="A271" s="542"/>
      <c r="B271" s="540"/>
      <c r="C271" s="522" t="s">
        <v>2550</v>
      </c>
      <c r="D271" s="531" t="s">
        <v>2170</v>
      </c>
      <c r="E271" s="532">
        <v>1001</v>
      </c>
      <c r="F271" s="533" t="s">
        <v>2633</v>
      </c>
      <c r="G271" s="542"/>
      <c r="H271" s="503" t="s">
        <v>1049</v>
      </c>
      <c r="I271" s="400" t="str">
        <f t="shared" ref="I271:I272" si="29">CONCATENATE(H271,"-",J271)</f>
        <v>L20-1</v>
      </c>
      <c r="J271" s="507">
        <v>1</v>
      </c>
      <c r="K271" s="542"/>
      <c r="L271" s="526"/>
      <c r="M271" s="542"/>
      <c r="N271" s="397"/>
      <c r="O271" s="395" cm="1">
        <f t="array" ref="O271">IFERROR(_xlfn.IFS(R271=1,1,Q271=1,1,P271=1,1,S271=1,1),0)</f>
        <v>1</v>
      </c>
      <c r="P271" s="526">
        <v>1</v>
      </c>
      <c r="Q271" s="541"/>
      <c r="R271" s="526"/>
      <c r="S271" s="526"/>
      <c r="T271" s="395" cm="1">
        <f t="array" ref="T271">IFERROR(_xlfn.IFS(W271=1,1,V271=1,1,U271=1,1,X271=1,1),0)</f>
        <v>1</v>
      </c>
      <c r="U271" s="526">
        <v>1</v>
      </c>
      <c r="V271" s="526"/>
      <c r="W271" s="526"/>
      <c r="X271" s="526"/>
      <c r="BE271" s="542">
        <v>1</v>
      </c>
    </row>
    <row r="272" spans="1:57" s="535" customFormat="1" ht="12.75" hidden="1" customHeight="1" outlineLevel="3">
      <c r="A272" s="542"/>
      <c r="B272" s="540"/>
      <c r="C272" s="522" t="s">
        <v>2550</v>
      </c>
      <c r="D272" s="531" t="s">
        <v>2170</v>
      </c>
      <c r="E272" s="532">
        <v>9001</v>
      </c>
      <c r="F272" s="533" t="s">
        <v>2634</v>
      </c>
      <c r="G272" s="542"/>
      <c r="H272" s="503" t="s">
        <v>1049</v>
      </c>
      <c r="I272" s="400" t="str">
        <f t="shared" si="29"/>
        <v>L20-1</v>
      </c>
      <c r="J272" s="507">
        <v>1</v>
      </c>
      <c r="K272" s="542"/>
      <c r="L272" s="526"/>
      <c r="M272" s="542"/>
      <c r="N272" s="397"/>
      <c r="O272" s="395" cm="1">
        <f t="array" ref="O272">IFERROR(_xlfn.IFS(R272=1,1,Q272=1,1,P272=1,1,S272=1,1),0)</f>
        <v>1</v>
      </c>
      <c r="P272" s="526">
        <v>1</v>
      </c>
      <c r="Q272" s="541"/>
      <c r="R272" s="526"/>
      <c r="S272" s="526"/>
      <c r="T272" s="395" cm="1">
        <f t="array" ref="T272">IFERROR(_xlfn.IFS(W272=1,1,V272=1,1,U272=1,1,X272=1,1),0)</f>
        <v>1</v>
      </c>
      <c r="U272" s="526">
        <v>1</v>
      </c>
      <c r="V272" s="526"/>
      <c r="W272" s="526"/>
      <c r="X272" s="526"/>
      <c r="BE272" s="542">
        <v>1</v>
      </c>
    </row>
    <row r="273" spans="1:57" s="541" customFormat="1" ht="3" hidden="1" customHeight="1" outlineLevel="1">
      <c r="A273" s="542"/>
      <c r="B273" s="540"/>
      <c r="C273" s="537"/>
      <c r="D273" s="538"/>
      <c r="E273" s="532"/>
      <c r="F273" s="533"/>
      <c r="G273" s="542"/>
      <c r="H273" s="503"/>
      <c r="I273" s="400"/>
      <c r="J273" s="507"/>
      <c r="K273" s="542"/>
      <c r="L273" s="393"/>
      <c r="M273" s="542"/>
      <c r="N273" s="397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BE273" s="542"/>
    </row>
    <row r="274" spans="1:57" s="541" customFormat="1" ht="12.75" hidden="1" customHeight="1" outlineLevel="1">
      <c r="A274" s="542"/>
      <c r="B274" s="460" t="s">
        <v>86</v>
      </c>
      <c r="C274" s="460" t="s">
        <v>87</v>
      </c>
      <c r="D274" s="460"/>
      <c r="E274" s="460"/>
      <c r="F274" s="460"/>
      <c r="G274" s="542"/>
      <c r="H274" s="503"/>
      <c r="I274" s="400"/>
      <c r="J274" s="507"/>
      <c r="K274" s="542"/>
      <c r="L274" s="393"/>
      <c r="M274" s="542"/>
      <c r="N274" s="397"/>
      <c r="O274" s="526"/>
      <c r="Q274" s="526"/>
      <c r="R274" s="526"/>
      <c r="S274" s="526"/>
      <c r="T274" s="526"/>
      <c r="U274" s="526"/>
      <c r="V274" s="526"/>
      <c r="W274" s="526"/>
      <c r="X274" s="526"/>
      <c r="BE274" s="542"/>
    </row>
    <row r="275" spans="1:57" s="541" customFormat="1" ht="3" hidden="1" customHeight="1" outlineLevel="2">
      <c r="A275" s="542"/>
      <c r="B275" s="540"/>
      <c r="C275" s="537"/>
      <c r="D275" s="538"/>
      <c r="E275" s="532"/>
      <c r="F275" s="533"/>
      <c r="G275" s="542"/>
      <c r="H275" s="503"/>
      <c r="I275" s="400"/>
      <c r="J275" s="507"/>
      <c r="K275" s="542"/>
      <c r="L275" s="393"/>
      <c r="M275" s="542"/>
      <c r="N275" s="397"/>
      <c r="O275" s="526"/>
      <c r="Q275" s="526"/>
      <c r="R275" s="526"/>
      <c r="S275" s="526"/>
      <c r="T275" s="526"/>
      <c r="U275" s="526"/>
      <c r="V275" s="526"/>
      <c r="W275" s="526"/>
      <c r="X275" s="526"/>
      <c r="BE275" s="542"/>
    </row>
    <row r="276" spans="1:57" s="541" customFormat="1" ht="12.75" hidden="1" customHeight="1" outlineLevel="2">
      <c r="A276" s="542"/>
      <c r="B276" s="540"/>
      <c r="C276" s="537" t="s">
        <v>2468</v>
      </c>
      <c r="D276" s="538"/>
      <c r="E276" s="532"/>
      <c r="F276" s="533"/>
      <c r="G276" s="542"/>
      <c r="H276" s="503"/>
      <c r="I276" s="400"/>
      <c r="J276" s="507"/>
      <c r="K276" s="542"/>
      <c r="L276" s="393"/>
      <c r="M276" s="542"/>
      <c r="N276" s="406"/>
      <c r="O276" s="526"/>
      <c r="Q276" s="526"/>
      <c r="R276" s="526"/>
      <c r="S276" s="526"/>
      <c r="T276" s="526"/>
      <c r="U276" s="526"/>
      <c r="V276" s="526"/>
      <c r="W276" s="526"/>
      <c r="X276" s="526"/>
      <c r="BE276" s="542"/>
    </row>
    <row r="277" spans="1:57" s="541" customFormat="1" ht="12.75" hidden="1" customHeight="1" outlineLevel="3">
      <c r="A277" s="542"/>
      <c r="C277" s="537" t="s">
        <v>2469</v>
      </c>
      <c r="D277" s="538"/>
      <c r="E277" s="532"/>
      <c r="F277" s="533"/>
      <c r="G277" s="542"/>
      <c r="H277" s="503"/>
      <c r="I277" s="400"/>
      <c r="J277" s="507"/>
      <c r="K277" s="542"/>
      <c r="L277" s="393"/>
      <c r="M277" s="542"/>
      <c r="N277" s="406"/>
      <c r="O277" s="526"/>
      <c r="Q277" s="526"/>
      <c r="R277" s="526"/>
      <c r="S277" s="526"/>
      <c r="T277" s="526"/>
      <c r="U277" s="526"/>
      <c r="V277" s="526"/>
      <c r="W277" s="526"/>
      <c r="X277" s="526"/>
      <c r="BE277" s="542"/>
    </row>
    <row r="278" spans="1:57" s="541" customFormat="1" ht="12.75" hidden="1" customHeight="1" outlineLevel="3">
      <c r="A278" s="542"/>
      <c r="C278" s="522" t="s">
        <v>2239</v>
      </c>
      <c r="D278" s="531" t="s">
        <v>2170</v>
      </c>
      <c r="E278" s="532" t="s">
        <v>2635</v>
      </c>
      <c r="F278" s="533" t="s">
        <v>2636</v>
      </c>
      <c r="G278" s="542"/>
      <c r="H278" s="503" t="s">
        <v>1055</v>
      </c>
      <c r="I278" s="400" t="s">
        <v>86</v>
      </c>
      <c r="J278" s="507">
        <v>1</v>
      </c>
      <c r="K278" s="542"/>
      <c r="L278" s="393"/>
      <c r="M278" s="542"/>
      <c r="N278" s="397" t="s">
        <v>193</v>
      </c>
      <c r="O278" s="395" cm="1">
        <f t="array" ref="O278">IFERROR(_xlfn.IFS(R278=1,1,Q278=1,1,P278=1,1,S278=1,1),0)</f>
        <v>1</v>
      </c>
      <c r="P278" s="526">
        <v>1</v>
      </c>
      <c r="Q278" s="526"/>
      <c r="R278" s="526"/>
      <c r="S278" s="526"/>
      <c r="T278" s="395" cm="1">
        <f t="array" ref="T278">IFERROR(_xlfn.IFS(W278=1,1,V278=1,1,U278=1,1,X278=1,1),0)</f>
        <v>1</v>
      </c>
      <c r="U278" s="526">
        <v>1</v>
      </c>
      <c r="V278" s="526"/>
      <c r="W278" s="526"/>
      <c r="X278" s="526"/>
      <c r="BE278" s="542">
        <v>1</v>
      </c>
    </row>
    <row r="279" spans="1:57" s="541" customFormat="1" ht="12.75" hidden="1" customHeight="1" outlineLevel="3">
      <c r="A279" s="542"/>
      <c r="C279" s="522" t="s">
        <v>2239</v>
      </c>
      <c r="D279" s="531" t="s">
        <v>2170</v>
      </c>
      <c r="E279" s="532" t="s">
        <v>2637</v>
      </c>
      <c r="F279" s="533" t="s">
        <v>2637</v>
      </c>
      <c r="G279" s="542"/>
      <c r="H279" s="503" t="s">
        <v>1055</v>
      </c>
      <c r="I279" s="400" t="s">
        <v>86</v>
      </c>
      <c r="J279" s="507">
        <v>1</v>
      </c>
      <c r="K279" s="542"/>
      <c r="L279" s="393"/>
      <c r="M279" s="542"/>
      <c r="N279" s="397" t="s">
        <v>193</v>
      </c>
      <c r="O279" s="395" cm="1">
        <f t="array" ref="O279">IFERROR(_xlfn.IFS(R279=1,1,Q279=1,1,P279=1,1,S279=1,1),0)</f>
        <v>1</v>
      </c>
      <c r="P279" s="526">
        <v>1</v>
      </c>
      <c r="Q279" s="526"/>
      <c r="R279" s="526"/>
      <c r="S279" s="526"/>
      <c r="T279" s="395" cm="1">
        <f t="array" ref="T279">IFERROR(_xlfn.IFS(W279=1,1,V279=1,1,U279=1,1,X279=1,1),0)</f>
        <v>1</v>
      </c>
      <c r="U279" s="526">
        <v>1</v>
      </c>
      <c r="V279" s="526"/>
      <c r="W279" s="526"/>
      <c r="X279" s="526"/>
      <c r="BE279" s="542">
        <v>1</v>
      </c>
    </row>
    <row r="280" spans="1:57" s="541" customFormat="1" ht="12.75" hidden="1" customHeight="1" outlineLevel="3">
      <c r="A280" s="542"/>
      <c r="C280" s="522" t="s">
        <v>2239</v>
      </c>
      <c r="D280" s="531" t="s">
        <v>2170</v>
      </c>
      <c r="E280" s="532" t="s">
        <v>2638</v>
      </c>
      <c r="F280" s="533" t="s">
        <v>2639</v>
      </c>
      <c r="G280" s="542"/>
      <c r="H280" s="503" t="s">
        <v>1055</v>
      </c>
      <c r="I280" s="400" t="s">
        <v>86</v>
      </c>
      <c r="J280" s="507">
        <v>1</v>
      </c>
      <c r="K280" s="542"/>
      <c r="L280" s="393"/>
      <c r="M280" s="542"/>
      <c r="N280" s="397" t="s">
        <v>193</v>
      </c>
      <c r="O280" s="395" cm="1">
        <f t="array" ref="O280">IFERROR(_xlfn.IFS(R280=1,1,Q280=1,1,P280=1,1,S280=1,1),0)</f>
        <v>1</v>
      </c>
      <c r="P280" s="526">
        <v>1</v>
      </c>
      <c r="Q280" s="526"/>
      <c r="R280" s="526"/>
      <c r="S280" s="526"/>
      <c r="T280" s="395" cm="1">
        <f t="array" ref="T280">IFERROR(_xlfn.IFS(W280=1,1,V280=1,1,U280=1,1,X280=1,1),0)</f>
        <v>1</v>
      </c>
      <c r="U280" s="526">
        <v>1</v>
      </c>
      <c r="V280" s="526"/>
      <c r="W280" s="526"/>
      <c r="X280" s="526"/>
      <c r="BE280" s="542">
        <v>1</v>
      </c>
    </row>
    <row r="281" spans="1:57" s="541" customFormat="1" ht="12.75" hidden="1" customHeight="1" outlineLevel="3">
      <c r="A281" s="542"/>
      <c r="C281" s="522" t="s">
        <v>2239</v>
      </c>
      <c r="D281" s="531" t="s">
        <v>2170</v>
      </c>
      <c r="E281" s="532" t="s">
        <v>2640</v>
      </c>
      <c r="F281" s="533" t="s">
        <v>2641</v>
      </c>
      <c r="G281" s="542"/>
      <c r="H281" s="503" t="s">
        <v>1055</v>
      </c>
      <c r="I281" s="400" t="s">
        <v>86</v>
      </c>
      <c r="J281" s="507">
        <v>1</v>
      </c>
      <c r="K281" s="542"/>
      <c r="L281" s="393"/>
      <c r="M281" s="542"/>
      <c r="N281" s="397" t="s">
        <v>193</v>
      </c>
      <c r="O281" s="395" cm="1">
        <f t="array" ref="O281">IFERROR(_xlfn.IFS(R281=1,1,Q281=1,1,P281=1,1,S281=1,1),0)</f>
        <v>1</v>
      </c>
      <c r="P281" s="526">
        <v>1</v>
      </c>
      <c r="Q281" s="526"/>
      <c r="R281" s="526"/>
      <c r="S281" s="526"/>
      <c r="T281" s="395" cm="1">
        <f t="array" ref="T281">IFERROR(_xlfn.IFS(W281=1,1,V281=1,1,U281=1,1,X281=1,1),0)</f>
        <v>1</v>
      </c>
      <c r="U281" s="526">
        <v>1</v>
      </c>
      <c r="V281" s="526"/>
      <c r="W281" s="526"/>
      <c r="X281" s="526"/>
      <c r="BE281" s="542">
        <v>1</v>
      </c>
    </row>
    <row r="282" spans="1:57" s="541" customFormat="1" ht="12.75" hidden="1" customHeight="1" outlineLevel="3">
      <c r="A282" s="542"/>
      <c r="C282" s="522" t="s">
        <v>2239</v>
      </c>
      <c r="D282" s="531" t="s">
        <v>2170</v>
      </c>
      <c r="E282" s="532" t="s">
        <v>2642</v>
      </c>
      <c r="F282" s="533" t="s">
        <v>2643</v>
      </c>
      <c r="G282" s="542"/>
      <c r="H282" s="503" t="s">
        <v>1055</v>
      </c>
      <c r="I282" s="400" t="s">
        <v>86</v>
      </c>
      <c r="J282" s="507">
        <v>1</v>
      </c>
      <c r="K282" s="542"/>
      <c r="L282" s="393"/>
      <c r="M282" s="542"/>
      <c r="N282" s="397" t="s">
        <v>193</v>
      </c>
      <c r="O282" s="395" cm="1">
        <f t="array" ref="O282">IFERROR(_xlfn.IFS(R282=1,1,Q282=1,1,P282=1,1,S282=1,1),0)</f>
        <v>1</v>
      </c>
      <c r="P282" s="526">
        <v>1</v>
      </c>
      <c r="Q282" s="526"/>
      <c r="R282" s="526"/>
      <c r="S282" s="526"/>
      <c r="T282" s="395" cm="1">
        <f t="array" ref="T282">IFERROR(_xlfn.IFS(W282=1,1,V282=1,1,U282=1,1,X282=1,1),0)</f>
        <v>1</v>
      </c>
      <c r="U282" s="526">
        <v>1</v>
      </c>
      <c r="V282" s="526"/>
      <c r="W282" s="526"/>
      <c r="X282" s="526"/>
      <c r="BE282" s="542">
        <v>1</v>
      </c>
    </row>
    <row r="283" spans="1:57" s="541" customFormat="1" ht="12.75" hidden="1" customHeight="1" outlineLevel="3">
      <c r="A283" s="542"/>
      <c r="C283" s="522" t="s">
        <v>2239</v>
      </c>
      <c r="D283" s="531" t="s">
        <v>2170</v>
      </c>
      <c r="E283" s="532" t="s">
        <v>2644</v>
      </c>
      <c r="F283" s="533" t="s">
        <v>2645</v>
      </c>
      <c r="G283" s="542"/>
      <c r="H283" s="503" t="s">
        <v>1055</v>
      </c>
      <c r="I283" s="400" t="s">
        <v>86</v>
      </c>
      <c r="J283" s="507">
        <v>1</v>
      </c>
      <c r="K283" s="542"/>
      <c r="L283" s="393"/>
      <c r="M283" s="542"/>
      <c r="N283" s="397" t="s">
        <v>193</v>
      </c>
      <c r="O283" s="395" cm="1">
        <f t="array" ref="O283">IFERROR(_xlfn.IFS(R283=1,1,Q283=1,1,P283=1,1,S283=1,1),0)</f>
        <v>1</v>
      </c>
      <c r="P283" s="526">
        <v>1</v>
      </c>
      <c r="Q283" s="526"/>
      <c r="R283" s="526"/>
      <c r="S283" s="526"/>
      <c r="T283" s="395" cm="1">
        <f t="array" ref="T283">IFERROR(_xlfn.IFS(W283=1,1,V283=1,1,U283=1,1,X283=1,1),0)</f>
        <v>1</v>
      </c>
      <c r="U283" s="526">
        <v>1</v>
      </c>
      <c r="V283" s="526"/>
      <c r="W283" s="526"/>
      <c r="X283" s="526"/>
      <c r="BE283" s="542">
        <v>1</v>
      </c>
    </row>
    <row r="284" spans="1:57" s="541" customFormat="1" ht="12.75" hidden="1" customHeight="1" outlineLevel="3">
      <c r="A284" s="542"/>
      <c r="C284" s="522" t="s">
        <v>2239</v>
      </c>
      <c r="D284" s="531" t="s">
        <v>2170</v>
      </c>
      <c r="E284" s="532" t="s">
        <v>2646</v>
      </c>
      <c r="F284" s="533" t="s">
        <v>2647</v>
      </c>
      <c r="G284" s="542"/>
      <c r="H284" s="503" t="s">
        <v>1055</v>
      </c>
      <c r="I284" s="400" t="s">
        <v>86</v>
      </c>
      <c r="J284" s="507">
        <v>1</v>
      </c>
      <c r="K284" s="542"/>
      <c r="L284" s="393"/>
      <c r="M284" s="542"/>
      <c r="N284" s="397" t="s">
        <v>193</v>
      </c>
      <c r="O284" s="395" cm="1">
        <f t="array" ref="O284">IFERROR(_xlfn.IFS(R284=1,1,Q284=1,1,P284=1,1,S284=1,1),0)</f>
        <v>1</v>
      </c>
      <c r="P284" s="526">
        <v>1</v>
      </c>
      <c r="Q284" s="526"/>
      <c r="R284" s="526"/>
      <c r="S284" s="526"/>
      <c r="T284" s="395" cm="1">
        <f t="array" ref="T284">IFERROR(_xlfn.IFS(W284=1,1,V284=1,1,U284=1,1,X284=1,1),0)</f>
        <v>1</v>
      </c>
      <c r="U284" s="526">
        <v>1</v>
      </c>
      <c r="V284" s="526"/>
      <c r="W284" s="526"/>
      <c r="X284" s="526"/>
      <c r="BE284" s="542">
        <v>1</v>
      </c>
    </row>
    <row r="285" spans="1:57" s="541" customFormat="1" ht="12.75" hidden="1" customHeight="1" outlineLevel="3">
      <c r="A285" s="542"/>
      <c r="C285" s="522" t="s">
        <v>2239</v>
      </c>
      <c r="D285" s="531" t="s">
        <v>2170</v>
      </c>
      <c r="E285" s="532" t="s">
        <v>2648</v>
      </c>
      <c r="F285" s="533" t="s">
        <v>2649</v>
      </c>
      <c r="G285" s="542"/>
      <c r="H285" s="503" t="s">
        <v>1055</v>
      </c>
      <c r="I285" s="400" t="s">
        <v>86</v>
      </c>
      <c r="J285" s="507">
        <v>1</v>
      </c>
      <c r="K285" s="542"/>
      <c r="L285" s="393"/>
      <c r="M285" s="542"/>
      <c r="N285" s="397" t="s">
        <v>193</v>
      </c>
      <c r="O285" s="395" cm="1">
        <f t="array" ref="O285">IFERROR(_xlfn.IFS(R285=1,1,Q285=1,1,P285=1,1,S285=1,1),0)</f>
        <v>1</v>
      </c>
      <c r="P285" s="526">
        <v>1</v>
      </c>
      <c r="Q285" s="526"/>
      <c r="R285" s="526"/>
      <c r="S285" s="526"/>
      <c r="T285" s="395" cm="1">
        <f t="array" ref="T285">IFERROR(_xlfn.IFS(W285=1,1,V285=1,1,U285=1,1,X285=1,1),0)</f>
        <v>1</v>
      </c>
      <c r="U285" s="526">
        <v>1</v>
      </c>
      <c r="V285" s="526"/>
      <c r="W285" s="526"/>
      <c r="X285" s="526"/>
      <c r="BE285" s="542">
        <v>1</v>
      </c>
    </row>
    <row r="286" spans="1:57" s="541" customFormat="1" ht="12.75" hidden="1" customHeight="1" outlineLevel="3">
      <c r="A286" s="542"/>
      <c r="C286" s="522" t="s">
        <v>2239</v>
      </c>
      <c r="D286" s="531" t="s">
        <v>2170</v>
      </c>
      <c r="E286" s="532" t="s">
        <v>2650</v>
      </c>
      <c r="F286" s="533" t="s">
        <v>2651</v>
      </c>
      <c r="G286" s="542"/>
      <c r="H286" s="503" t="s">
        <v>1055</v>
      </c>
      <c r="I286" s="400" t="s">
        <v>86</v>
      </c>
      <c r="J286" s="507">
        <v>1</v>
      </c>
      <c r="K286" s="542"/>
      <c r="L286" s="393"/>
      <c r="M286" s="542"/>
      <c r="N286" s="397" t="s">
        <v>193</v>
      </c>
      <c r="O286" s="395" cm="1">
        <f t="array" ref="O286">IFERROR(_xlfn.IFS(R286=1,1,Q286=1,1,P286=1,1,S286=1,1),0)</f>
        <v>1</v>
      </c>
      <c r="P286" s="526">
        <v>1</v>
      </c>
      <c r="R286" s="526"/>
      <c r="S286" s="526"/>
      <c r="T286" s="395" cm="1">
        <f t="array" ref="T286">IFERROR(_xlfn.IFS(W286=1,1,V286=1,1,U286=1,1,X286=1,1),0)</f>
        <v>1</v>
      </c>
      <c r="U286" s="526">
        <v>1</v>
      </c>
      <c r="W286" s="526"/>
      <c r="X286" s="526"/>
      <c r="BE286" s="542">
        <v>1</v>
      </c>
    </row>
    <row r="287" spans="1:57" s="541" customFormat="1" ht="12.75" hidden="1" customHeight="1" outlineLevel="3">
      <c r="A287" s="542"/>
      <c r="C287" s="522" t="s">
        <v>2239</v>
      </c>
      <c r="D287" s="531" t="s">
        <v>2170</v>
      </c>
      <c r="E287" s="532" t="s">
        <v>2652</v>
      </c>
      <c r="F287" s="533" t="s">
        <v>2653</v>
      </c>
      <c r="G287" s="542"/>
      <c r="H287" s="503" t="s">
        <v>1055</v>
      </c>
      <c r="I287" s="400" t="s">
        <v>86</v>
      </c>
      <c r="J287" s="507">
        <v>1</v>
      </c>
      <c r="K287" s="542"/>
      <c r="L287" s="393"/>
      <c r="M287" s="542"/>
      <c r="N287" s="397" t="s">
        <v>193</v>
      </c>
      <c r="O287" s="395" cm="1">
        <f t="array" ref="O287">IFERROR(_xlfn.IFS(R287=1,1,Q287=1,1,P287=1,1,S287=1,1),0)</f>
        <v>1</v>
      </c>
      <c r="P287" s="526">
        <v>1</v>
      </c>
      <c r="R287" s="526"/>
      <c r="S287" s="526"/>
      <c r="T287" s="395" cm="1">
        <f t="array" ref="T287">IFERROR(_xlfn.IFS(W287=1,1,V287=1,1,U287=1,1,X287=1,1),0)</f>
        <v>1</v>
      </c>
      <c r="U287" s="526">
        <v>1</v>
      </c>
      <c r="W287" s="526"/>
      <c r="X287" s="526"/>
      <c r="BE287" s="542"/>
    </row>
    <row r="288" spans="1:57" s="541" customFormat="1" ht="12.75" hidden="1" customHeight="1" outlineLevel="3">
      <c r="A288" s="542"/>
      <c r="C288" s="522" t="s">
        <v>2239</v>
      </c>
      <c r="D288" s="531" t="s">
        <v>2170</v>
      </c>
      <c r="E288" s="532" t="s">
        <v>2654</v>
      </c>
      <c r="F288" s="533" t="s">
        <v>2655</v>
      </c>
      <c r="G288" s="542"/>
      <c r="H288" s="503" t="s">
        <v>1055</v>
      </c>
      <c r="I288" s="400" t="s">
        <v>86</v>
      </c>
      <c r="J288" s="507">
        <v>1</v>
      </c>
      <c r="K288" s="542"/>
      <c r="L288" s="393"/>
      <c r="M288" s="542"/>
      <c r="N288" s="397" t="s">
        <v>193</v>
      </c>
      <c r="O288" s="395" cm="1">
        <f t="array" ref="O288">IFERROR(_xlfn.IFS(R288=1,1,Q288=1,1,P288=1,1,S288=1,1),0)</f>
        <v>1</v>
      </c>
      <c r="P288" s="526">
        <v>1</v>
      </c>
      <c r="Q288" s="526"/>
      <c r="R288" s="526"/>
      <c r="S288" s="526"/>
      <c r="T288" s="395" cm="1">
        <f t="array" ref="T288">IFERROR(_xlfn.IFS(W288=1,1,V288=1,1,U288=1,1,X288=1,1),0)</f>
        <v>1</v>
      </c>
      <c r="U288" s="526">
        <v>1</v>
      </c>
      <c r="V288" s="526"/>
      <c r="W288" s="526"/>
      <c r="X288" s="526"/>
      <c r="BE288" s="542">
        <v>1</v>
      </c>
    </row>
    <row r="289" spans="1:57" s="541" customFormat="1" ht="12.75" hidden="1" customHeight="1" outlineLevel="3">
      <c r="A289" s="542"/>
      <c r="C289" s="522" t="s">
        <v>2239</v>
      </c>
      <c r="D289" s="531" t="s">
        <v>2170</v>
      </c>
      <c r="E289" s="532" t="s">
        <v>2656</v>
      </c>
      <c r="F289" s="533" t="s">
        <v>2657</v>
      </c>
      <c r="G289" s="542"/>
      <c r="H289" s="503" t="s">
        <v>1055</v>
      </c>
      <c r="I289" s="400" t="s">
        <v>86</v>
      </c>
      <c r="J289" s="507">
        <v>1</v>
      </c>
      <c r="K289" s="542"/>
      <c r="L289" s="393"/>
      <c r="M289" s="542"/>
      <c r="N289" s="397" t="s">
        <v>193</v>
      </c>
      <c r="O289" s="395" cm="1">
        <f t="array" ref="O289">IFERROR(_xlfn.IFS(R289=1,1,Q289=1,1,P289=1,1,S289=1,1),0)</f>
        <v>1</v>
      </c>
      <c r="P289" s="526">
        <v>1</v>
      </c>
      <c r="Q289" s="526"/>
      <c r="R289" s="526"/>
      <c r="S289" s="526"/>
      <c r="T289" s="395" cm="1">
        <f t="array" ref="T289">IFERROR(_xlfn.IFS(W289=1,1,V289=1,1,U289=1,1,X289=1,1),0)</f>
        <v>1</v>
      </c>
      <c r="U289" s="526">
        <v>1</v>
      </c>
      <c r="V289" s="526"/>
      <c r="W289" s="526"/>
      <c r="X289" s="526"/>
      <c r="BE289" s="542">
        <v>1</v>
      </c>
    </row>
    <row r="290" spans="1:57" s="541" customFormat="1" ht="12.75" hidden="1" customHeight="1" outlineLevel="3">
      <c r="A290" s="542"/>
      <c r="C290" s="522" t="s">
        <v>2239</v>
      </c>
      <c r="D290" s="531" t="s">
        <v>2170</v>
      </c>
      <c r="E290" s="532" t="s">
        <v>2658</v>
      </c>
      <c r="F290" s="533" t="s">
        <v>2659</v>
      </c>
      <c r="G290" s="542"/>
      <c r="H290" s="503" t="s">
        <v>1055</v>
      </c>
      <c r="I290" s="400" t="s">
        <v>86</v>
      </c>
      <c r="J290" s="507">
        <v>1</v>
      </c>
      <c r="K290" s="542"/>
      <c r="L290" s="393"/>
      <c r="M290" s="542"/>
      <c r="N290" s="397" t="s">
        <v>193</v>
      </c>
      <c r="O290" s="395" cm="1">
        <f t="array" ref="O290">IFERROR(_xlfn.IFS(R290=1,1,Q290=1,1,P290=1,1,S290=1,1),0)</f>
        <v>1</v>
      </c>
      <c r="P290" s="526">
        <v>1</v>
      </c>
      <c r="Q290" s="526"/>
      <c r="R290" s="526"/>
      <c r="S290" s="526"/>
      <c r="T290" s="395" cm="1">
        <f t="array" ref="T290">IFERROR(_xlfn.IFS(W290=1,1,V290=1,1,U290=1,1,X290=1,1),0)</f>
        <v>1</v>
      </c>
      <c r="U290" s="526">
        <v>1</v>
      </c>
      <c r="V290" s="526"/>
      <c r="W290" s="526"/>
      <c r="X290" s="526"/>
      <c r="BE290" s="542">
        <v>1</v>
      </c>
    </row>
    <row r="291" spans="1:57" s="541" customFormat="1" ht="12.75" hidden="1" customHeight="1" outlineLevel="3">
      <c r="A291" s="542"/>
      <c r="C291" s="522" t="s">
        <v>2239</v>
      </c>
      <c r="D291" s="531" t="s">
        <v>2170</v>
      </c>
      <c r="E291" s="532" t="s">
        <v>2660</v>
      </c>
      <c r="F291" s="533" t="s">
        <v>2661</v>
      </c>
      <c r="G291" s="542"/>
      <c r="H291" s="503" t="s">
        <v>1055</v>
      </c>
      <c r="I291" s="400" t="s">
        <v>86</v>
      </c>
      <c r="J291" s="507">
        <v>1</v>
      </c>
      <c r="K291" s="542"/>
      <c r="L291" s="393"/>
      <c r="M291" s="542"/>
      <c r="N291" s="397" t="s">
        <v>193</v>
      </c>
      <c r="O291" s="395" cm="1">
        <f t="array" ref="O291">IFERROR(_xlfn.IFS(R291=1,1,Q291=1,1,P291=1,1,S291=1,1),0)</f>
        <v>1</v>
      </c>
      <c r="P291" s="526">
        <v>1</v>
      </c>
      <c r="R291" s="526"/>
      <c r="S291" s="526"/>
      <c r="T291" s="395" cm="1">
        <f t="array" ref="T291">IFERROR(_xlfn.IFS(W291=1,1,V291=1,1,U291=1,1,X291=1,1),0)</f>
        <v>1</v>
      </c>
      <c r="U291" s="526">
        <v>1</v>
      </c>
      <c r="W291" s="526"/>
      <c r="X291" s="526"/>
      <c r="BE291" s="542">
        <v>1</v>
      </c>
    </row>
    <row r="292" spans="1:57" s="541" customFormat="1" ht="12.75" hidden="1" customHeight="1" outlineLevel="3">
      <c r="A292" s="542"/>
      <c r="C292" s="522" t="s">
        <v>2239</v>
      </c>
      <c r="D292" s="531" t="s">
        <v>2170</v>
      </c>
      <c r="E292" s="532" t="s">
        <v>2662</v>
      </c>
      <c r="F292" s="533" t="s">
        <v>2663</v>
      </c>
      <c r="G292" s="542"/>
      <c r="H292" s="503" t="s">
        <v>1055</v>
      </c>
      <c r="I292" s="400" t="s">
        <v>86</v>
      </c>
      <c r="J292" s="507">
        <v>1</v>
      </c>
      <c r="K292" s="542"/>
      <c r="L292" s="393"/>
      <c r="M292" s="542"/>
      <c r="N292" s="397" t="s">
        <v>193</v>
      </c>
      <c r="O292" s="395" cm="1">
        <f t="array" ref="O292">IFERROR(_xlfn.IFS(R292=1,1,Q292=1,1,P292=1,1,S292=1,1),0)</f>
        <v>1</v>
      </c>
      <c r="P292" s="526">
        <v>1</v>
      </c>
      <c r="R292" s="526"/>
      <c r="S292" s="526"/>
      <c r="T292" s="395" cm="1">
        <f t="array" ref="T292">IFERROR(_xlfn.IFS(W292=1,1,V292=1,1,U292=1,1,X292=1,1),0)</f>
        <v>1</v>
      </c>
      <c r="U292" s="526">
        <v>1</v>
      </c>
      <c r="W292" s="526"/>
      <c r="X292" s="526"/>
      <c r="BE292" s="542"/>
    </row>
    <row r="293" spans="1:57" s="541" customFormat="1" ht="3" hidden="1" customHeight="1" outlineLevel="2">
      <c r="A293" s="542"/>
      <c r="C293" s="537"/>
      <c r="D293" s="538"/>
      <c r="E293" s="532"/>
      <c r="F293" s="533"/>
      <c r="G293" s="542"/>
      <c r="H293" s="503"/>
      <c r="I293" s="400"/>
      <c r="J293" s="507"/>
      <c r="K293" s="542"/>
      <c r="L293" s="393"/>
      <c r="M293" s="542"/>
      <c r="N293" s="397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BE293" s="542"/>
    </row>
    <row r="294" spans="1:57" s="541" customFormat="1" ht="12.75" hidden="1" customHeight="1" outlineLevel="2">
      <c r="A294" s="542"/>
      <c r="C294" s="537" t="s">
        <v>2513</v>
      </c>
      <c r="D294" s="538"/>
      <c r="E294" s="532"/>
      <c r="F294" s="533" t="s">
        <v>2514</v>
      </c>
      <c r="G294" s="542"/>
      <c r="H294" s="503"/>
      <c r="I294" s="400"/>
      <c r="J294" s="507"/>
      <c r="K294" s="542"/>
      <c r="L294" s="393"/>
      <c r="M294" s="542"/>
      <c r="N294" s="397"/>
      <c r="O294" s="395"/>
      <c r="P294" s="526"/>
      <c r="Q294" s="526"/>
      <c r="R294" s="526"/>
      <c r="S294" s="526"/>
      <c r="T294" s="395"/>
      <c r="U294" s="526"/>
      <c r="V294" s="526"/>
      <c r="W294" s="526"/>
      <c r="X294" s="526"/>
      <c r="BE294" s="542"/>
    </row>
    <row r="295" spans="1:57" s="541" customFormat="1" ht="3" hidden="1" customHeight="1" outlineLevel="2">
      <c r="A295" s="542"/>
      <c r="C295" s="537"/>
      <c r="D295" s="538"/>
      <c r="E295" s="532"/>
      <c r="F295" s="533"/>
      <c r="G295" s="542"/>
      <c r="H295" s="503"/>
      <c r="I295" s="400"/>
      <c r="J295" s="507"/>
      <c r="K295" s="542"/>
      <c r="L295" s="393"/>
      <c r="M295" s="542"/>
      <c r="N295" s="397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BE295" s="542"/>
    </row>
    <row r="296" spans="1:57" s="541" customFormat="1" ht="12.75" hidden="1" customHeight="1" outlineLevel="2">
      <c r="A296" s="542"/>
      <c r="C296" s="537" t="s">
        <v>2462</v>
      </c>
      <c r="D296" s="538"/>
      <c r="E296" s="532"/>
      <c r="F296" s="533"/>
      <c r="G296" s="542"/>
      <c r="H296" s="503"/>
      <c r="I296" s="400"/>
      <c r="J296" s="507"/>
      <c r="K296" s="542"/>
      <c r="L296" s="393"/>
      <c r="M296" s="542"/>
      <c r="N296" s="397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BE296" s="542"/>
    </row>
    <row r="297" spans="1:57" s="535" customFormat="1" ht="12.75" hidden="1" customHeight="1" outlineLevel="3">
      <c r="A297" s="542"/>
      <c r="B297" s="540"/>
      <c r="C297" s="537"/>
      <c r="D297" s="538"/>
      <c r="E297" s="532" t="s">
        <v>2664</v>
      </c>
      <c r="F297" s="533" t="s">
        <v>2665</v>
      </c>
      <c r="G297" s="542"/>
      <c r="H297" s="503" t="s">
        <v>1055</v>
      </c>
      <c r="I297" s="400" t="s">
        <v>86</v>
      </c>
      <c r="J297" s="507">
        <v>1</v>
      </c>
      <c r="K297" s="542"/>
      <c r="L297" s="526"/>
      <c r="M297" s="542"/>
      <c r="N297" s="397" t="s">
        <v>193</v>
      </c>
      <c r="O297" s="395" cm="1">
        <f t="array" ref="O297">IFERROR(_xlfn.IFS(R297=1,1,Q297=1,1,P297=1,1,S297=1,1),0)</f>
        <v>1</v>
      </c>
      <c r="P297" s="526">
        <v>1</v>
      </c>
      <c r="Q297" s="541"/>
      <c r="R297" s="526"/>
      <c r="S297" s="526"/>
      <c r="T297" s="395" cm="1">
        <f t="array" ref="T297">IFERROR(_xlfn.IFS(W297=1,1,V297=1,1,U297=1,1,X297=1,1),0)</f>
        <v>1</v>
      </c>
      <c r="U297" s="526">
        <v>1</v>
      </c>
      <c r="V297" s="526"/>
      <c r="W297" s="526"/>
      <c r="X297" s="526"/>
      <c r="BE297" s="542"/>
    </row>
    <row r="298" spans="1:57" s="535" customFormat="1" ht="12.75" hidden="1" customHeight="1" outlineLevel="3">
      <c r="A298" s="542"/>
      <c r="B298" s="540"/>
      <c r="C298" s="537"/>
      <c r="D298" s="538"/>
      <c r="E298" s="532" t="s">
        <v>2666</v>
      </c>
      <c r="F298" s="533" t="s">
        <v>2667</v>
      </c>
      <c r="G298" s="542"/>
      <c r="H298" s="503" t="s">
        <v>1055</v>
      </c>
      <c r="I298" s="400" t="s">
        <v>86</v>
      </c>
      <c r="J298" s="507">
        <v>1</v>
      </c>
      <c r="K298" s="542"/>
      <c r="L298" s="526"/>
      <c r="M298" s="542"/>
      <c r="N298" s="397" t="s">
        <v>193</v>
      </c>
      <c r="O298" s="395" cm="1">
        <f t="array" ref="O298">IFERROR(_xlfn.IFS(R298=1,1,Q298=1,1,P298=1,1,S298=1,1),0)</f>
        <v>1</v>
      </c>
      <c r="P298" s="526">
        <v>1</v>
      </c>
      <c r="Q298" s="541"/>
      <c r="R298" s="526"/>
      <c r="S298" s="526"/>
      <c r="T298" s="395" cm="1">
        <f t="array" ref="T298">IFERROR(_xlfn.IFS(W298=1,1,V298=1,1,U298=1,1,X298=1,1),0)</f>
        <v>1</v>
      </c>
      <c r="U298" s="526">
        <v>1</v>
      </c>
      <c r="V298" s="526"/>
      <c r="W298" s="526"/>
      <c r="X298" s="526"/>
      <c r="BE298" s="542"/>
    </row>
    <row r="299" spans="1:57" s="535" customFormat="1" ht="12.75" hidden="1" customHeight="1" outlineLevel="3">
      <c r="A299" s="542"/>
      <c r="B299" s="540"/>
      <c r="C299" s="537"/>
      <c r="D299" s="538"/>
      <c r="E299" s="532" t="s">
        <v>2668</v>
      </c>
      <c r="F299" s="533" t="s">
        <v>2669</v>
      </c>
      <c r="G299" s="542"/>
      <c r="H299" s="503" t="s">
        <v>1055</v>
      </c>
      <c r="I299" s="400" t="s">
        <v>86</v>
      </c>
      <c r="J299" s="507">
        <v>1</v>
      </c>
      <c r="K299" s="542"/>
      <c r="L299" s="526"/>
      <c r="M299" s="542"/>
      <c r="N299" s="397" t="s">
        <v>193</v>
      </c>
      <c r="O299" s="395" cm="1">
        <f t="array" ref="O299">IFERROR(_xlfn.IFS(R299=1,1,Q299=1,1,P299=1,1,S299=1,1),0)</f>
        <v>1</v>
      </c>
      <c r="P299" s="526">
        <v>1</v>
      </c>
      <c r="Q299" s="541"/>
      <c r="R299" s="526"/>
      <c r="S299" s="526"/>
      <c r="T299" s="395" cm="1">
        <f t="array" ref="T299">IFERROR(_xlfn.IFS(W299=1,1,V299=1,1,U299=1,1,X299=1,1),0)</f>
        <v>1</v>
      </c>
      <c r="U299" s="526">
        <v>1</v>
      </c>
      <c r="V299" s="526"/>
      <c r="W299" s="526"/>
      <c r="X299" s="526"/>
      <c r="BE299" s="542"/>
    </row>
    <row r="300" spans="1:57" s="535" customFormat="1" ht="12.75" hidden="1" customHeight="1" outlineLevel="3">
      <c r="A300" s="542"/>
      <c r="B300" s="540"/>
      <c r="C300" s="537"/>
      <c r="D300" s="538"/>
      <c r="E300" s="532" t="s">
        <v>2670</v>
      </c>
      <c r="F300" s="533" t="s">
        <v>2671</v>
      </c>
      <c r="G300" s="542"/>
      <c r="H300" s="503" t="s">
        <v>1055</v>
      </c>
      <c r="I300" s="400" t="s">
        <v>86</v>
      </c>
      <c r="J300" s="507">
        <v>1</v>
      </c>
      <c r="K300" s="542"/>
      <c r="L300" s="526"/>
      <c r="M300" s="542"/>
      <c r="N300" s="397" t="s">
        <v>193</v>
      </c>
      <c r="O300" s="395" cm="1">
        <f t="array" ref="O300">IFERROR(_xlfn.IFS(R300=1,1,Q300=1,1,P300=1,1,S300=1,1),0)</f>
        <v>1</v>
      </c>
      <c r="P300" s="526">
        <v>1</v>
      </c>
      <c r="Q300" s="541"/>
      <c r="R300" s="526"/>
      <c r="S300" s="526"/>
      <c r="T300" s="395" cm="1">
        <f t="array" ref="T300">IFERROR(_xlfn.IFS(W300=1,1,V300=1,1,U300=1,1,X300=1,1),0)</f>
        <v>1</v>
      </c>
      <c r="U300" s="526">
        <v>1</v>
      </c>
      <c r="V300" s="526"/>
      <c r="W300" s="526"/>
      <c r="X300" s="526"/>
      <c r="BE300" s="542"/>
    </row>
    <row r="301" spans="1:57" s="535" customFormat="1" ht="12.75" hidden="1" customHeight="1" outlineLevel="3">
      <c r="A301" s="542"/>
      <c r="B301" s="540"/>
      <c r="C301" s="537"/>
      <c r="D301" s="538"/>
      <c r="E301" s="532" t="s">
        <v>2672</v>
      </c>
      <c r="F301" s="533" t="s">
        <v>2673</v>
      </c>
      <c r="G301" s="542"/>
      <c r="H301" s="503" t="s">
        <v>1055</v>
      </c>
      <c r="I301" s="400" t="s">
        <v>86</v>
      </c>
      <c r="J301" s="507">
        <v>1</v>
      </c>
      <c r="K301" s="542"/>
      <c r="L301" s="526"/>
      <c r="M301" s="542"/>
      <c r="N301" s="397" t="s">
        <v>193</v>
      </c>
      <c r="O301" s="395" cm="1">
        <f t="array" ref="O301">IFERROR(_xlfn.IFS(R301=1,1,Q301=1,1,P301=1,1,S301=1,1),0)</f>
        <v>1</v>
      </c>
      <c r="P301" s="526">
        <v>1</v>
      </c>
      <c r="Q301" s="541"/>
      <c r="R301" s="526"/>
      <c r="S301" s="526"/>
      <c r="T301" s="395" cm="1">
        <f t="array" ref="T301">IFERROR(_xlfn.IFS(W301=1,1,V301=1,1,U301=1,1,X301=1,1),0)</f>
        <v>1</v>
      </c>
      <c r="U301" s="526">
        <v>1</v>
      </c>
      <c r="V301" s="526"/>
      <c r="W301" s="526"/>
      <c r="X301" s="526"/>
      <c r="BE301" s="542"/>
    </row>
    <row r="302" spans="1:57" s="535" customFormat="1" ht="12.75" hidden="1" customHeight="1" outlineLevel="3">
      <c r="A302" s="542"/>
      <c r="B302" s="540"/>
      <c r="C302" s="537"/>
      <c r="D302" s="538"/>
      <c r="E302" s="532" t="s">
        <v>2674</v>
      </c>
      <c r="F302" s="533" t="s">
        <v>2675</v>
      </c>
      <c r="G302" s="542"/>
      <c r="H302" s="503" t="s">
        <v>1055</v>
      </c>
      <c r="I302" s="400" t="s">
        <v>86</v>
      </c>
      <c r="J302" s="507">
        <v>1</v>
      </c>
      <c r="K302" s="542"/>
      <c r="L302" s="526"/>
      <c r="M302" s="542"/>
      <c r="N302" s="397" t="s">
        <v>193</v>
      </c>
      <c r="O302" s="395" cm="1">
        <f t="array" ref="O302">IFERROR(_xlfn.IFS(R302=1,1,Q302=1,1,P302=1,1,S302=1,1),0)</f>
        <v>1</v>
      </c>
      <c r="P302" s="526">
        <v>1</v>
      </c>
      <c r="Q302" s="541"/>
      <c r="R302" s="526"/>
      <c r="S302" s="526"/>
      <c r="T302" s="395" cm="1">
        <f t="array" ref="T302">IFERROR(_xlfn.IFS(W302=1,1,V302=1,1,U302=1,1,X302=1,1),0)</f>
        <v>1</v>
      </c>
      <c r="U302" s="526">
        <v>1</v>
      </c>
      <c r="V302" s="526"/>
      <c r="W302" s="526"/>
      <c r="X302" s="526"/>
      <c r="BE302" s="542"/>
    </row>
    <row r="303" spans="1:57" s="541" customFormat="1" ht="3" hidden="1" customHeight="1" outlineLevel="2">
      <c r="A303" s="542"/>
      <c r="C303" s="537"/>
      <c r="D303" s="538"/>
      <c r="E303" s="532"/>
      <c r="F303" s="533"/>
      <c r="G303" s="542"/>
      <c r="H303" s="503"/>
      <c r="I303" s="400"/>
      <c r="J303" s="507"/>
      <c r="K303" s="542"/>
      <c r="L303" s="393"/>
      <c r="M303" s="542"/>
      <c r="N303" s="397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BE303" s="542"/>
    </row>
    <row r="304" spans="1:57" s="541" customFormat="1" ht="12.75" hidden="1" customHeight="1" outlineLevel="2">
      <c r="A304" s="542"/>
      <c r="C304" s="537" t="s">
        <v>2676</v>
      </c>
      <c r="D304" s="538"/>
      <c r="E304" s="532"/>
      <c r="F304" s="533"/>
      <c r="G304" s="542"/>
      <c r="H304" s="503"/>
      <c r="I304" s="400"/>
      <c r="J304" s="507"/>
      <c r="K304" s="542"/>
      <c r="L304" s="393"/>
      <c r="M304" s="542"/>
      <c r="N304" s="397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BE304" s="542"/>
    </row>
    <row r="305" spans="1:57" s="541" customFormat="1" ht="12.75" hidden="1" customHeight="1" outlineLevel="3">
      <c r="A305" s="542"/>
      <c r="C305" s="522" t="s">
        <v>2516</v>
      </c>
      <c r="D305" s="531" t="s">
        <v>2170</v>
      </c>
      <c r="E305" s="532" t="s">
        <v>2677</v>
      </c>
      <c r="F305" s="533" t="s">
        <v>2678</v>
      </c>
      <c r="G305" s="542"/>
      <c r="H305" s="503" t="s">
        <v>1055</v>
      </c>
      <c r="I305" s="400" t="s">
        <v>86</v>
      </c>
      <c r="J305" s="507">
        <v>1</v>
      </c>
      <c r="K305" s="542"/>
      <c r="L305" s="393"/>
      <c r="M305" s="542"/>
      <c r="N305" s="397" t="s">
        <v>193</v>
      </c>
      <c r="O305" s="395" cm="1">
        <f t="array" ref="O305">IFERROR(_xlfn.IFS(R305=1,1,Q305=1,1,P305=1,1,S305=1,1),0)</f>
        <v>1</v>
      </c>
      <c r="P305" s="526">
        <v>1</v>
      </c>
      <c r="Q305" s="526"/>
      <c r="R305" s="526"/>
      <c r="S305" s="526"/>
      <c r="T305" s="395" cm="1">
        <f t="array" ref="T305">IFERROR(_xlfn.IFS(W305=1,1,V305=1,1,U305=1,1,X305=1,1),0)</f>
        <v>1</v>
      </c>
      <c r="U305" s="526">
        <v>1</v>
      </c>
      <c r="V305" s="526"/>
      <c r="W305" s="526"/>
      <c r="X305" s="526"/>
      <c r="BE305" s="542">
        <v>1</v>
      </c>
    </row>
    <row r="306" spans="1:57" s="541" customFormat="1" ht="12.75" hidden="1" customHeight="1" outlineLevel="3">
      <c r="A306" s="542"/>
      <c r="C306" s="522" t="s">
        <v>2516</v>
      </c>
      <c r="D306" s="531" t="s">
        <v>2170</v>
      </c>
      <c r="E306" s="532" t="s">
        <v>2679</v>
      </c>
      <c r="F306" s="533" t="s">
        <v>2680</v>
      </c>
      <c r="G306" s="542"/>
      <c r="H306" s="503" t="s">
        <v>1055</v>
      </c>
      <c r="I306" s="400" t="s">
        <v>86</v>
      </c>
      <c r="J306" s="507">
        <v>1</v>
      </c>
      <c r="K306" s="542"/>
      <c r="L306" s="393"/>
      <c r="M306" s="542"/>
      <c r="N306" s="397" t="s">
        <v>193</v>
      </c>
      <c r="O306" s="395" cm="1">
        <f t="array" ref="O306">IFERROR(_xlfn.IFS(R306=1,1,Q306=1,1,P306=1,1,S306=1,1),0)</f>
        <v>1</v>
      </c>
      <c r="P306" s="526">
        <v>1</v>
      </c>
      <c r="Q306" s="526"/>
      <c r="R306" s="526"/>
      <c r="S306" s="526"/>
      <c r="T306" s="395" cm="1">
        <f t="array" ref="T306">IFERROR(_xlfn.IFS(W306=1,1,V306=1,1,U306=1,1,X306=1,1),0)</f>
        <v>1</v>
      </c>
      <c r="U306" s="526">
        <v>1</v>
      </c>
      <c r="V306" s="526"/>
      <c r="W306" s="526"/>
      <c r="X306" s="526"/>
      <c r="BE306" s="542">
        <v>1</v>
      </c>
    </row>
    <row r="307" spans="1:57" s="541" customFormat="1" ht="12.75" hidden="1" customHeight="1" outlineLevel="3">
      <c r="A307" s="542"/>
      <c r="C307" s="522" t="s">
        <v>2516</v>
      </c>
      <c r="D307" s="531" t="s">
        <v>2170</v>
      </c>
      <c r="E307" s="532" t="s">
        <v>2681</v>
      </c>
      <c r="F307" s="533" t="s">
        <v>2682</v>
      </c>
      <c r="G307" s="542"/>
      <c r="H307" s="503" t="s">
        <v>1055</v>
      </c>
      <c r="I307" s="400" t="s">
        <v>86</v>
      </c>
      <c r="J307" s="507">
        <v>1</v>
      </c>
      <c r="K307" s="542"/>
      <c r="L307" s="393"/>
      <c r="M307" s="542"/>
      <c r="N307" s="397" t="s">
        <v>193</v>
      </c>
      <c r="O307" s="395" cm="1">
        <f t="array" ref="O307">IFERROR(_xlfn.IFS(R307=1,1,Q307=1,1,P307=1,1,S307=1,1),0)</f>
        <v>1</v>
      </c>
      <c r="P307" s="526">
        <v>1</v>
      </c>
      <c r="Q307" s="526"/>
      <c r="R307" s="526"/>
      <c r="S307" s="526"/>
      <c r="T307" s="395" cm="1">
        <f t="array" ref="T307">IFERROR(_xlfn.IFS(W307=1,1,V307=1,1,U307=1,1,X307=1,1),0)</f>
        <v>1</v>
      </c>
      <c r="U307" s="526">
        <v>1</v>
      </c>
      <c r="V307" s="526"/>
      <c r="W307" s="526"/>
      <c r="X307" s="526"/>
      <c r="BE307" s="542">
        <v>1</v>
      </c>
    </row>
    <row r="308" spans="1:57" s="541" customFormat="1" ht="12.75" hidden="1" customHeight="1" outlineLevel="3">
      <c r="A308" s="542"/>
      <c r="C308" s="522" t="s">
        <v>2516</v>
      </c>
      <c r="D308" s="531" t="s">
        <v>2170</v>
      </c>
      <c r="E308" s="532" t="s">
        <v>2683</v>
      </c>
      <c r="F308" s="533" t="s">
        <v>2684</v>
      </c>
      <c r="G308" s="542"/>
      <c r="H308" s="503" t="s">
        <v>1055</v>
      </c>
      <c r="I308" s="400" t="s">
        <v>86</v>
      </c>
      <c r="J308" s="507">
        <v>1</v>
      </c>
      <c r="K308" s="542"/>
      <c r="L308" s="393"/>
      <c r="M308" s="542"/>
      <c r="N308" s="397" t="s">
        <v>193</v>
      </c>
      <c r="O308" s="395" cm="1">
        <f t="array" ref="O308">IFERROR(_xlfn.IFS(R308=1,1,Q308=1,1,P308=1,1,S308=1,1),0)</f>
        <v>1</v>
      </c>
      <c r="P308" s="526">
        <v>1</v>
      </c>
      <c r="Q308" s="526"/>
      <c r="R308" s="526"/>
      <c r="S308" s="526"/>
      <c r="T308" s="395" cm="1">
        <f t="array" ref="T308">IFERROR(_xlfn.IFS(W308=1,1,V308=1,1,U308=1,1,X308=1,1),0)</f>
        <v>1</v>
      </c>
      <c r="U308" s="526">
        <v>1</v>
      </c>
      <c r="V308" s="526"/>
      <c r="W308" s="526"/>
      <c r="X308" s="526"/>
      <c r="BE308" s="542">
        <v>1</v>
      </c>
    </row>
    <row r="309" spans="1:57" s="541" customFormat="1" ht="12.75" hidden="1" customHeight="1" outlineLevel="3">
      <c r="A309" s="542"/>
      <c r="C309" s="522" t="s">
        <v>2516</v>
      </c>
      <c r="D309" s="531" t="s">
        <v>2170</v>
      </c>
      <c r="E309" s="532" t="s">
        <v>2685</v>
      </c>
      <c r="F309" s="533" t="s">
        <v>2686</v>
      </c>
      <c r="G309" s="542"/>
      <c r="H309" s="503" t="s">
        <v>1055</v>
      </c>
      <c r="I309" s="400" t="s">
        <v>86</v>
      </c>
      <c r="J309" s="507">
        <v>1</v>
      </c>
      <c r="K309" s="542"/>
      <c r="L309" s="393"/>
      <c r="M309" s="542"/>
      <c r="N309" s="397" t="s">
        <v>193</v>
      </c>
      <c r="O309" s="395" cm="1">
        <f t="array" ref="O309">IFERROR(_xlfn.IFS(R309=1,1,Q309=1,1,P309=1,1,S309=1,1),0)</f>
        <v>1</v>
      </c>
      <c r="P309" s="526">
        <v>1</v>
      </c>
      <c r="Q309" s="526"/>
      <c r="R309" s="526"/>
      <c r="S309" s="526"/>
      <c r="T309" s="395" cm="1">
        <f t="array" ref="T309">IFERROR(_xlfn.IFS(W309=1,1,V309=1,1,U309=1,1,X309=1,1),0)</f>
        <v>1</v>
      </c>
      <c r="U309" s="526">
        <v>1</v>
      </c>
      <c r="V309" s="526"/>
      <c r="W309" s="526"/>
      <c r="X309" s="526"/>
      <c r="BE309" s="542">
        <v>1</v>
      </c>
    </row>
    <row r="310" spans="1:57" s="541" customFormat="1" ht="12.75" hidden="1" customHeight="1" outlineLevel="3">
      <c r="A310" s="542"/>
      <c r="C310" s="522" t="s">
        <v>2516</v>
      </c>
      <c r="D310" s="531" t="s">
        <v>2170</v>
      </c>
      <c r="E310" s="532" t="s">
        <v>2687</v>
      </c>
      <c r="F310" s="533" t="s">
        <v>2688</v>
      </c>
      <c r="G310" s="542"/>
      <c r="H310" s="503" t="s">
        <v>1055</v>
      </c>
      <c r="I310" s="400" t="s">
        <v>86</v>
      </c>
      <c r="J310" s="507">
        <v>1</v>
      </c>
      <c r="K310" s="542"/>
      <c r="L310" s="393"/>
      <c r="M310" s="542"/>
      <c r="N310" s="397" t="s">
        <v>193</v>
      </c>
      <c r="O310" s="395" cm="1">
        <f t="array" ref="O310">IFERROR(_xlfn.IFS(R310=1,1,Q310=1,1,P310=1,1,S310=1,1),0)</f>
        <v>1</v>
      </c>
      <c r="P310" s="526">
        <v>1</v>
      </c>
      <c r="Q310" s="526"/>
      <c r="R310" s="526"/>
      <c r="S310" s="526"/>
      <c r="T310" s="395" cm="1">
        <f t="array" ref="T310">IFERROR(_xlfn.IFS(W310=1,1,V310=1,1,U310=1,1,X310=1,1),0)</f>
        <v>1</v>
      </c>
      <c r="U310" s="526">
        <v>1</v>
      </c>
      <c r="V310" s="526"/>
      <c r="W310" s="526"/>
      <c r="X310" s="526"/>
      <c r="BE310" s="542">
        <v>1</v>
      </c>
    </row>
    <row r="311" spans="1:57" s="541" customFormat="1" ht="12.75" hidden="1" customHeight="1" outlineLevel="3">
      <c r="A311" s="542"/>
      <c r="C311" s="522" t="s">
        <v>2516</v>
      </c>
      <c r="D311" s="531" t="s">
        <v>2170</v>
      </c>
      <c r="E311" s="532" t="s">
        <v>2689</v>
      </c>
      <c r="F311" s="533" t="s">
        <v>2690</v>
      </c>
      <c r="G311" s="542"/>
      <c r="H311" s="503" t="s">
        <v>1055</v>
      </c>
      <c r="I311" s="400" t="s">
        <v>86</v>
      </c>
      <c r="J311" s="507">
        <v>1</v>
      </c>
      <c r="K311" s="542"/>
      <c r="L311" s="393"/>
      <c r="M311" s="542"/>
      <c r="N311" s="397" t="s">
        <v>193</v>
      </c>
      <c r="O311" s="395" cm="1">
        <f t="array" ref="O311">IFERROR(_xlfn.IFS(R311=1,1,Q311=1,1,P311=1,1,S311=1,1),0)</f>
        <v>1</v>
      </c>
      <c r="P311" s="526">
        <v>1</v>
      </c>
      <c r="Q311" s="526"/>
      <c r="R311" s="526"/>
      <c r="S311" s="526"/>
      <c r="T311" s="395" cm="1">
        <f t="array" ref="T311">IFERROR(_xlfn.IFS(W311=1,1,V311=1,1,U311=1,1,X311=1,1),0)</f>
        <v>1</v>
      </c>
      <c r="U311" s="526">
        <v>1</v>
      </c>
      <c r="V311" s="526"/>
      <c r="W311" s="526"/>
      <c r="X311" s="526"/>
      <c r="BE311" s="542">
        <v>1</v>
      </c>
    </row>
    <row r="312" spans="1:57" s="541" customFormat="1" ht="12.75" hidden="1" customHeight="1" outlineLevel="3">
      <c r="A312" s="542"/>
      <c r="C312" s="522" t="s">
        <v>2516</v>
      </c>
      <c r="D312" s="531" t="s">
        <v>2170</v>
      </c>
      <c r="E312" s="532" t="s">
        <v>2691</v>
      </c>
      <c r="F312" s="533" t="s">
        <v>2692</v>
      </c>
      <c r="G312" s="542"/>
      <c r="H312" s="503" t="s">
        <v>1055</v>
      </c>
      <c r="I312" s="400" t="s">
        <v>86</v>
      </c>
      <c r="J312" s="507">
        <v>1</v>
      </c>
      <c r="K312" s="542"/>
      <c r="L312" s="393"/>
      <c r="M312" s="542"/>
      <c r="N312" s="397" t="s">
        <v>193</v>
      </c>
      <c r="O312" s="395" cm="1">
        <f t="array" ref="O312">IFERROR(_xlfn.IFS(R312=1,1,Q312=1,1,P312=1,1,S312=1,1),0)</f>
        <v>1</v>
      </c>
      <c r="P312" s="526">
        <v>1</v>
      </c>
      <c r="Q312" s="526"/>
      <c r="R312" s="526"/>
      <c r="S312" s="526"/>
      <c r="T312" s="395" cm="1">
        <f t="array" ref="T312">IFERROR(_xlfn.IFS(W312=1,1,V312=1,1,U312=1,1,X312=1,1),0)</f>
        <v>1</v>
      </c>
      <c r="U312" s="526">
        <v>1</v>
      </c>
      <c r="V312" s="526"/>
      <c r="W312" s="526"/>
      <c r="X312" s="526"/>
      <c r="BE312" s="542">
        <v>1</v>
      </c>
    </row>
    <row r="313" spans="1:57" s="541" customFormat="1" ht="12.75" hidden="1" customHeight="1" outlineLevel="3">
      <c r="A313" s="542"/>
      <c r="C313" s="522" t="s">
        <v>2516</v>
      </c>
      <c r="D313" s="531" t="s">
        <v>2170</v>
      </c>
      <c r="E313" s="532" t="s">
        <v>2693</v>
      </c>
      <c r="F313" s="533" t="s">
        <v>2694</v>
      </c>
      <c r="G313" s="542"/>
      <c r="H313" s="503" t="s">
        <v>1055</v>
      </c>
      <c r="I313" s="400" t="s">
        <v>86</v>
      </c>
      <c r="J313" s="507">
        <v>1</v>
      </c>
      <c r="K313" s="542"/>
      <c r="L313" s="393"/>
      <c r="M313" s="542"/>
      <c r="N313" s="397" t="s">
        <v>193</v>
      </c>
      <c r="O313" s="395" cm="1">
        <f t="array" ref="O313">IFERROR(_xlfn.IFS(R313=1,1,Q313=1,1,P313=1,1,S313=1,1),0)</f>
        <v>1</v>
      </c>
      <c r="P313" s="526">
        <v>1</v>
      </c>
      <c r="Q313" s="526"/>
      <c r="R313" s="526"/>
      <c r="S313" s="526"/>
      <c r="T313" s="395" cm="1">
        <f t="array" ref="T313">IFERROR(_xlfn.IFS(W313=1,1,V313=1,1,U313=1,1,X313=1,1),0)</f>
        <v>1</v>
      </c>
      <c r="U313" s="526">
        <v>1</v>
      </c>
      <c r="V313" s="526"/>
      <c r="W313" s="526"/>
      <c r="X313" s="526"/>
      <c r="BE313" s="542">
        <v>1</v>
      </c>
    </row>
    <row r="314" spans="1:57" s="541" customFormat="1" ht="12.75" hidden="1" customHeight="1" outlineLevel="3">
      <c r="A314" s="542"/>
      <c r="C314" s="522" t="s">
        <v>2516</v>
      </c>
      <c r="D314" s="531" t="s">
        <v>2170</v>
      </c>
      <c r="E314" s="532" t="s">
        <v>2695</v>
      </c>
      <c r="F314" s="533" t="s">
        <v>2696</v>
      </c>
      <c r="G314" s="542"/>
      <c r="H314" s="503" t="s">
        <v>1055</v>
      </c>
      <c r="I314" s="400" t="s">
        <v>86</v>
      </c>
      <c r="J314" s="507">
        <v>1</v>
      </c>
      <c r="K314" s="542"/>
      <c r="L314" s="393"/>
      <c r="M314" s="542"/>
      <c r="N314" s="397" t="s">
        <v>193</v>
      </c>
      <c r="O314" s="395" cm="1">
        <f t="array" ref="O314">IFERROR(_xlfn.IFS(R314=1,1,Q314=1,1,P314=1,1,S314=1,1),0)</f>
        <v>1</v>
      </c>
      <c r="P314" s="526">
        <v>1</v>
      </c>
      <c r="Q314" s="526"/>
      <c r="R314" s="526"/>
      <c r="S314" s="526"/>
      <c r="T314" s="395" cm="1">
        <f t="array" ref="T314">IFERROR(_xlfn.IFS(W314=1,1,V314=1,1,U314=1,1,X314=1,1),0)</f>
        <v>1</v>
      </c>
      <c r="U314" s="526">
        <v>1</v>
      </c>
      <c r="V314" s="526"/>
      <c r="W314" s="526"/>
      <c r="X314" s="526"/>
      <c r="BE314" s="542">
        <v>1</v>
      </c>
    </row>
    <row r="315" spans="1:57" s="541" customFormat="1" ht="12.75" hidden="1" customHeight="1" outlineLevel="3">
      <c r="A315" s="542"/>
      <c r="C315" s="522" t="s">
        <v>2516</v>
      </c>
      <c r="D315" s="531" t="s">
        <v>2170</v>
      </c>
      <c r="E315" s="532" t="s">
        <v>2697</v>
      </c>
      <c r="F315" s="533" t="s">
        <v>2698</v>
      </c>
      <c r="G315" s="542"/>
      <c r="H315" s="503" t="s">
        <v>1055</v>
      </c>
      <c r="I315" s="400" t="s">
        <v>86</v>
      </c>
      <c r="J315" s="507">
        <v>1</v>
      </c>
      <c r="K315" s="542"/>
      <c r="L315" s="393"/>
      <c r="M315" s="542"/>
      <c r="N315" s="397" t="s">
        <v>193</v>
      </c>
      <c r="O315" s="395" cm="1">
        <f t="array" ref="O315">IFERROR(_xlfn.IFS(R315=1,1,Q315=1,1,P315=1,1,S315=1,1),0)</f>
        <v>1</v>
      </c>
      <c r="P315" s="526">
        <v>1</v>
      </c>
      <c r="Q315" s="526"/>
      <c r="R315" s="526"/>
      <c r="S315" s="526"/>
      <c r="T315" s="395" cm="1">
        <f t="array" ref="T315">IFERROR(_xlfn.IFS(W315=1,1,V315=1,1,U315=1,1,X315=1,1),0)</f>
        <v>1</v>
      </c>
      <c r="U315" s="526">
        <v>1</v>
      </c>
      <c r="V315" s="526"/>
      <c r="W315" s="526"/>
      <c r="X315" s="526"/>
      <c r="BE315" s="542">
        <v>1</v>
      </c>
    </row>
    <row r="316" spans="1:57" s="541" customFormat="1" ht="12.75" hidden="1" customHeight="1" outlineLevel="3">
      <c r="A316" s="542"/>
      <c r="C316" s="522" t="s">
        <v>2516</v>
      </c>
      <c r="D316" s="531" t="s">
        <v>2170</v>
      </c>
      <c r="E316" s="532" t="s">
        <v>2699</v>
      </c>
      <c r="F316" s="533" t="s">
        <v>2700</v>
      </c>
      <c r="G316" s="542"/>
      <c r="H316" s="503" t="s">
        <v>1055</v>
      </c>
      <c r="I316" s="400" t="s">
        <v>86</v>
      </c>
      <c r="J316" s="507">
        <v>1</v>
      </c>
      <c r="K316" s="542"/>
      <c r="L316" s="393"/>
      <c r="M316" s="542"/>
      <c r="N316" s="397" t="s">
        <v>193</v>
      </c>
      <c r="O316" s="395" cm="1">
        <f t="array" ref="O316">IFERROR(_xlfn.IFS(R316=1,1,Q316=1,1,P316=1,1,S316=1,1),0)</f>
        <v>1</v>
      </c>
      <c r="P316" s="526">
        <v>1</v>
      </c>
      <c r="Q316" s="526"/>
      <c r="R316" s="526"/>
      <c r="S316" s="526"/>
      <c r="T316" s="395" cm="1">
        <f t="array" ref="T316">IFERROR(_xlfn.IFS(W316=1,1,V316=1,1,U316=1,1,X316=1,1),0)</f>
        <v>1</v>
      </c>
      <c r="U316" s="526">
        <v>1</v>
      </c>
      <c r="V316" s="526"/>
      <c r="W316" s="526"/>
      <c r="X316" s="526"/>
      <c r="BE316" s="542">
        <v>1</v>
      </c>
    </row>
    <row r="317" spans="1:57" s="541" customFormat="1" ht="12.75" hidden="1" customHeight="1" outlineLevel="3">
      <c r="A317" s="542"/>
      <c r="C317" s="522" t="s">
        <v>2516</v>
      </c>
      <c r="D317" s="531" t="s">
        <v>2170</v>
      </c>
      <c r="E317" s="532" t="s">
        <v>2701</v>
      </c>
      <c r="F317" s="533" t="s">
        <v>2702</v>
      </c>
      <c r="G317" s="542"/>
      <c r="H317" s="503" t="s">
        <v>1055</v>
      </c>
      <c r="I317" s="400" t="s">
        <v>86</v>
      </c>
      <c r="J317" s="507">
        <v>1</v>
      </c>
      <c r="K317" s="542"/>
      <c r="L317" s="393"/>
      <c r="M317" s="542"/>
      <c r="N317" s="397" t="s">
        <v>193</v>
      </c>
      <c r="O317" s="395" cm="1">
        <f t="array" ref="O317">IFERROR(_xlfn.IFS(R317=1,1,Q317=1,1,P317=1,1,S317=1,1),0)</f>
        <v>1</v>
      </c>
      <c r="P317" s="526">
        <v>1</v>
      </c>
      <c r="Q317" s="526"/>
      <c r="R317" s="526"/>
      <c r="S317" s="526"/>
      <c r="T317" s="395" cm="1">
        <f t="array" ref="T317">IFERROR(_xlfn.IFS(W317=1,1,V317=1,1,U317=1,1,X317=1,1),0)</f>
        <v>1</v>
      </c>
      <c r="U317" s="526">
        <v>1</v>
      </c>
      <c r="V317" s="526"/>
      <c r="W317" s="526"/>
      <c r="X317" s="526"/>
      <c r="BE317" s="542">
        <v>1</v>
      </c>
    </row>
    <row r="318" spans="1:57" s="541" customFormat="1" ht="3" hidden="1" customHeight="1" outlineLevel="2">
      <c r="A318" s="542"/>
      <c r="C318" s="537"/>
      <c r="D318" s="538"/>
      <c r="E318" s="532"/>
      <c r="F318" s="533"/>
      <c r="G318" s="542"/>
      <c r="H318" s="503"/>
      <c r="I318" s="400"/>
      <c r="J318" s="507"/>
      <c r="K318" s="542"/>
      <c r="L318" s="393"/>
      <c r="M318" s="542"/>
      <c r="N318" s="397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BE318" s="542"/>
    </row>
    <row r="319" spans="1:57" s="541" customFormat="1" ht="12.75" hidden="1" customHeight="1" outlineLevel="2">
      <c r="A319" s="542"/>
      <c r="C319" s="537" t="s">
        <v>2549</v>
      </c>
      <c r="D319" s="538"/>
      <c r="E319" s="532"/>
      <c r="F319" s="533"/>
      <c r="G319" s="542"/>
      <c r="H319" s="503"/>
      <c r="I319" s="400"/>
      <c r="J319" s="507"/>
      <c r="K319" s="542"/>
      <c r="L319" s="393"/>
      <c r="M319" s="542"/>
      <c r="N319" s="397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BE319" s="542"/>
    </row>
    <row r="320" spans="1:57" s="535" customFormat="1" ht="12.75" hidden="1" customHeight="1" outlineLevel="3">
      <c r="A320" s="542"/>
      <c r="B320" s="540"/>
      <c r="C320" s="537"/>
      <c r="D320" s="538"/>
      <c r="E320" s="532" t="s">
        <v>2703</v>
      </c>
      <c r="F320" s="533" t="s">
        <v>2704</v>
      </c>
      <c r="G320" s="542"/>
      <c r="H320" s="503" t="s">
        <v>1055</v>
      </c>
      <c r="I320" s="400" t="s">
        <v>86</v>
      </c>
      <c r="J320" s="507">
        <v>1</v>
      </c>
      <c r="K320" s="542"/>
      <c r="L320" s="526"/>
      <c r="M320" s="542"/>
      <c r="N320" s="397" t="s">
        <v>193</v>
      </c>
      <c r="O320" s="395" cm="1">
        <f t="array" ref="O320">IFERROR(_xlfn.IFS(R320=1,1,Q320=1,1,P320=1,1,S320=1,1),0)</f>
        <v>1</v>
      </c>
      <c r="P320" s="526">
        <v>1</v>
      </c>
      <c r="Q320" s="541"/>
      <c r="R320" s="526"/>
      <c r="S320" s="526"/>
      <c r="T320" s="395" cm="1">
        <f t="array" ref="T320">IFERROR(_xlfn.IFS(W320=1,1,V320=1,1,U320=1,1,X320=1,1),0)</f>
        <v>1</v>
      </c>
      <c r="U320" s="526">
        <v>1</v>
      </c>
      <c r="V320" s="526"/>
      <c r="W320" s="526"/>
      <c r="X320" s="526"/>
      <c r="BE320" s="542"/>
    </row>
    <row r="321" spans="1:57" s="535" customFormat="1" ht="12.75" hidden="1" customHeight="1" outlineLevel="3">
      <c r="A321" s="542"/>
      <c r="B321" s="540"/>
      <c r="C321" s="537"/>
      <c r="D321" s="538"/>
      <c r="E321" s="532" t="s">
        <v>2705</v>
      </c>
      <c r="F321" s="533" t="s">
        <v>2706</v>
      </c>
      <c r="G321" s="542"/>
      <c r="H321" s="503" t="s">
        <v>1055</v>
      </c>
      <c r="I321" s="400" t="s">
        <v>86</v>
      </c>
      <c r="J321" s="507">
        <v>1</v>
      </c>
      <c r="K321" s="542"/>
      <c r="L321" s="526"/>
      <c r="M321" s="542"/>
      <c r="N321" s="397" t="s">
        <v>193</v>
      </c>
      <c r="O321" s="395" cm="1">
        <f t="array" ref="O321">IFERROR(_xlfn.IFS(R321=1,1,Q321=1,1,P321=1,1,S321=1,1),0)</f>
        <v>1</v>
      </c>
      <c r="P321" s="526">
        <v>1</v>
      </c>
      <c r="Q321" s="541"/>
      <c r="R321" s="526"/>
      <c r="S321" s="526"/>
      <c r="T321" s="395" cm="1">
        <f t="array" ref="T321">IFERROR(_xlfn.IFS(W321=1,1,V321=1,1,U321=1,1,X321=1,1),0)</f>
        <v>1</v>
      </c>
      <c r="U321" s="526">
        <v>1</v>
      </c>
      <c r="V321" s="526"/>
      <c r="W321" s="526"/>
      <c r="X321" s="526"/>
      <c r="BE321" s="542"/>
    </row>
    <row r="322" spans="1:57" s="535" customFormat="1" ht="12.75" hidden="1" customHeight="1" outlineLevel="3">
      <c r="A322" s="542"/>
      <c r="B322" s="540"/>
      <c r="C322" s="537"/>
      <c r="D322" s="538"/>
      <c r="E322" s="532" t="s">
        <v>2707</v>
      </c>
      <c r="F322" s="533" t="s">
        <v>2708</v>
      </c>
      <c r="G322" s="542"/>
      <c r="H322" s="503" t="s">
        <v>1055</v>
      </c>
      <c r="I322" s="400" t="s">
        <v>86</v>
      </c>
      <c r="J322" s="507">
        <v>1</v>
      </c>
      <c r="K322" s="542"/>
      <c r="L322" s="526"/>
      <c r="M322" s="542"/>
      <c r="N322" s="397" t="s">
        <v>193</v>
      </c>
      <c r="O322" s="395" cm="1">
        <f t="array" ref="O322">IFERROR(_xlfn.IFS(R322=1,1,Q322=1,1,P322=1,1,S322=1,1),0)</f>
        <v>1</v>
      </c>
      <c r="P322" s="526">
        <v>1</v>
      </c>
      <c r="Q322" s="541"/>
      <c r="R322" s="526"/>
      <c r="S322" s="526"/>
      <c r="T322" s="395" cm="1">
        <f t="array" ref="T322">IFERROR(_xlfn.IFS(W322=1,1,V322=1,1,U322=1,1,X322=1,1),0)</f>
        <v>1</v>
      </c>
      <c r="U322" s="526">
        <v>1</v>
      </c>
      <c r="V322" s="526"/>
      <c r="W322" s="526"/>
      <c r="X322" s="526"/>
      <c r="BE322" s="542"/>
    </row>
    <row r="323" spans="1:57" s="535" customFormat="1" ht="12.75" hidden="1" customHeight="1" outlineLevel="3">
      <c r="A323" s="542"/>
      <c r="B323" s="540"/>
      <c r="C323" s="537"/>
      <c r="D323" s="538"/>
      <c r="E323" s="532" t="s">
        <v>2709</v>
      </c>
      <c r="F323" s="533" t="s">
        <v>2710</v>
      </c>
      <c r="G323" s="542"/>
      <c r="H323" s="503" t="s">
        <v>1055</v>
      </c>
      <c r="I323" s="400" t="s">
        <v>86</v>
      </c>
      <c r="J323" s="507">
        <v>1</v>
      </c>
      <c r="K323" s="542"/>
      <c r="L323" s="526"/>
      <c r="M323" s="542"/>
      <c r="N323" s="397" t="s">
        <v>193</v>
      </c>
      <c r="O323" s="395" cm="1">
        <f t="array" ref="O323">IFERROR(_xlfn.IFS(R323=1,1,Q323=1,1,P323=1,1,S323=1,1),0)</f>
        <v>1</v>
      </c>
      <c r="P323" s="526">
        <v>1</v>
      </c>
      <c r="Q323" s="541"/>
      <c r="R323" s="526"/>
      <c r="S323" s="526"/>
      <c r="T323" s="395" cm="1">
        <f t="array" ref="T323">IFERROR(_xlfn.IFS(W323=1,1,V323=1,1,U323=1,1,X323=1,1),0)</f>
        <v>1</v>
      </c>
      <c r="U323" s="526">
        <v>1</v>
      </c>
      <c r="V323" s="526"/>
      <c r="W323" s="526"/>
      <c r="X323" s="526"/>
      <c r="BE323" s="542"/>
    </row>
    <row r="324" spans="1:57" s="541" customFormat="1" ht="3" hidden="1" customHeight="1" outlineLevel="1">
      <c r="A324" s="542"/>
      <c r="B324" s="540"/>
      <c r="C324" s="537"/>
      <c r="D324" s="538"/>
      <c r="E324" s="532"/>
      <c r="F324" s="533"/>
      <c r="G324" s="542"/>
      <c r="H324" s="503"/>
      <c r="I324" s="400"/>
      <c r="J324" s="507"/>
      <c r="K324" s="542"/>
      <c r="L324" s="393"/>
      <c r="M324" s="542"/>
      <c r="N324" s="397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BE324" s="542"/>
    </row>
    <row r="325" spans="1:57" s="541" customFormat="1" ht="12.75" hidden="1" customHeight="1" outlineLevel="1">
      <c r="A325" s="542"/>
      <c r="B325" s="460" t="s">
        <v>88</v>
      </c>
      <c r="C325" s="460" t="s">
        <v>89</v>
      </c>
      <c r="D325" s="460"/>
      <c r="E325" s="460"/>
      <c r="F325" s="460"/>
      <c r="G325" s="542"/>
      <c r="H325" s="503"/>
      <c r="I325" s="400"/>
      <c r="J325" s="507"/>
      <c r="K325" s="542"/>
      <c r="L325" s="393"/>
      <c r="M325" s="542"/>
      <c r="N325" s="397"/>
      <c r="O325" s="526"/>
      <c r="Q325" s="526"/>
      <c r="R325" s="526"/>
      <c r="S325" s="526"/>
      <c r="T325" s="526"/>
      <c r="U325" s="526"/>
      <c r="V325" s="526"/>
      <c r="W325" s="526"/>
      <c r="X325" s="526"/>
      <c r="BE325" s="542"/>
    </row>
    <row r="326" spans="1:57" s="541" customFormat="1" ht="3" hidden="1" customHeight="1" outlineLevel="2">
      <c r="A326" s="542"/>
      <c r="B326" s="540"/>
      <c r="C326" s="537"/>
      <c r="D326" s="538"/>
      <c r="E326" s="532"/>
      <c r="F326" s="533"/>
      <c r="G326" s="542"/>
      <c r="H326" s="503"/>
      <c r="I326" s="400"/>
      <c r="J326" s="507"/>
      <c r="K326" s="542"/>
      <c r="L326" s="393"/>
      <c r="M326" s="542"/>
      <c r="N326" s="397"/>
      <c r="O326" s="526"/>
      <c r="Q326" s="526"/>
      <c r="R326" s="526"/>
      <c r="S326" s="526"/>
      <c r="T326" s="526"/>
      <c r="U326" s="526"/>
      <c r="V326" s="526"/>
      <c r="W326" s="526"/>
      <c r="X326" s="526"/>
      <c r="BE326" s="542"/>
    </row>
    <row r="327" spans="1:57" s="541" customFormat="1" ht="12.75" hidden="1" customHeight="1" outlineLevel="2">
      <c r="A327" s="542"/>
      <c r="B327" s="540"/>
      <c r="C327" s="537" t="s">
        <v>2468</v>
      </c>
      <c r="D327" s="538"/>
      <c r="E327" s="532"/>
      <c r="F327" s="533"/>
      <c r="G327" s="542"/>
      <c r="H327" s="503"/>
      <c r="I327" s="400"/>
      <c r="J327" s="507"/>
      <c r="K327" s="542"/>
      <c r="L327" s="393"/>
      <c r="M327" s="542"/>
      <c r="N327" s="397"/>
      <c r="O327" s="526"/>
      <c r="Q327" s="526"/>
      <c r="R327" s="526"/>
      <c r="S327" s="526"/>
      <c r="T327" s="526"/>
      <c r="U327" s="526"/>
      <c r="V327" s="526"/>
      <c r="W327" s="526"/>
      <c r="X327" s="526"/>
      <c r="BE327" s="542"/>
    </row>
    <row r="328" spans="1:57" s="541" customFormat="1" ht="12.75" hidden="1" customHeight="1" outlineLevel="3">
      <c r="A328" s="542"/>
      <c r="B328" s="540"/>
      <c r="C328" s="537" t="s">
        <v>2469</v>
      </c>
      <c r="D328" s="538"/>
      <c r="E328" s="532"/>
      <c r="F328" s="533"/>
      <c r="G328" s="542"/>
      <c r="H328" s="503"/>
      <c r="I328" s="400"/>
      <c r="J328" s="507"/>
      <c r="K328" s="542"/>
      <c r="L328" s="393"/>
      <c r="M328" s="542"/>
      <c r="N328" s="397"/>
      <c r="O328" s="526"/>
      <c r="Q328" s="526"/>
      <c r="R328" s="526"/>
      <c r="S328" s="526"/>
      <c r="T328" s="526"/>
      <c r="U328" s="526"/>
      <c r="V328" s="526"/>
      <c r="W328" s="526"/>
      <c r="X328" s="526"/>
      <c r="BE328" s="542"/>
    </row>
    <row r="329" spans="1:57" s="541" customFormat="1" ht="12.75" hidden="1" customHeight="1" outlineLevel="3">
      <c r="A329" s="542"/>
      <c r="B329" s="540"/>
      <c r="C329" s="522" t="s">
        <v>2239</v>
      </c>
      <c r="D329" s="531" t="s">
        <v>2170</v>
      </c>
      <c r="E329" s="532">
        <v>4051</v>
      </c>
      <c r="F329" s="533" t="s">
        <v>2711</v>
      </c>
      <c r="G329" s="542"/>
      <c r="H329" s="503" t="s">
        <v>1056</v>
      </c>
      <c r="I329" s="400" t="str">
        <f t="shared" ref="I329:I338" si="30">CONCATENATE(H329,"-",J329)</f>
        <v>L22-1</v>
      </c>
      <c r="J329" s="507">
        <v>1</v>
      </c>
      <c r="K329" s="542"/>
      <c r="L329" s="393"/>
      <c r="M329" s="542"/>
      <c r="N329" s="397"/>
      <c r="O329" s="395" cm="1">
        <f t="array" ref="O329">IFERROR(_xlfn.IFS(R329=1,1,Q329=1,1,P329=1,1,S329=1,1),0)</f>
        <v>1</v>
      </c>
      <c r="Q329" s="526">
        <v>1</v>
      </c>
      <c r="R329" s="526"/>
      <c r="S329" s="526"/>
      <c r="T329" s="395" cm="1">
        <f t="array" ref="T329">IFERROR(_xlfn.IFS(W329=1,1,V329=1,1,U329=1,1,X329=1,1),0)</f>
        <v>0</v>
      </c>
      <c r="U329" s="526"/>
      <c r="V329" s="526"/>
      <c r="W329" s="526"/>
      <c r="X329" s="526"/>
      <c r="BE329" s="542">
        <v>1</v>
      </c>
    </row>
    <row r="330" spans="1:57" s="541" customFormat="1" ht="12.75" hidden="1" customHeight="1" outlineLevel="3">
      <c r="A330" s="542"/>
      <c r="B330" s="540"/>
      <c r="C330" s="522" t="s">
        <v>2239</v>
      </c>
      <c r="D330" s="531" t="s">
        <v>2170</v>
      </c>
      <c r="E330" s="532">
        <v>4061</v>
      </c>
      <c r="F330" s="533" t="s">
        <v>2712</v>
      </c>
      <c r="G330" s="542"/>
      <c r="H330" s="503" t="s">
        <v>1056</v>
      </c>
      <c r="I330" s="400" t="str">
        <f t="shared" si="30"/>
        <v>L22-1</v>
      </c>
      <c r="J330" s="507">
        <v>1</v>
      </c>
      <c r="K330" s="542"/>
      <c r="L330" s="393"/>
      <c r="M330" s="542"/>
      <c r="N330" s="397"/>
      <c r="O330" s="395" cm="1">
        <f t="array" ref="O330">IFERROR(_xlfn.IFS(R330=1,1,Q330=1,1,P330=1,1,S330=1,1),0)</f>
        <v>1</v>
      </c>
      <c r="Q330" s="526">
        <v>1</v>
      </c>
      <c r="R330" s="526"/>
      <c r="S330" s="526"/>
      <c r="T330" s="395" cm="1">
        <f t="array" ref="T330">IFERROR(_xlfn.IFS(W330=1,1,V330=1,1,U330=1,1,X330=1,1),0)</f>
        <v>0</v>
      </c>
      <c r="U330" s="526"/>
      <c r="V330" s="526"/>
      <c r="W330" s="526"/>
      <c r="X330" s="526"/>
      <c r="BE330" s="542">
        <v>1</v>
      </c>
    </row>
    <row r="331" spans="1:57" s="541" customFormat="1" ht="12.75" hidden="1" customHeight="1" outlineLevel="3">
      <c r="A331" s="542"/>
      <c r="B331" s="540"/>
      <c r="C331" s="522" t="s">
        <v>2239</v>
      </c>
      <c r="D331" s="531" t="s">
        <v>2170</v>
      </c>
      <c r="E331" s="532">
        <v>4071</v>
      </c>
      <c r="F331" s="533" t="s">
        <v>2713</v>
      </c>
      <c r="G331" s="542"/>
      <c r="H331" s="503" t="s">
        <v>1056</v>
      </c>
      <c r="I331" s="400" t="str">
        <f t="shared" si="30"/>
        <v>L22-1</v>
      </c>
      <c r="J331" s="507">
        <v>1</v>
      </c>
      <c r="K331" s="542"/>
      <c r="L331" s="393"/>
      <c r="M331" s="542"/>
      <c r="N331" s="397"/>
      <c r="O331" s="395" cm="1">
        <f t="array" ref="O331">IFERROR(_xlfn.IFS(R331=1,1,Q331=1,1,P331=1,1,S331=1,1),0)</f>
        <v>1</v>
      </c>
      <c r="Q331" s="526">
        <v>1</v>
      </c>
      <c r="R331" s="526"/>
      <c r="S331" s="526"/>
      <c r="T331" s="395" cm="1">
        <f t="array" ref="T331">IFERROR(_xlfn.IFS(W331=1,1,V331=1,1,U331=1,1,X331=1,1),0)</f>
        <v>0</v>
      </c>
      <c r="U331" s="526"/>
      <c r="V331" s="526"/>
      <c r="W331" s="526"/>
      <c r="X331" s="526"/>
      <c r="BE331" s="542">
        <v>1</v>
      </c>
    </row>
    <row r="332" spans="1:57" s="541" customFormat="1" ht="12.75" hidden="1" customHeight="1" outlineLevel="3">
      <c r="A332" s="542"/>
      <c r="B332" s="540"/>
      <c r="C332" s="522" t="s">
        <v>2239</v>
      </c>
      <c r="D332" s="531" t="s">
        <v>2170</v>
      </c>
      <c r="E332" s="532">
        <v>4081</v>
      </c>
      <c r="F332" s="533" t="s">
        <v>2714</v>
      </c>
      <c r="G332" s="542"/>
      <c r="H332" s="503" t="s">
        <v>1056</v>
      </c>
      <c r="I332" s="400" t="str">
        <f t="shared" si="30"/>
        <v>L22-1</v>
      </c>
      <c r="J332" s="507">
        <v>1</v>
      </c>
      <c r="K332" s="542"/>
      <c r="L332" s="393"/>
      <c r="M332" s="542"/>
      <c r="N332" s="397"/>
      <c r="O332" s="395" cm="1">
        <f t="array" ref="O332">IFERROR(_xlfn.IFS(R332=1,1,Q332=1,1,P332=1,1,S332=1,1),0)</f>
        <v>1</v>
      </c>
      <c r="Q332" s="526">
        <v>1</v>
      </c>
      <c r="R332" s="526"/>
      <c r="S332" s="526"/>
      <c r="T332" s="395" cm="1">
        <f t="array" ref="T332">IFERROR(_xlfn.IFS(W332=1,1,V332=1,1,U332=1,1,X332=1,1),0)</f>
        <v>0</v>
      </c>
      <c r="U332" s="526"/>
      <c r="V332" s="526"/>
      <c r="W332" s="526"/>
      <c r="X332" s="526"/>
      <c r="BE332" s="542">
        <v>1</v>
      </c>
    </row>
    <row r="333" spans="1:57" s="541" customFormat="1" ht="12.75" hidden="1" customHeight="1" outlineLevel="3">
      <c r="A333" s="542"/>
      <c r="B333" s="540"/>
      <c r="C333" s="522" t="s">
        <v>2239</v>
      </c>
      <c r="D333" s="531" t="s">
        <v>2170</v>
      </c>
      <c r="E333" s="532">
        <v>4091</v>
      </c>
      <c r="F333" s="533" t="s">
        <v>2715</v>
      </c>
      <c r="G333" s="542"/>
      <c r="H333" s="503" t="s">
        <v>1056</v>
      </c>
      <c r="I333" s="400" t="str">
        <f t="shared" si="30"/>
        <v>L22-1</v>
      </c>
      <c r="J333" s="507">
        <v>1</v>
      </c>
      <c r="K333" s="542"/>
      <c r="L333" s="393"/>
      <c r="M333" s="542"/>
      <c r="N333" s="397"/>
      <c r="O333" s="395" cm="1">
        <f t="array" ref="O333">IFERROR(_xlfn.IFS(R333=1,1,Q333=1,1,P333=1,1,S333=1,1),0)</f>
        <v>1</v>
      </c>
      <c r="Q333" s="526">
        <v>1</v>
      </c>
      <c r="R333" s="526"/>
      <c r="S333" s="526"/>
      <c r="T333" s="395" cm="1">
        <f t="array" ref="T333">IFERROR(_xlfn.IFS(W333=1,1,V333=1,1,U333=1,1,X333=1,1),0)</f>
        <v>0</v>
      </c>
      <c r="U333" s="526"/>
      <c r="V333" s="526"/>
      <c r="W333" s="526"/>
      <c r="X333" s="526"/>
      <c r="BE333" s="542">
        <v>1</v>
      </c>
    </row>
    <row r="334" spans="1:57" s="541" customFormat="1" ht="12.75" hidden="1" customHeight="1" outlineLevel="3">
      <c r="A334" s="542"/>
      <c r="B334" s="540"/>
      <c r="C334" s="522" t="s">
        <v>2239</v>
      </c>
      <c r="D334" s="531" t="s">
        <v>2170</v>
      </c>
      <c r="E334" s="532">
        <v>4101</v>
      </c>
      <c r="F334" s="533" t="s">
        <v>2716</v>
      </c>
      <c r="G334" s="542"/>
      <c r="H334" s="503" t="s">
        <v>1056</v>
      </c>
      <c r="I334" s="400" t="str">
        <f t="shared" si="30"/>
        <v>L22-1</v>
      </c>
      <c r="J334" s="507">
        <v>1</v>
      </c>
      <c r="K334" s="542"/>
      <c r="L334" s="393"/>
      <c r="M334" s="542"/>
      <c r="N334" s="397"/>
      <c r="O334" s="395" cm="1">
        <f t="array" ref="O334">IFERROR(_xlfn.IFS(R334=1,1,Q334=1,1,P334=1,1,S334=1,1),0)</f>
        <v>1</v>
      </c>
      <c r="Q334" s="526">
        <v>1</v>
      </c>
      <c r="R334" s="526"/>
      <c r="S334" s="526"/>
      <c r="T334" s="395" cm="1">
        <f t="array" ref="T334">IFERROR(_xlfn.IFS(W334=1,1,V334=1,1,U334=1,1,X334=1,1),0)</f>
        <v>0</v>
      </c>
      <c r="U334" s="526"/>
      <c r="V334" s="526"/>
      <c r="W334" s="526"/>
      <c r="X334" s="526"/>
      <c r="BE334" s="542">
        <v>1</v>
      </c>
    </row>
    <row r="335" spans="1:57" s="541" customFormat="1" ht="12.75" hidden="1" customHeight="1" outlineLevel="3">
      <c r="A335" s="542"/>
      <c r="B335" s="540"/>
      <c r="C335" s="522" t="s">
        <v>2239</v>
      </c>
      <c r="D335" s="531" t="s">
        <v>2170</v>
      </c>
      <c r="E335" s="532">
        <v>4105</v>
      </c>
      <c r="F335" s="533" t="s">
        <v>2717</v>
      </c>
      <c r="G335" s="542"/>
      <c r="H335" s="503" t="s">
        <v>1056</v>
      </c>
      <c r="I335" s="400" t="str">
        <f t="shared" si="30"/>
        <v>L22-1</v>
      </c>
      <c r="J335" s="507">
        <v>1</v>
      </c>
      <c r="K335" s="542"/>
      <c r="L335" s="393"/>
      <c r="M335" s="542"/>
      <c r="N335" s="397"/>
      <c r="O335" s="395" cm="1">
        <f t="array" ref="O335">IFERROR(_xlfn.IFS(R335=1,1,Q335=1,1,P335=1,1,S335=1,1),0)</f>
        <v>1</v>
      </c>
      <c r="Q335" s="526">
        <v>1</v>
      </c>
      <c r="R335" s="526"/>
      <c r="S335" s="526"/>
      <c r="T335" s="395" cm="1">
        <f t="array" ref="T335">IFERROR(_xlfn.IFS(W335=1,1,V335=1,1,U335=1,1,X335=1,1),0)</f>
        <v>0</v>
      </c>
      <c r="U335" s="526"/>
      <c r="V335" s="526"/>
      <c r="W335" s="526"/>
      <c r="X335" s="526"/>
      <c r="BE335" s="542">
        <v>1</v>
      </c>
    </row>
    <row r="336" spans="1:57" s="541" customFormat="1" ht="12.75" hidden="1" customHeight="1" outlineLevel="3">
      <c r="A336" s="542"/>
      <c r="B336" s="540"/>
      <c r="C336" s="522" t="s">
        <v>2239</v>
      </c>
      <c r="D336" s="531" t="s">
        <v>2170</v>
      </c>
      <c r="E336" s="532">
        <v>4111</v>
      </c>
      <c r="F336" s="533" t="s">
        <v>2718</v>
      </c>
      <c r="G336" s="542"/>
      <c r="H336" s="503" t="s">
        <v>1056</v>
      </c>
      <c r="I336" s="400" t="str">
        <f t="shared" si="30"/>
        <v>L22-1</v>
      </c>
      <c r="J336" s="507">
        <v>1</v>
      </c>
      <c r="K336" s="542"/>
      <c r="L336" s="393"/>
      <c r="M336" s="542"/>
      <c r="N336" s="397"/>
      <c r="O336" s="395" cm="1">
        <f t="array" ref="O336">IFERROR(_xlfn.IFS(R336=1,1,Q336=1,1,P336=1,1,S336=1,1),0)</f>
        <v>1</v>
      </c>
      <c r="Q336" s="526">
        <v>1</v>
      </c>
      <c r="R336" s="526"/>
      <c r="S336" s="526"/>
      <c r="T336" s="395" cm="1">
        <f t="array" ref="T336">IFERROR(_xlfn.IFS(W336=1,1,V336=1,1,U336=1,1,X336=1,1),0)</f>
        <v>0</v>
      </c>
      <c r="U336" s="526"/>
      <c r="V336" s="526"/>
      <c r="W336" s="526"/>
      <c r="X336" s="526"/>
      <c r="BE336" s="542">
        <v>1</v>
      </c>
    </row>
    <row r="337" spans="1:57" s="541" customFormat="1" ht="12.75" hidden="1" customHeight="1" outlineLevel="3">
      <c r="A337" s="542"/>
      <c r="B337" s="540"/>
      <c r="C337" s="522" t="s">
        <v>2239</v>
      </c>
      <c r="D337" s="531" t="s">
        <v>2170</v>
      </c>
      <c r="E337" s="532">
        <v>4115</v>
      </c>
      <c r="F337" s="533" t="s">
        <v>2719</v>
      </c>
      <c r="G337" s="542"/>
      <c r="H337" s="503" t="s">
        <v>1056</v>
      </c>
      <c r="I337" s="400" t="str">
        <f t="shared" si="30"/>
        <v>L22-1</v>
      </c>
      <c r="J337" s="507">
        <v>1</v>
      </c>
      <c r="K337" s="542"/>
      <c r="L337" s="393"/>
      <c r="M337" s="542"/>
      <c r="N337" s="397"/>
      <c r="O337" s="395" cm="1">
        <f t="array" ref="O337">IFERROR(_xlfn.IFS(R337=1,1,Q337=1,1,P337=1,1,S337=1,1),0)</f>
        <v>1</v>
      </c>
      <c r="Q337" s="526">
        <v>1</v>
      </c>
      <c r="R337" s="526"/>
      <c r="S337" s="526"/>
      <c r="T337" s="395" cm="1">
        <f t="array" ref="T337">IFERROR(_xlfn.IFS(W337=1,1,V337=1,1,U337=1,1,X337=1,1),0)</f>
        <v>0</v>
      </c>
      <c r="U337" s="526"/>
      <c r="W337" s="526"/>
      <c r="X337" s="526"/>
      <c r="BE337" s="542">
        <v>1</v>
      </c>
    </row>
    <row r="338" spans="1:57" s="541" customFormat="1" ht="12.75" hidden="1" customHeight="1" outlineLevel="3">
      <c r="A338" s="542"/>
      <c r="C338" s="522" t="s">
        <v>2239</v>
      </c>
      <c r="D338" s="531" t="s">
        <v>2170</v>
      </c>
      <c r="E338" s="532"/>
      <c r="F338" s="533" t="s">
        <v>2720</v>
      </c>
      <c r="G338" s="542"/>
      <c r="H338" s="503" t="s">
        <v>1056</v>
      </c>
      <c r="I338" s="400" t="str">
        <f t="shared" si="30"/>
        <v>L22-1</v>
      </c>
      <c r="J338" s="507">
        <v>1</v>
      </c>
      <c r="K338" s="542"/>
      <c r="L338" s="393"/>
      <c r="M338" s="542"/>
      <c r="N338" s="397"/>
      <c r="O338" s="395" cm="1">
        <f t="array" ref="O338">IFERROR(_xlfn.IFS(R338=1,1,Q338=1,1,P338=1,1,S338=1,1),0)</f>
        <v>1</v>
      </c>
      <c r="Q338" s="526">
        <v>1</v>
      </c>
      <c r="R338" s="526"/>
      <c r="S338" s="526"/>
      <c r="T338" s="395" cm="1">
        <f t="array" ref="T338">IFERROR(_xlfn.IFS(W338=1,1,V338=1,1,U338=1,1,X338=1,1),0)</f>
        <v>0</v>
      </c>
      <c r="U338" s="526"/>
      <c r="W338" s="526"/>
      <c r="X338" s="526"/>
      <c r="BE338" s="542"/>
    </row>
    <row r="339" spans="1:57" s="541" customFormat="1" ht="3" hidden="1" customHeight="1" outlineLevel="2">
      <c r="A339" s="542"/>
      <c r="C339" s="522"/>
      <c r="D339" s="531"/>
      <c r="E339" s="532"/>
      <c r="F339" s="533"/>
      <c r="G339" s="542"/>
      <c r="H339" s="503"/>
      <c r="I339" s="400"/>
      <c r="J339" s="507"/>
      <c r="K339" s="542"/>
      <c r="L339" s="393"/>
      <c r="M339" s="542"/>
      <c r="N339" s="397"/>
      <c r="O339" s="526"/>
      <c r="Q339" s="526"/>
      <c r="R339" s="526"/>
      <c r="S339" s="526"/>
      <c r="T339" s="526"/>
      <c r="U339" s="526"/>
      <c r="V339" s="526"/>
      <c r="W339" s="526"/>
      <c r="X339" s="526"/>
      <c r="BE339" s="542"/>
    </row>
    <row r="340" spans="1:57" s="541" customFormat="1" ht="12.75" hidden="1" customHeight="1" outlineLevel="2">
      <c r="A340" s="542"/>
      <c r="C340" s="537" t="s">
        <v>2513</v>
      </c>
      <c r="D340" s="538"/>
      <c r="E340" s="532"/>
      <c r="F340" s="533" t="s">
        <v>2514</v>
      </c>
      <c r="G340" s="542"/>
      <c r="H340" s="503"/>
      <c r="I340" s="400"/>
      <c r="J340" s="507"/>
      <c r="K340" s="542"/>
      <c r="L340" s="393"/>
      <c r="M340" s="542"/>
      <c r="N340" s="397"/>
      <c r="O340" s="395"/>
      <c r="Q340" s="526"/>
      <c r="R340" s="526"/>
      <c r="S340" s="526"/>
      <c r="T340" s="395"/>
      <c r="U340" s="526"/>
      <c r="V340" s="526"/>
      <c r="W340" s="526"/>
      <c r="X340" s="526"/>
      <c r="BE340" s="542"/>
    </row>
    <row r="341" spans="1:57" s="541" customFormat="1" ht="3" hidden="1" customHeight="1" outlineLevel="2">
      <c r="A341" s="542"/>
      <c r="C341" s="537"/>
      <c r="D341" s="538"/>
      <c r="E341" s="532"/>
      <c r="F341" s="533"/>
      <c r="G341" s="542"/>
      <c r="H341" s="503"/>
      <c r="I341" s="400"/>
      <c r="J341" s="507"/>
      <c r="K341" s="542"/>
      <c r="L341" s="393"/>
      <c r="M341" s="542"/>
      <c r="N341" s="397"/>
      <c r="O341" s="526"/>
      <c r="Q341" s="526"/>
      <c r="R341" s="526"/>
      <c r="S341" s="526"/>
      <c r="T341" s="526"/>
      <c r="U341" s="526"/>
      <c r="V341" s="526"/>
      <c r="W341" s="526"/>
      <c r="X341" s="526"/>
      <c r="BE341" s="542"/>
    </row>
    <row r="342" spans="1:57" s="541" customFormat="1" ht="12.75" hidden="1" customHeight="1" outlineLevel="2">
      <c r="A342" s="542"/>
      <c r="C342" s="537" t="s">
        <v>2462</v>
      </c>
      <c r="D342" s="538"/>
      <c r="E342" s="532"/>
      <c r="F342" s="533"/>
      <c r="G342" s="542"/>
      <c r="H342" s="503"/>
      <c r="I342" s="400"/>
      <c r="J342" s="507"/>
      <c r="K342" s="542"/>
      <c r="L342" s="393"/>
      <c r="M342" s="542"/>
      <c r="N342" s="397"/>
      <c r="O342" s="526"/>
      <c r="Q342" s="526"/>
      <c r="R342" s="526"/>
      <c r="S342" s="526"/>
      <c r="T342" s="526"/>
      <c r="U342" s="526"/>
      <c r="V342" s="526"/>
      <c r="W342" s="526"/>
      <c r="X342" s="526"/>
      <c r="BE342" s="542"/>
    </row>
    <row r="343" spans="1:57" s="541" customFormat="1" ht="12.75" hidden="1" customHeight="1" outlineLevel="3">
      <c r="A343" s="542"/>
      <c r="C343" s="522" t="s">
        <v>2462</v>
      </c>
      <c r="D343" s="531" t="s">
        <v>2170</v>
      </c>
      <c r="E343" s="532" t="s">
        <v>2721</v>
      </c>
      <c r="F343" s="533" t="s">
        <v>2722</v>
      </c>
      <c r="G343" s="542"/>
      <c r="H343" s="503" t="s">
        <v>1056</v>
      </c>
      <c r="I343" s="400" t="str">
        <f t="shared" ref="I343:I344" si="31">CONCATENATE(H343,"-",J343)</f>
        <v>L22-1</v>
      </c>
      <c r="J343" s="507">
        <v>1</v>
      </c>
      <c r="K343" s="542"/>
      <c r="L343" s="393">
        <v>1</v>
      </c>
      <c r="M343" s="542"/>
      <c r="N343" s="397"/>
      <c r="O343" s="395"/>
      <c r="Q343" s="526"/>
      <c r="R343" s="526"/>
      <c r="S343" s="526"/>
      <c r="T343" s="395" cm="1">
        <f t="array" ref="T343">IFERROR(_xlfn.IFS(W343=1,1,V343=1,1,U343=1,1,X343=1,1),0)</f>
        <v>0</v>
      </c>
      <c r="U343" s="526"/>
      <c r="V343" s="526"/>
      <c r="W343" s="526"/>
      <c r="X343" s="526"/>
      <c r="BE343" s="542">
        <v>1</v>
      </c>
    </row>
    <row r="344" spans="1:57" s="541" customFormat="1" ht="12.75" hidden="1" customHeight="1" outlineLevel="3">
      <c r="A344" s="542"/>
      <c r="C344" s="522" t="s">
        <v>2462</v>
      </c>
      <c r="D344" s="531" t="s">
        <v>2170</v>
      </c>
      <c r="E344" s="532" t="s">
        <v>2723</v>
      </c>
      <c r="F344" s="533" t="s">
        <v>2724</v>
      </c>
      <c r="G344" s="542"/>
      <c r="H344" s="503" t="s">
        <v>1056</v>
      </c>
      <c r="I344" s="400" t="str">
        <f t="shared" si="31"/>
        <v>L22-1</v>
      </c>
      <c r="J344" s="507">
        <v>1</v>
      </c>
      <c r="K344" s="542"/>
      <c r="L344" s="393">
        <v>1</v>
      </c>
      <c r="M344" s="542"/>
      <c r="N344" s="397"/>
      <c r="O344" s="395"/>
      <c r="Q344" s="526"/>
      <c r="R344" s="526"/>
      <c r="S344" s="526"/>
      <c r="T344" s="395" cm="1">
        <f t="array" ref="T344">IFERROR(_xlfn.IFS(W344=1,1,V344=1,1,U344=1,1,X344=1,1),0)</f>
        <v>0</v>
      </c>
      <c r="U344" s="526"/>
      <c r="V344" s="526"/>
      <c r="W344" s="526"/>
      <c r="X344" s="526"/>
      <c r="BE344" s="542">
        <v>1</v>
      </c>
    </row>
    <row r="345" spans="1:57" s="541" customFormat="1" ht="3" hidden="1" customHeight="1" outlineLevel="2">
      <c r="A345" s="542"/>
      <c r="C345" s="537"/>
      <c r="D345" s="538"/>
      <c r="E345" s="532"/>
      <c r="F345" s="533"/>
      <c r="G345" s="542"/>
      <c r="H345" s="503"/>
      <c r="I345" s="400"/>
      <c r="J345" s="507"/>
      <c r="K345" s="542"/>
      <c r="L345" s="393"/>
      <c r="M345" s="542"/>
      <c r="N345" s="397"/>
      <c r="O345" s="526"/>
      <c r="Q345" s="526"/>
      <c r="R345" s="526"/>
      <c r="S345" s="526"/>
      <c r="T345" s="526"/>
      <c r="U345" s="526"/>
      <c r="V345" s="526"/>
      <c r="W345" s="526"/>
      <c r="X345" s="526"/>
      <c r="BE345" s="542"/>
    </row>
    <row r="346" spans="1:57" s="541" customFormat="1" ht="12.75" hidden="1" customHeight="1" outlineLevel="2">
      <c r="A346" s="542"/>
      <c r="C346" s="537" t="s">
        <v>2676</v>
      </c>
      <c r="D346" s="538"/>
      <c r="E346" s="532"/>
      <c r="F346" s="533"/>
      <c r="G346" s="542"/>
      <c r="H346" s="503"/>
      <c r="I346" s="400"/>
      <c r="J346" s="507"/>
      <c r="K346" s="542"/>
      <c r="L346" s="393"/>
      <c r="M346" s="542"/>
      <c r="N346" s="397"/>
      <c r="O346" s="526"/>
      <c r="Q346" s="526"/>
      <c r="R346" s="526"/>
      <c r="S346" s="526"/>
      <c r="T346" s="526"/>
      <c r="U346" s="526"/>
      <c r="V346" s="526"/>
      <c r="W346" s="526"/>
      <c r="X346" s="526"/>
      <c r="BE346" s="542"/>
    </row>
    <row r="347" spans="1:57" s="541" customFormat="1" ht="12.75" hidden="1" customHeight="1" outlineLevel="3">
      <c r="A347" s="542"/>
      <c r="C347" s="522" t="s">
        <v>2516</v>
      </c>
      <c r="D347" s="531" t="s">
        <v>2725</v>
      </c>
      <c r="E347" s="532">
        <v>4051</v>
      </c>
      <c r="F347" s="533" t="s">
        <v>2726</v>
      </c>
      <c r="G347" s="542"/>
      <c r="H347" s="503" t="s">
        <v>1056</v>
      </c>
      <c r="I347" s="400" t="str">
        <f t="shared" ref="I347:I357" si="32">CONCATENATE(H347,"-",J347)</f>
        <v>L22-1</v>
      </c>
      <c r="J347" s="507">
        <v>1</v>
      </c>
      <c r="K347" s="542"/>
      <c r="L347" s="393"/>
      <c r="M347" s="542"/>
      <c r="N347" s="397"/>
      <c r="O347" s="395" cm="1">
        <f t="array" ref="O347">IFERROR(_xlfn.IFS(R347=1,1,Q347=1,1,P347=1,1,S347=1,1),0)</f>
        <v>1</v>
      </c>
      <c r="Q347" s="526">
        <v>1</v>
      </c>
      <c r="R347" s="526"/>
      <c r="S347" s="526"/>
      <c r="T347" s="395" cm="1">
        <f t="array" ref="T347">IFERROR(_xlfn.IFS(W347=1,1,V347=1,1,U347=1,1,X347=1,1),0)</f>
        <v>0</v>
      </c>
      <c r="U347" s="526"/>
      <c r="V347" s="526"/>
      <c r="W347" s="526"/>
      <c r="X347" s="526"/>
      <c r="BE347" s="542">
        <v>1</v>
      </c>
    </row>
    <row r="348" spans="1:57" s="541" customFormat="1" ht="12.75" hidden="1" customHeight="1" outlineLevel="3">
      <c r="A348" s="542"/>
      <c r="C348" s="522" t="s">
        <v>2516</v>
      </c>
      <c r="D348" s="531" t="s">
        <v>2725</v>
      </c>
      <c r="E348" s="532">
        <v>4061</v>
      </c>
      <c r="F348" s="533" t="s">
        <v>2727</v>
      </c>
      <c r="G348" s="542"/>
      <c r="H348" s="503" t="s">
        <v>1056</v>
      </c>
      <c r="I348" s="400" t="str">
        <f t="shared" si="32"/>
        <v>L22-1</v>
      </c>
      <c r="J348" s="507">
        <v>1</v>
      </c>
      <c r="K348" s="542"/>
      <c r="L348" s="393"/>
      <c r="M348" s="542"/>
      <c r="N348" s="397"/>
      <c r="O348" s="395" cm="1">
        <f t="array" ref="O348">IFERROR(_xlfn.IFS(R348=1,1,Q348=1,1,P348=1,1,S348=1,1),0)</f>
        <v>1</v>
      </c>
      <c r="Q348" s="526">
        <v>1</v>
      </c>
      <c r="R348" s="526"/>
      <c r="S348" s="526"/>
      <c r="T348" s="395" cm="1">
        <f t="array" ref="T348">IFERROR(_xlfn.IFS(W348=1,1,V348=1,1,U348=1,1,X348=1,1),0)</f>
        <v>0</v>
      </c>
      <c r="U348" s="526"/>
      <c r="V348" s="526"/>
      <c r="W348" s="526"/>
      <c r="X348" s="526"/>
      <c r="BE348" s="542">
        <v>1</v>
      </c>
    </row>
    <row r="349" spans="1:57" s="541" customFormat="1" ht="12.75" hidden="1" customHeight="1" outlineLevel="3">
      <c r="A349" s="542"/>
      <c r="C349" s="522" t="s">
        <v>2516</v>
      </c>
      <c r="D349" s="531" t="s">
        <v>2725</v>
      </c>
      <c r="E349" s="532">
        <v>4071</v>
      </c>
      <c r="F349" s="533" t="s">
        <v>2728</v>
      </c>
      <c r="G349" s="542"/>
      <c r="H349" s="503" t="s">
        <v>1056</v>
      </c>
      <c r="I349" s="400" t="str">
        <f t="shared" si="32"/>
        <v>L22-1</v>
      </c>
      <c r="J349" s="507">
        <v>1</v>
      </c>
      <c r="K349" s="542"/>
      <c r="L349" s="393"/>
      <c r="M349" s="542"/>
      <c r="N349" s="397"/>
      <c r="O349" s="395" cm="1">
        <f t="array" ref="O349">IFERROR(_xlfn.IFS(R349=1,1,Q349=1,1,P349=1,1,S349=1,1),0)</f>
        <v>1</v>
      </c>
      <c r="Q349" s="526">
        <v>1</v>
      </c>
      <c r="R349" s="526"/>
      <c r="S349" s="526"/>
      <c r="T349" s="395" cm="1">
        <f t="array" ref="T349">IFERROR(_xlfn.IFS(W349=1,1,V349=1,1,U349=1,1,X349=1,1),0)</f>
        <v>0</v>
      </c>
      <c r="U349" s="526"/>
      <c r="V349" s="526"/>
      <c r="W349" s="526"/>
      <c r="X349" s="526"/>
      <c r="BE349" s="542">
        <v>1</v>
      </c>
    </row>
    <row r="350" spans="1:57" s="541" customFormat="1" ht="12.75" hidden="1" customHeight="1" outlineLevel="3">
      <c r="A350" s="542"/>
      <c r="C350" s="522" t="s">
        <v>2516</v>
      </c>
      <c r="D350" s="531" t="s">
        <v>2725</v>
      </c>
      <c r="E350" s="532">
        <v>4081</v>
      </c>
      <c r="F350" s="533" t="s">
        <v>2729</v>
      </c>
      <c r="G350" s="542"/>
      <c r="H350" s="503" t="s">
        <v>1056</v>
      </c>
      <c r="I350" s="400" t="str">
        <f t="shared" si="32"/>
        <v>L22-1</v>
      </c>
      <c r="J350" s="507">
        <v>1</v>
      </c>
      <c r="K350" s="542"/>
      <c r="L350" s="393"/>
      <c r="M350" s="542"/>
      <c r="N350" s="397"/>
      <c r="O350" s="395" cm="1">
        <f t="array" ref="O350">IFERROR(_xlfn.IFS(R350=1,1,Q350=1,1,P350=1,1,S350=1,1),0)</f>
        <v>1</v>
      </c>
      <c r="Q350" s="526">
        <v>1</v>
      </c>
      <c r="R350" s="526"/>
      <c r="S350" s="526"/>
      <c r="T350" s="395" cm="1">
        <f t="array" ref="T350">IFERROR(_xlfn.IFS(W350=1,1,V350=1,1,U350=1,1,X350=1,1),0)</f>
        <v>0</v>
      </c>
      <c r="U350" s="526"/>
      <c r="V350" s="526"/>
      <c r="W350" s="526"/>
      <c r="X350" s="526"/>
      <c r="BE350" s="542">
        <v>1</v>
      </c>
    </row>
    <row r="351" spans="1:57" s="541" customFormat="1" ht="12.75" hidden="1" customHeight="1" outlineLevel="3">
      <c r="A351" s="542"/>
      <c r="C351" s="522" t="s">
        <v>2516</v>
      </c>
      <c r="D351" s="531" t="s">
        <v>2725</v>
      </c>
      <c r="E351" s="532">
        <v>4091</v>
      </c>
      <c r="F351" s="533" t="s">
        <v>2730</v>
      </c>
      <c r="G351" s="542"/>
      <c r="H351" s="503" t="s">
        <v>1056</v>
      </c>
      <c r="I351" s="400" t="str">
        <f t="shared" si="32"/>
        <v>L22-1</v>
      </c>
      <c r="J351" s="507">
        <v>1</v>
      </c>
      <c r="K351" s="542"/>
      <c r="L351" s="393"/>
      <c r="M351" s="542"/>
      <c r="N351" s="397"/>
      <c r="O351" s="395" cm="1">
        <f t="array" ref="O351">IFERROR(_xlfn.IFS(R351=1,1,Q351=1,1,P351=1,1,S351=1,1),0)</f>
        <v>1</v>
      </c>
      <c r="Q351" s="526">
        <v>1</v>
      </c>
      <c r="R351" s="526"/>
      <c r="S351" s="526"/>
      <c r="T351" s="395" cm="1">
        <f t="array" ref="T351">IFERROR(_xlfn.IFS(W351=1,1,V351=1,1,U351=1,1,X351=1,1),0)</f>
        <v>0</v>
      </c>
      <c r="U351" s="526"/>
      <c r="V351" s="526"/>
      <c r="W351" s="526"/>
      <c r="X351" s="526"/>
      <c r="BE351" s="542">
        <v>1</v>
      </c>
    </row>
    <row r="352" spans="1:57" s="541" customFormat="1" ht="12.75" hidden="1" customHeight="1" outlineLevel="3">
      <c r="A352" s="542"/>
      <c r="C352" s="522" t="s">
        <v>2516</v>
      </c>
      <c r="D352" s="531" t="s">
        <v>2725</v>
      </c>
      <c r="E352" s="532">
        <v>4101</v>
      </c>
      <c r="F352" s="533" t="s">
        <v>2731</v>
      </c>
      <c r="G352" s="542"/>
      <c r="H352" s="503" t="s">
        <v>1056</v>
      </c>
      <c r="I352" s="400" t="str">
        <f t="shared" si="32"/>
        <v>L22-1</v>
      </c>
      <c r="J352" s="507">
        <v>1</v>
      </c>
      <c r="K352" s="542"/>
      <c r="L352" s="393"/>
      <c r="M352" s="542"/>
      <c r="N352" s="397"/>
      <c r="O352" s="395" cm="1">
        <f t="array" ref="O352">IFERROR(_xlfn.IFS(R352=1,1,Q352=1,1,P352=1,1,S352=1,1),0)</f>
        <v>1</v>
      </c>
      <c r="Q352" s="526">
        <v>1</v>
      </c>
      <c r="R352" s="526"/>
      <c r="S352" s="526"/>
      <c r="T352" s="395" cm="1">
        <f t="array" ref="T352">IFERROR(_xlfn.IFS(W352=1,1,V352=1,1,U352=1,1,X352=1,1),0)</f>
        <v>0</v>
      </c>
      <c r="U352" s="526"/>
      <c r="V352" s="526"/>
      <c r="W352" s="526"/>
      <c r="X352" s="526"/>
      <c r="BE352" s="542">
        <v>1</v>
      </c>
    </row>
    <row r="353" spans="1:57" s="541" customFormat="1" ht="12.75" hidden="1" customHeight="1" outlineLevel="3">
      <c r="A353" s="542"/>
      <c r="C353" s="522" t="s">
        <v>2516</v>
      </c>
      <c r="D353" s="531" t="s">
        <v>2725</v>
      </c>
      <c r="E353" s="532">
        <v>4101</v>
      </c>
      <c r="F353" s="533" t="s">
        <v>2732</v>
      </c>
      <c r="G353" s="542"/>
      <c r="H353" s="503" t="s">
        <v>1056</v>
      </c>
      <c r="I353" s="400" t="str">
        <f t="shared" si="32"/>
        <v>L22-1</v>
      </c>
      <c r="J353" s="507">
        <v>1</v>
      </c>
      <c r="K353" s="542"/>
      <c r="L353" s="393"/>
      <c r="M353" s="542"/>
      <c r="N353" s="397"/>
      <c r="O353" s="395" cm="1">
        <f t="array" ref="O353">IFERROR(_xlfn.IFS(R353=1,1,Q353=1,1,P353=1,1,S353=1,1),0)</f>
        <v>1</v>
      </c>
      <c r="Q353" s="526">
        <v>1</v>
      </c>
      <c r="R353" s="526"/>
      <c r="S353" s="526"/>
      <c r="T353" s="395" cm="1">
        <f t="array" ref="T353">IFERROR(_xlfn.IFS(W353=1,1,V353=1,1,U353=1,1,X353=1,1),0)</f>
        <v>0</v>
      </c>
      <c r="U353" s="526"/>
      <c r="V353" s="526"/>
      <c r="W353" s="526"/>
      <c r="X353" s="526"/>
      <c r="BE353" s="542">
        <v>1</v>
      </c>
    </row>
    <row r="354" spans="1:57" s="541" customFormat="1" ht="12.75" hidden="1" customHeight="1" outlineLevel="3">
      <c r="A354" s="542"/>
      <c r="B354" s="540"/>
      <c r="C354" s="522" t="s">
        <v>2516</v>
      </c>
      <c r="D354" s="531" t="s">
        <v>2725</v>
      </c>
      <c r="E354" s="532">
        <v>4111</v>
      </c>
      <c r="F354" s="533" t="s">
        <v>2733</v>
      </c>
      <c r="G354" s="542"/>
      <c r="H354" s="503" t="s">
        <v>1056</v>
      </c>
      <c r="I354" s="400" t="str">
        <f t="shared" si="32"/>
        <v>L22-1</v>
      </c>
      <c r="J354" s="507">
        <v>1</v>
      </c>
      <c r="K354" s="542"/>
      <c r="L354" s="393"/>
      <c r="M354" s="542"/>
      <c r="N354" s="397"/>
      <c r="O354" s="395" cm="1">
        <f t="array" ref="O354">IFERROR(_xlfn.IFS(R354=1,1,Q354=1,1,P354=1,1,S354=1,1),0)</f>
        <v>1</v>
      </c>
      <c r="Q354" s="526">
        <v>1</v>
      </c>
      <c r="R354" s="526"/>
      <c r="S354" s="526"/>
      <c r="T354" s="395" cm="1">
        <f t="array" ref="T354">IFERROR(_xlfn.IFS(W354=1,1,V354=1,1,U354=1,1,X354=1,1),0)</f>
        <v>0</v>
      </c>
      <c r="U354" s="526"/>
      <c r="V354" s="526"/>
      <c r="W354" s="526"/>
      <c r="X354" s="526"/>
      <c r="BE354" s="542">
        <v>1</v>
      </c>
    </row>
    <row r="355" spans="1:57" s="541" customFormat="1" ht="12.75" hidden="1" customHeight="1" outlineLevel="3">
      <c r="A355" s="542"/>
      <c r="B355" s="540"/>
      <c r="C355" s="522" t="s">
        <v>2516</v>
      </c>
      <c r="D355" s="531" t="s">
        <v>2725</v>
      </c>
      <c r="E355" s="532">
        <v>4111</v>
      </c>
      <c r="F355" s="533" t="s">
        <v>2734</v>
      </c>
      <c r="G355" s="542"/>
      <c r="H355" s="503" t="s">
        <v>1056</v>
      </c>
      <c r="I355" s="400" t="str">
        <f t="shared" si="32"/>
        <v>L22-1</v>
      </c>
      <c r="J355" s="507">
        <v>1</v>
      </c>
      <c r="K355" s="542"/>
      <c r="L355" s="393"/>
      <c r="M355" s="542"/>
      <c r="N355" s="397"/>
      <c r="O355" s="395" cm="1">
        <f t="array" ref="O355">IFERROR(_xlfn.IFS(R355=1,1,Q355=1,1,P355=1,1,S355=1,1),0)</f>
        <v>1</v>
      </c>
      <c r="Q355" s="526">
        <v>1</v>
      </c>
      <c r="R355" s="526"/>
      <c r="S355" s="526"/>
      <c r="T355" s="395" cm="1">
        <f t="array" ref="T355">IFERROR(_xlfn.IFS(W355=1,1,V355=1,1,U355=1,1,X355=1,1),0)</f>
        <v>0</v>
      </c>
      <c r="U355" s="526"/>
      <c r="V355" s="526"/>
      <c r="W355" s="526"/>
      <c r="X355" s="526"/>
      <c r="BE355" s="542">
        <v>1</v>
      </c>
    </row>
    <row r="356" spans="1:57" s="541" customFormat="1" ht="12.75" hidden="1" customHeight="1" outlineLevel="3">
      <c r="A356" s="542"/>
      <c r="B356" s="540"/>
      <c r="C356" s="522" t="s">
        <v>2516</v>
      </c>
      <c r="D356" s="531" t="s">
        <v>2725</v>
      </c>
      <c r="E356" s="532">
        <v>1015</v>
      </c>
      <c r="F356" s="533" t="s">
        <v>2735</v>
      </c>
      <c r="G356" s="542"/>
      <c r="H356" s="503" t="s">
        <v>1056</v>
      </c>
      <c r="I356" s="400" t="str">
        <f t="shared" si="32"/>
        <v>L22-1</v>
      </c>
      <c r="J356" s="507">
        <v>1</v>
      </c>
      <c r="K356" s="542"/>
      <c r="L356" s="393"/>
      <c r="M356" s="542"/>
      <c r="N356" s="397"/>
      <c r="O356" s="395" cm="1">
        <f t="array" ref="O356">IFERROR(_xlfn.IFS(R356=1,1,Q356=1,1,P356=1,1,S356=1,1),0)</f>
        <v>1</v>
      </c>
      <c r="Q356" s="526">
        <v>1</v>
      </c>
      <c r="R356" s="526"/>
      <c r="S356" s="526"/>
      <c r="T356" s="395" cm="1">
        <f t="array" ref="T356">IFERROR(_xlfn.IFS(W356=1,1,V356=1,1,U356=1,1,X356=1,1),0)</f>
        <v>0</v>
      </c>
      <c r="U356" s="526"/>
      <c r="V356" s="526"/>
      <c r="W356" s="526"/>
      <c r="X356" s="526"/>
      <c r="BE356" s="542">
        <v>1</v>
      </c>
    </row>
    <row r="357" spans="1:57" s="541" customFormat="1" ht="12.75" hidden="1" customHeight="1" outlineLevel="3">
      <c r="A357" s="542"/>
      <c r="B357" s="540"/>
      <c r="C357" s="522" t="s">
        <v>2516</v>
      </c>
      <c r="D357" s="531" t="s">
        <v>2725</v>
      </c>
      <c r="E357" s="532">
        <v>1017</v>
      </c>
      <c r="F357" s="533" t="s">
        <v>2736</v>
      </c>
      <c r="G357" s="542"/>
      <c r="H357" s="503" t="s">
        <v>1056</v>
      </c>
      <c r="I357" s="400" t="str">
        <f t="shared" si="32"/>
        <v>L22-1</v>
      </c>
      <c r="J357" s="507">
        <v>1</v>
      </c>
      <c r="K357" s="542"/>
      <c r="L357" s="393"/>
      <c r="M357" s="542"/>
      <c r="N357" s="397"/>
      <c r="O357" s="395" cm="1">
        <f t="array" ref="O357">IFERROR(_xlfn.IFS(R357=1,1,Q357=1,1,P357=1,1,S357=1,1),0)</f>
        <v>1</v>
      </c>
      <c r="Q357" s="526">
        <v>1</v>
      </c>
      <c r="R357" s="526"/>
      <c r="S357" s="526"/>
      <c r="T357" s="395" cm="1">
        <f t="array" ref="T357">IFERROR(_xlfn.IFS(W357=1,1,V357=1,1,U357=1,1,X357=1,1),0)</f>
        <v>0</v>
      </c>
      <c r="U357" s="526"/>
      <c r="V357" s="526"/>
      <c r="W357" s="526"/>
      <c r="X357" s="526"/>
      <c r="BE357" s="542">
        <v>1</v>
      </c>
    </row>
    <row r="358" spans="1:57" s="541" customFormat="1" ht="3" hidden="1" customHeight="1" outlineLevel="2">
      <c r="A358" s="542"/>
      <c r="B358" s="540"/>
      <c r="C358" s="537"/>
      <c r="D358" s="538"/>
      <c r="E358" s="532"/>
      <c r="F358" s="533"/>
      <c r="G358" s="542"/>
      <c r="H358" s="503"/>
      <c r="I358" s="400"/>
      <c r="J358" s="507"/>
      <c r="K358" s="542"/>
      <c r="L358" s="393"/>
      <c r="M358" s="542"/>
      <c r="N358" s="397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BE358" s="542"/>
    </row>
    <row r="359" spans="1:57" s="541" customFormat="1" ht="12.75" hidden="1" customHeight="1" outlineLevel="2">
      <c r="A359" s="542"/>
      <c r="B359" s="540"/>
      <c r="C359" s="537" t="s">
        <v>2549</v>
      </c>
      <c r="D359" s="538"/>
      <c r="E359" s="532"/>
      <c r="F359" s="533"/>
      <c r="G359" s="542"/>
      <c r="H359" s="503"/>
      <c r="I359" s="400"/>
      <c r="J359" s="507"/>
      <c r="K359" s="542"/>
      <c r="L359" s="393"/>
      <c r="M359" s="542"/>
      <c r="N359" s="397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BE359" s="542"/>
    </row>
    <row r="360" spans="1:57" s="535" customFormat="1" ht="12.75" hidden="1" customHeight="1" outlineLevel="3">
      <c r="A360" s="542"/>
      <c r="B360" s="540"/>
      <c r="C360" s="522" t="s">
        <v>2550</v>
      </c>
      <c r="D360" s="531" t="s">
        <v>2170</v>
      </c>
      <c r="E360" s="532">
        <v>1001</v>
      </c>
      <c r="F360" s="533" t="s">
        <v>2737</v>
      </c>
      <c r="G360" s="542"/>
      <c r="H360" s="503" t="s">
        <v>1056</v>
      </c>
      <c r="I360" s="400" t="str">
        <f t="shared" ref="I360:I361" si="33">CONCATENATE(H360,"-",J360)</f>
        <v>L22-1</v>
      </c>
      <c r="J360" s="507">
        <v>1</v>
      </c>
      <c r="K360" s="542"/>
      <c r="L360" s="526"/>
      <c r="M360" s="542"/>
      <c r="N360" s="397"/>
      <c r="O360" s="395" cm="1">
        <f t="array" ref="O360">IFERROR(_xlfn.IFS(R360=1,1,Q360=1,1,P360=1,1,S360=1,1),0)</f>
        <v>1</v>
      </c>
      <c r="P360" s="541"/>
      <c r="Q360" s="526">
        <v>1</v>
      </c>
      <c r="R360" s="526"/>
      <c r="S360" s="526"/>
      <c r="T360" s="395" cm="1">
        <f t="array" ref="T360">IFERROR(_xlfn.IFS(W360=1,1,V360=1,1,U360=1,1,X360=1,1),0)</f>
        <v>0</v>
      </c>
      <c r="U360" s="526"/>
      <c r="V360" s="526"/>
      <c r="W360" s="526"/>
      <c r="X360" s="526"/>
      <c r="BE360" s="542">
        <v>1</v>
      </c>
    </row>
    <row r="361" spans="1:57" s="535" customFormat="1" ht="12.75" hidden="1" customHeight="1" outlineLevel="3">
      <c r="A361" s="542"/>
      <c r="B361" s="540"/>
      <c r="C361" s="522" t="s">
        <v>2550</v>
      </c>
      <c r="D361" s="531" t="s">
        <v>2170</v>
      </c>
      <c r="E361" s="532">
        <v>9001</v>
      </c>
      <c r="F361" s="533" t="s">
        <v>2738</v>
      </c>
      <c r="G361" s="542"/>
      <c r="H361" s="503" t="s">
        <v>1056</v>
      </c>
      <c r="I361" s="400" t="str">
        <f t="shared" si="33"/>
        <v>L22-1</v>
      </c>
      <c r="J361" s="507">
        <v>1</v>
      </c>
      <c r="K361" s="542"/>
      <c r="L361" s="526"/>
      <c r="M361" s="542"/>
      <c r="N361" s="397"/>
      <c r="O361" s="395" cm="1">
        <f t="array" ref="O361">IFERROR(_xlfn.IFS(R361=1,1,Q361=1,1,P361=1,1,S361=1,1),0)</f>
        <v>1</v>
      </c>
      <c r="P361" s="541"/>
      <c r="Q361" s="526">
        <v>1</v>
      </c>
      <c r="R361" s="526"/>
      <c r="S361" s="526"/>
      <c r="T361" s="395" cm="1">
        <f t="array" ref="T361">IFERROR(_xlfn.IFS(W361=1,1,V361=1,1,U361=1,1,X361=1,1),0)</f>
        <v>0</v>
      </c>
      <c r="U361" s="526"/>
      <c r="V361" s="526"/>
      <c r="W361" s="526"/>
      <c r="X361" s="526"/>
      <c r="BE361" s="542">
        <v>1</v>
      </c>
    </row>
    <row r="362" spans="1:57" s="541" customFormat="1" ht="3" hidden="1" customHeight="1" outlineLevel="1">
      <c r="A362" s="542"/>
      <c r="B362" s="540"/>
      <c r="C362" s="537"/>
      <c r="D362" s="538"/>
      <c r="E362" s="532"/>
      <c r="F362" s="533"/>
      <c r="G362" s="542"/>
      <c r="H362" s="503"/>
      <c r="I362" s="400"/>
      <c r="J362" s="507"/>
      <c r="K362" s="542"/>
      <c r="L362" s="393"/>
      <c r="M362" s="542"/>
      <c r="N362" s="397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BE362" s="542"/>
    </row>
    <row r="363" spans="1:57" s="541" customFormat="1" ht="12.75" hidden="1" customHeight="1" outlineLevel="1">
      <c r="A363" s="542"/>
      <c r="B363" s="460" t="s">
        <v>90</v>
      </c>
      <c r="C363" s="460" t="s">
        <v>91</v>
      </c>
      <c r="D363" s="460"/>
      <c r="E363" s="460"/>
      <c r="F363" s="460"/>
      <c r="G363" s="542"/>
      <c r="H363" s="503"/>
      <c r="I363" s="400"/>
      <c r="J363" s="507"/>
      <c r="K363" s="542"/>
      <c r="L363" s="393"/>
      <c r="M363" s="542"/>
      <c r="N363" s="397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BE363" s="542"/>
    </row>
    <row r="364" spans="1:57" s="541" customFormat="1" ht="3" hidden="1" customHeight="1" outlineLevel="2">
      <c r="A364" s="542"/>
      <c r="B364" s="540"/>
      <c r="C364" s="537"/>
      <c r="D364" s="538"/>
      <c r="E364" s="532"/>
      <c r="F364" s="533"/>
      <c r="G364" s="542"/>
      <c r="H364" s="503"/>
      <c r="I364" s="400"/>
      <c r="J364" s="507"/>
      <c r="K364" s="542"/>
      <c r="L364" s="393"/>
      <c r="M364" s="542"/>
      <c r="N364" s="397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BE364" s="542"/>
    </row>
    <row r="365" spans="1:57" s="541" customFormat="1" ht="12.75" hidden="1" customHeight="1" outlineLevel="2">
      <c r="A365" s="542"/>
      <c r="B365" s="540"/>
      <c r="C365" s="537" t="s">
        <v>2468</v>
      </c>
      <c r="D365" s="538"/>
      <c r="E365" s="532"/>
      <c r="F365" s="533"/>
      <c r="G365" s="542"/>
      <c r="H365" s="503"/>
      <c r="I365" s="400"/>
      <c r="J365" s="507"/>
      <c r="K365" s="542"/>
      <c r="L365" s="393"/>
      <c r="M365" s="542"/>
      <c r="N365" s="397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BE365" s="542"/>
    </row>
    <row r="366" spans="1:57" s="541" customFormat="1" ht="12.75" hidden="1" customHeight="1" outlineLevel="3">
      <c r="A366" s="542"/>
      <c r="B366" s="540"/>
      <c r="C366" s="537" t="s">
        <v>2469</v>
      </c>
      <c r="D366" s="538"/>
      <c r="E366" s="532"/>
      <c r="F366" s="533"/>
      <c r="G366" s="542"/>
      <c r="H366" s="503"/>
      <c r="I366" s="400"/>
      <c r="J366" s="507"/>
      <c r="K366" s="542"/>
      <c r="L366" s="393"/>
      <c r="M366" s="542"/>
      <c r="N366" s="397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BE366" s="542"/>
    </row>
    <row r="367" spans="1:57" s="541" customFormat="1" ht="12.75" hidden="1" customHeight="1" outlineLevel="3">
      <c r="A367" s="542"/>
      <c r="B367" s="540"/>
      <c r="C367" s="522" t="s">
        <v>2239</v>
      </c>
      <c r="D367" s="531" t="s">
        <v>2170</v>
      </c>
      <c r="E367" s="532">
        <v>4011</v>
      </c>
      <c r="F367" s="533" t="s">
        <v>2739</v>
      </c>
      <c r="G367" s="542"/>
      <c r="H367" s="503" t="s">
        <v>1057</v>
      </c>
      <c r="I367" s="400" t="str">
        <f t="shared" ref="I367:I376" si="34">CONCATENATE(H367,"-",J367)</f>
        <v>R25P-1</v>
      </c>
      <c r="J367" s="507">
        <v>1</v>
      </c>
      <c r="K367" s="542"/>
      <c r="L367" s="526"/>
      <c r="M367" s="542"/>
      <c r="N367" s="397"/>
      <c r="O367" s="395" cm="1">
        <f t="array" ref="O367">IFERROR(_xlfn.IFS(R367=1,1,Q367=1,1,P367=1,1,S367=1,1),0)</f>
        <v>1</v>
      </c>
      <c r="P367" s="526"/>
      <c r="Q367" s="526">
        <v>1</v>
      </c>
      <c r="R367" s="526"/>
      <c r="S367" s="526"/>
      <c r="T367" s="395"/>
      <c r="U367" s="526"/>
      <c r="V367" s="526"/>
      <c r="W367" s="526"/>
      <c r="X367" s="526"/>
      <c r="BE367" s="542">
        <v>1</v>
      </c>
    </row>
    <row r="368" spans="1:57" s="541" customFormat="1" ht="12.75" hidden="1" customHeight="1" outlineLevel="3">
      <c r="A368" s="542"/>
      <c r="B368" s="540"/>
      <c r="C368" s="522" t="s">
        <v>2239</v>
      </c>
      <c r="D368" s="531" t="s">
        <v>2170</v>
      </c>
      <c r="E368" s="532">
        <v>4012</v>
      </c>
      <c r="F368" s="533" t="s">
        <v>2739</v>
      </c>
      <c r="G368" s="542"/>
      <c r="H368" s="503" t="s">
        <v>1057</v>
      </c>
      <c r="I368" s="400" t="str">
        <f t="shared" si="34"/>
        <v>R25P-1</v>
      </c>
      <c r="J368" s="507">
        <v>1</v>
      </c>
      <c r="K368" s="542"/>
      <c r="L368" s="526"/>
      <c r="M368" s="542"/>
      <c r="N368" s="397"/>
      <c r="O368" s="395" cm="1">
        <f t="array" ref="O368">IFERROR(_xlfn.IFS(R368=1,1,Q368=1,1,P368=1,1,S368=1,1),0)</f>
        <v>1</v>
      </c>
      <c r="P368" s="526"/>
      <c r="Q368" s="526">
        <v>1</v>
      </c>
      <c r="R368" s="526"/>
      <c r="S368" s="526"/>
      <c r="T368" s="395"/>
      <c r="U368" s="526"/>
      <c r="V368" s="526"/>
      <c r="W368" s="526"/>
      <c r="X368" s="526"/>
      <c r="BE368" s="542">
        <v>1</v>
      </c>
    </row>
    <row r="369" spans="1:57" s="541" customFormat="1" ht="12.75" hidden="1" customHeight="1" outlineLevel="3">
      <c r="A369" s="542"/>
      <c r="B369" s="540"/>
      <c r="C369" s="522" t="s">
        <v>2239</v>
      </c>
      <c r="D369" s="531" t="s">
        <v>2170</v>
      </c>
      <c r="E369" s="532">
        <v>4021</v>
      </c>
      <c r="F369" s="533" t="s">
        <v>2740</v>
      </c>
      <c r="G369" s="542"/>
      <c r="H369" s="503" t="s">
        <v>1057</v>
      </c>
      <c r="I369" s="400" t="str">
        <f t="shared" si="34"/>
        <v>R25P-1</v>
      </c>
      <c r="J369" s="507">
        <v>1</v>
      </c>
      <c r="K369" s="542"/>
      <c r="L369" s="526"/>
      <c r="M369" s="542"/>
      <c r="N369" s="397"/>
      <c r="O369" s="395" cm="1">
        <f t="array" ref="O369">IFERROR(_xlfn.IFS(R369=1,1,Q369=1,1,P369=1,1,S369=1,1),0)</f>
        <v>1</v>
      </c>
      <c r="P369" s="526"/>
      <c r="Q369" s="526">
        <v>1</v>
      </c>
      <c r="R369" s="526"/>
      <c r="S369" s="526"/>
      <c r="T369" s="395"/>
      <c r="U369" s="526"/>
      <c r="V369" s="526"/>
      <c r="W369" s="526"/>
      <c r="X369" s="526"/>
      <c r="BE369" s="542">
        <v>1</v>
      </c>
    </row>
    <row r="370" spans="1:57" s="541" customFormat="1" ht="12.75" hidden="1" customHeight="1" outlineLevel="3">
      <c r="A370" s="542"/>
      <c r="C370" s="522" t="s">
        <v>2239</v>
      </c>
      <c r="D370" s="531" t="s">
        <v>2170</v>
      </c>
      <c r="E370" s="532">
        <v>4022</v>
      </c>
      <c r="F370" s="533" t="s">
        <v>2740</v>
      </c>
      <c r="G370" s="542"/>
      <c r="H370" s="503" t="s">
        <v>1057</v>
      </c>
      <c r="I370" s="400" t="str">
        <f t="shared" si="34"/>
        <v>R25P-1</v>
      </c>
      <c r="J370" s="507">
        <v>1</v>
      </c>
      <c r="K370" s="542"/>
      <c r="L370" s="526"/>
      <c r="M370" s="542"/>
      <c r="N370" s="397"/>
      <c r="O370" s="395" cm="1">
        <f t="array" ref="O370">IFERROR(_xlfn.IFS(R370=1,1,Q370=1,1,P370=1,1,S370=1,1),0)</f>
        <v>1</v>
      </c>
      <c r="P370" s="526"/>
      <c r="Q370" s="526">
        <v>1</v>
      </c>
      <c r="R370" s="526"/>
      <c r="S370" s="526"/>
      <c r="T370" s="395"/>
      <c r="U370" s="526"/>
      <c r="V370" s="526"/>
      <c r="W370" s="526"/>
      <c r="X370" s="526"/>
      <c r="BE370" s="542">
        <v>1</v>
      </c>
    </row>
    <row r="371" spans="1:57" s="541" customFormat="1" ht="12.75" hidden="1" customHeight="1" outlineLevel="3">
      <c r="A371" s="542"/>
      <c r="C371" s="522" t="s">
        <v>2239</v>
      </c>
      <c r="D371" s="531" t="s">
        <v>2170</v>
      </c>
      <c r="E371" s="532">
        <v>4031</v>
      </c>
      <c r="F371" s="533" t="s">
        <v>2741</v>
      </c>
      <c r="G371" s="542"/>
      <c r="H371" s="503" t="s">
        <v>1057</v>
      </c>
      <c r="I371" s="400" t="str">
        <f t="shared" si="34"/>
        <v>R25P-1</v>
      </c>
      <c r="J371" s="507">
        <v>1</v>
      </c>
      <c r="K371" s="542"/>
      <c r="L371" s="526"/>
      <c r="M371" s="542"/>
      <c r="N371" s="397"/>
      <c r="O371" s="395" cm="1">
        <f t="array" ref="O371">IFERROR(_xlfn.IFS(R371=1,1,Q371=1,1,P371=1,1,S371=1,1),0)</f>
        <v>1</v>
      </c>
      <c r="P371" s="526"/>
      <c r="Q371" s="526">
        <v>1</v>
      </c>
      <c r="R371" s="526"/>
      <c r="S371" s="526"/>
      <c r="T371" s="395"/>
      <c r="U371" s="526"/>
      <c r="V371" s="526"/>
      <c r="W371" s="526"/>
      <c r="X371" s="526"/>
      <c r="BE371" s="542">
        <v>1</v>
      </c>
    </row>
    <row r="372" spans="1:57" s="541" customFormat="1" ht="12.75" hidden="1" customHeight="1" outlineLevel="3">
      <c r="A372" s="542"/>
      <c r="C372" s="522" t="s">
        <v>2239</v>
      </c>
      <c r="D372" s="531" t="s">
        <v>2170</v>
      </c>
      <c r="E372" s="532">
        <v>4032</v>
      </c>
      <c r="F372" s="533" t="s">
        <v>2741</v>
      </c>
      <c r="G372" s="542"/>
      <c r="H372" s="503" t="s">
        <v>1057</v>
      </c>
      <c r="I372" s="400" t="str">
        <f t="shared" si="34"/>
        <v>R25P-1</v>
      </c>
      <c r="J372" s="507">
        <v>1</v>
      </c>
      <c r="K372" s="542"/>
      <c r="L372" s="526"/>
      <c r="M372" s="542"/>
      <c r="N372" s="397"/>
      <c r="O372" s="395" cm="1">
        <f t="array" ref="O372">IFERROR(_xlfn.IFS(R372=1,1,Q372=1,1,P372=1,1,S372=1,1),0)</f>
        <v>1</v>
      </c>
      <c r="P372" s="526"/>
      <c r="Q372" s="526">
        <v>1</v>
      </c>
      <c r="R372" s="526"/>
      <c r="S372" s="526"/>
      <c r="T372" s="395"/>
      <c r="U372" s="526"/>
      <c r="V372" s="526"/>
      <c r="W372" s="526"/>
      <c r="X372" s="526"/>
      <c r="BE372" s="542">
        <v>1</v>
      </c>
    </row>
    <row r="373" spans="1:57" s="541" customFormat="1" ht="12.75" hidden="1" customHeight="1" outlineLevel="3">
      <c r="A373" s="542"/>
      <c r="C373" s="522" t="s">
        <v>2239</v>
      </c>
      <c r="D373" s="531" t="s">
        <v>2170</v>
      </c>
      <c r="E373" s="532">
        <v>4071</v>
      </c>
      <c r="F373" s="533" t="s">
        <v>2742</v>
      </c>
      <c r="G373" s="542"/>
      <c r="H373" s="503" t="s">
        <v>1057</v>
      </c>
      <c r="I373" s="400" t="str">
        <f t="shared" si="34"/>
        <v>R25P-1</v>
      </c>
      <c r="J373" s="507">
        <v>1</v>
      </c>
      <c r="K373" s="542"/>
      <c r="L373" s="526"/>
      <c r="M373" s="542"/>
      <c r="N373" s="397"/>
      <c r="O373" s="395" cm="1">
        <f t="array" ref="O373">IFERROR(_xlfn.IFS(R373=1,1,Q373=1,1,P373=1,1,S373=1,1),0)</f>
        <v>1</v>
      </c>
      <c r="P373" s="526"/>
      <c r="Q373" s="526">
        <v>1</v>
      </c>
      <c r="R373" s="526"/>
      <c r="S373" s="526"/>
      <c r="T373" s="395"/>
      <c r="U373" s="526"/>
      <c r="V373" s="526"/>
      <c r="W373" s="526"/>
      <c r="X373" s="526"/>
      <c r="BE373" s="542">
        <v>1</v>
      </c>
    </row>
    <row r="374" spans="1:57" s="541" customFormat="1" ht="12.75" hidden="1" customHeight="1" outlineLevel="3">
      <c r="A374" s="542"/>
      <c r="C374" s="522" t="s">
        <v>2239</v>
      </c>
      <c r="D374" s="531" t="s">
        <v>2170</v>
      </c>
      <c r="E374" s="532">
        <v>4072</v>
      </c>
      <c r="F374" s="533" t="s">
        <v>2743</v>
      </c>
      <c r="G374" s="542"/>
      <c r="H374" s="503" t="s">
        <v>1057</v>
      </c>
      <c r="I374" s="400" t="str">
        <f t="shared" si="34"/>
        <v>R25P-1</v>
      </c>
      <c r="J374" s="507">
        <v>1</v>
      </c>
      <c r="K374" s="542"/>
      <c r="L374" s="526"/>
      <c r="M374" s="542"/>
      <c r="N374" s="397"/>
      <c r="O374" s="395" cm="1">
        <f t="array" ref="O374">IFERROR(_xlfn.IFS(R374=1,1,Q374=1,1,P374=1,1,S374=1,1),0)</f>
        <v>1</v>
      </c>
      <c r="P374" s="526"/>
      <c r="Q374" s="526">
        <v>1</v>
      </c>
      <c r="R374" s="526"/>
      <c r="S374" s="526"/>
      <c r="T374" s="395"/>
      <c r="U374" s="526"/>
      <c r="V374" s="526"/>
      <c r="W374" s="526"/>
      <c r="X374" s="526"/>
      <c r="BE374" s="542">
        <v>1</v>
      </c>
    </row>
    <row r="375" spans="1:57" s="541" customFormat="1" ht="12.75" hidden="1" customHeight="1" outlineLevel="3">
      <c r="A375" s="542"/>
      <c r="C375" s="522" t="s">
        <v>2239</v>
      </c>
      <c r="D375" s="531" t="s">
        <v>2170</v>
      </c>
      <c r="E375" s="532">
        <v>4115</v>
      </c>
      <c r="F375" s="533" t="s">
        <v>2744</v>
      </c>
      <c r="G375" s="542"/>
      <c r="H375" s="503" t="s">
        <v>1057</v>
      </c>
      <c r="I375" s="400" t="str">
        <f t="shared" si="34"/>
        <v>R25P-1</v>
      </c>
      <c r="J375" s="507">
        <v>1</v>
      </c>
      <c r="K375" s="542"/>
      <c r="L375" s="393"/>
      <c r="M375" s="542"/>
      <c r="N375" s="397"/>
      <c r="O375" s="395" cm="1">
        <f t="array" ref="O375">IFERROR(_xlfn.IFS(R375=1,1,Q375=1,1,P375=1,1,S375=1,1),0)</f>
        <v>1</v>
      </c>
      <c r="Q375" s="526">
        <v>1</v>
      </c>
      <c r="R375" s="526"/>
      <c r="S375" s="526"/>
      <c r="T375" s="395"/>
      <c r="U375" s="526"/>
      <c r="W375" s="526"/>
      <c r="X375" s="526"/>
      <c r="BE375" s="542">
        <v>1</v>
      </c>
    </row>
    <row r="376" spans="1:57" s="541" customFormat="1" ht="12.75" hidden="1" customHeight="1" outlineLevel="3">
      <c r="A376" s="542"/>
      <c r="C376" s="522" t="s">
        <v>2239</v>
      </c>
      <c r="D376" s="531" t="s">
        <v>2170</v>
      </c>
      <c r="E376" s="532"/>
      <c r="F376" s="533" t="s">
        <v>2720</v>
      </c>
      <c r="G376" s="542"/>
      <c r="H376" s="503" t="s">
        <v>1057</v>
      </c>
      <c r="I376" s="400" t="str">
        <f t="shared" si="34"/>
        <v>R25P-1</v>
      </c>
      <c r="J376" s="507">
        <v>1</v>
      </c>
      <c r="K376" s="542"/>
      <c r="L376" s="393"/>
      <c r="M376" s="542"/>
      <c r="N376" s="397"/>
      <c r="O376" s="395" cm="1">
        <f t="array" ref="O376">IFERROR(_xlfn.IFS(R376=1,1,Q376=1,1,P376=1,1,S376=1,1),0)</f>
        <v>1</v>
      </c>
      <c r="Q376" s="526">
        <v>1</v>
      </c>
      <c r="R376" s="526"/>
      <c r="S376" s="526"/>
      <c r="T376" s="395"/>
      <c r="U376" s="526"/>
      <c r="W376" s="526"/>
      <c r="X376" s="526"/>
      <c r="BE376" s="542"/>
    </row>
    <row r="377" spans="1:57" s="541" customFormat="1" ht="3" hidden="1" customHeight="1" outlineLevel="2">
      <c r="A377" s="542"/>
      <c r="C377" s="537"/>
      <c r="D377" s="538"/>
      <c r="E377" s="532"/>
      <c r="F377" s="533"/>
      <c r="G377" s="542"/>
      <c r="H377" s="503"/>
      <c r="I377" s="400"/>
      <c r="J377" s="507"/>
      <c r="K377" s="542"/>
      <c r="L377" s="393"/>
      <c r="M377" s="542"/>
      <c r="N377" s="397"/>
      <c r="O377" s="393"/>
      <c r="P377" s="526"/>
      <c r="Q377" s="393"/>
      <c r="R377" s="526"/>
      <c r="S377" s="393"/>
      <c r="T377" s="526"/>
      <c r="U377" s="526"/>
      <c r="V377" s="526"/>
      <c r="W377" s="526"/>
      <c r="X377" s="393"/>
      <c r="BE377" s="542"/>
    </row>
    <row r="378" spans="1:57" s="541" customFormat="1" ht="12.75" hidden="1" customHeight="1" outlineLevel="2">
      <c r="A378" s="542"/>
      <c r="C378" s="537" t="s">
        <v>2513</v>
      </c>
      <c r="D378" s="538"/>
      <c r="E378" s="532"/>
      <c r="F378" s="533" t="s">
        <v>2514</v>
      </c>
      <c r="G378" s="542"/>
      <c r="H378" s="503"/>
      <c r="I378" s="400"/>
      <c r="J378" s="507"/>
      <c r="K378" s="542"/>
      <c r="L378" s="393"/>
      <c r="M378" s="542"/>
      <c r="N378" s="397"/>
      <c r="O378" s="393"/>
      <c r="P378" s="526"/>
      <c r="Q378" s="393"/>
      <c r="R378" s="526"/>
      <c r="S378" s="393"/>
      <c r="T378" s="395"/>
      <c r="U378" s="526"/>
      <c r="V378" s="526"/>
      <c r="W378" s="526"/>
      <c r="X378" s="393"/>
      <c r="BE378" s="542"/>
    </row>
    <row r="379" spans="1:57" s="541" customFormat="1" ht="3" hidden="1" customHeight="1" outlineLevel="2">
      <c r="A379" s="542"/>
      <c r="C379" s="537"/>
      <c r="D379" s="538"/>
      <c r="E379" s="532"/>
      <c r="F379" s="533"/>
      <c r="G379" s="542"/>
      <c r="H379" s="503"/>
      <c r="I379" s="400"/>
      <c r="J379" s="507"/>
      <c r="K379" s="542"/>
      <c r="L379" s="393"/>
      <c r="M379" s="542"/>
      <c r="N379" s="397"/>
      <c r="O379" s="393"/>
      <c r="P379" s="526"/>
      <c r="Q379" s="393"/>
      <c r="R379" s="526"/>
      <c r="S379" s="393"/>
      <c r="T379" s="526"/>
      <c r="U379" s="526"/>
      <c r="V379" s="526"/>
      <c r="W379" s="526"/>
      <c r="X379" s="393"/>
      <c r="BE379" s="542"/>
    </row>
    <row r="380" spans="1:57" s="541" customFormat="1" ht="12.75" hidden="1" customHeight="1" outlineLevel="2">
      <c r="A380" s="542"/>
      <c r="C380" s="537" t="s">
        <v>2462</v>
      </c>
      <c r="D380" s="538"/>
      <c r="E380" s="532"/>
      <c r="F380" s="533"/>
      <c r="G380" s="542"/>
      <c r="H380" s="503"/>
      <c r="I380" s="400"/>
      <c r="J380" s="507"/>
      <c r="K380" s="542"/>
      <c r="L380" s="393"/>
      <c r="M380" s="542"/>
      <c r="N380" s="397"/>
      <c r="O380" s="393"/>
      <c r="P380" s="526"/>
      <c r="Q380" s="393"/>
      <c r="R380" s="526"/>
      <c r="S380" s="393"/>
      <c r="T380" s="526"/>
      <c r="U380" s="526"/>
      <c r="V380" s="526"/>
      <c r="W380" s="526"/>
      <c r="X380" s="393"/>
      <c r="BE380" s="542"/>
    </row>
    <row r="381" spans="1:57" s="541" customFormat="1" ht="12.75" hidden="1" customHeight="1" outlineLevel="3">
      <c r="A381" s="542"/>
      <c r="C381" s="522" t="s">
        <v>2462</v>
      </c>
      <c r="D381" s="531" t="s">
        <v>2170</v>
      </c>
      <c r="E381" s="532" t="s">
        <v>2745</v>
      </c>
      <c r="F381" s="533" t="s">
        <v>2746</v>
      </c>
      <c r="G381" s="542"/>
      <c r="H381" s="503" t="s">
        <v>1057</v>
      </c>
      <c r="I381" s="400" t="str">
        <f>CONCATENATE(H381,"-",J381)</f>
        <v>R25P-1</v>
      </c>
      <c r="J381" s="507">
        <v>1</v>
      </c>
      <c r="K381" s="542"/>
      <c r="L381" s="526"/>
      <c r="M381" s="542"/>
      <c r="N381" s="406"/>
      <c r="O381" s="395" cm="1">
        <f t="array" ref="O381">IFERROR(_xlfn.IFS(R381=1,1,Q381=1,1,P381=1,1,S381=1,1),0)</f>
        <v>1</v>
      </c>
      <c r="P381" s="526"/>
      <c r="Q381" s="526">
        <v>1</v>
      </c>
      <c r="R381" s="526"/>
      <c r="S381" s="526"/>
      <c r="T381" s="395"/>
      <c r="U381" s="526"/>
      <c r="V381" s="526"/>
      <c r="W381" s="526"/>
      <c r="X381" s="526"/>
      <c r="BE381" s="542">
        <v>1</v>
      </c>
    </row>
    <row r="382" spans="1:57" s="541" customFormat="1" ht="3" hidden="1" customHeight="1" outlineLevel="2">
      <c r="A382" s="542"/>
      <c r="C382" s="537"/>
      <c r="D382" s="538"/>
      <c r="E382" s="532"/>
      <c r="F382" s="533"/>
      <c r="G382" s="542"/>
      <c r="H382" s="503"/>
      <c r="I382" s="400"/>
      <c r="J382" s="507"/>
      <c r="K382" s="542"/>
      <c r="L382" s="393"/>
      <c r="M382" s="542"/>
      <c r="N382" s="397"/>
      <c r="O382" s="393"/>
      <c r="P382" s="526"/>
      <c r="Q382" s="393"/>
      <c r="R382" s="526"/>
      <c r="S382" s="393"/>
      <c r="T382" s="526"/>
      <c r="U382" s="526"/>
      <c r="V382" s="526"/>
      <c r="W382" s="526"/>
      <c r="X382" s="393"/>
      <c r="BE382" s="542"/>
    </row>
    <row r="383" spans="1:57" s="541" customFormat="1" ht="12.75" hidden="1" customHeight="1" outlineLevel="2">
      <c r="A383" s="542"/>
      <c r="C383" s="537" t="s">
        <v>2515</v>
      </c>
      <c r="D383" s="538"/>
      <c r="E383" s="532"/>
      <c r="F383" s="533"/>
      <c r="G383" s="542"/>
      <c r="H383" s="503"/>
      <c r="I383" s="400"/>
      <c r="J383" s="507"/>
      <c r="K383" s="542"/>
      <c r="L383" s="393"/>
      <c r="M383" s="542"/>
      <c r="N383" s="397"/>
      <c r="O383" s="393"/>
      <c r="P383" s="526"/>
      <c r="Q383" s="393"/>
      <c r="R383" s="526"/>
      <c r="S383" s="393"/>
      <c r="T383" s="526"/>
      <c r="U383" s="526"/>
      <c r="V383" s="526"/>
      <c r="W383" s="526"/>
      <c r="X383" s="393"/>
      <c r="BE383" s="542"/>
    </row>
    <row r="384" spans="1:57" s="535" customFormat="1" ht="12.75" hidden="1" customHeight="1" outlineLevel="3">
      <c r="A384" s="542"/>
      <c r="C384" s="522" t="s">
        <v>2516</v>
      </c>
      <c r="D384" s="531" t="s">
        <v>2170</v>
      </c>
      <c r="E384" s="532">
        <v>4011</v>
      </c>
      <c r="F384" s="533" t="s">
        <v>2747</v>
      </c>
      <c r="G384" s="542"/>
      <c r="H384" s="503" t="s">
        <v>1057</v>
      </c>
      <c r="I384" s="400" t="str">
        <f t="shared" ref="I384:I387" si="35">CONCATENATE(H384,"-",J384)</f>
        <v>R25P-1</v>
      </c>
      <c r="J384" s="507">
        <v>1</v>
      </c>
      <c r="K384" s="542"/>
      <c r="L384" s="526"/>
      <c r="M384" s="542"/>
      <c r="N384" s="397"/>
      <c r="O384" s="395" cm="1">
        <f t="array" ref="O384">IFERROR(_xlfn.IFS(R384=1,1,Q384=1,1,P384=1,1,S384=1,1),0)</f>
        <v>1</v>
      </c>
      <c r="P384" s="526"/>
      <c r="Q384" s="526">
        <v>1</v>
      </c>
      <c r="R384" s="526"/>
      <c r="S384" s="526"/>
      <c r="T384" s="395"/>
      <c r="U384" s="526"/>
      <c r="V384" s="526"/>
      <c r="W384" s="526"/>
      <c r="X384" s="526"/>
      <c r="BE384" s="542">
        <v>1</v>
      </c>
    </row>
    <row r="385" spans="1:57" s="535" customFormat="1" ht="12.75" hidden="1" customHeight="1" outlineLevel="3">
      <c r="A385" s="542"/>
      <c r="C385" s="522" t="s">
        <v>2516</v>
      </c>
      <c r="D385" s="531" t="s">
        <v>2170</v>
      </c>
      <c r="E385" s="532">
        <v>4021</v>
      </c>
      <c r="F385" s="533" t="s">
        <v>2748</v>
      </c>
      <c r="G385" s="542"/>
      <c r="H385" s="503" t="s">
        <v>1057</v>
      </c>
      <c r="I385" s="400" t="str">
        <f t="shared" si="35"/>
        <v>R25P-1</v>
      </c>
      <c r="J385" s="507">
        <v>1</v>
      </c>
      <c r="K385" s="542"/>
      <c r="L385" s="526"/>
      <c r="M385" s="542"/>
      <c r="N385" s="397"/>
      <c r="O385" s="395" cm="1">
        <f t="array" ref="O385">IFERROR(_xlfn.IFS(R385=1,1,Q385=1,1,P385=1,1,S385=1,1),0)</f>
        <v>1</v>
      </c>
      <c r="P385" s="526"/>
      <c r="Q385" s="526">
        <v>1</v>
      </c>
      <c r="R385" s="526"/>
      <c r="S385" s="526"/>
      <c r="T385" s="395"/>
      <c r="U385" s="526"/>
      <c r="V385" s="526"/>
      <c r="W385" s="526"/>
      <c r="X385" s="526"/>
      <c r="BE385" s="542">
        <v>1</v>
      </c>
    </row>
    <row r="386" spans="1:57" s="535" customFormat="1" ht="12.75" hidden="1" customHeight="1" outlineLevel="3">
      <c r="A386" s="542"/>
      <c r="B386" s="540"/>
      <c r="C386" s="522" t="s">
        <v>2516</v>
      </c>
      <c r="D386" s="531" t="s">
        <v>2170</v>
      </c>
      <c r="E386" s="532">
        <v>4031</v>
      </c>
      <c r="F386" s="533" t="s">
        <v>2749</v>
      </c>
      <c r="G386" s="542"/>
      <c r="H386" s="503" t="s">
        <v>1057</v>
      </c>
      <c r="I386" s="400" t="str">
        <f t="shared" si="35"/>
        <v>R25P-1</v>
      </c>
      <c r="J386" s="507">
        <v>1</v>
      </c>
      <c r="K386" s="542"/>
      <c r="L386" s="526"/>
      <c r="M386" s="542"/>
      <c r="N386" s="397"/>
      <c r="O386" s="395" cm="1">
        <f t="array" ref="O386">IFERROR(_xlfn.IFS(R386=1,1,Q386=1,1,P386=1,1,S386=1,1),0)</f>
        <v>1</v>
      </c>
      <c r="P386" s="526"/>
      <c r="Q386" s="526">
        <v>1</v>
      </c>
      <c r="R386" s="526"/>
      <c r="S386" s="526"/>
      <c r="T386" s="395"/>
      <c r="U386" s="526"/>
      <c r="V386" s="526"/>
      <c r="W386" s="526"/>
      <c r="X386" s="526"/>
      <c r="BE386" s="542">
        <v>1</v>
      </c>
    </row>
    <row r="387" spans="1:57" s="535" customFormat="1" ht="12.75" hidden="1" customHeight="1" outlineLevel="3">
      <c r="A387" s="542"/>
      <c r="B387" s="540"/>
      <c r="C387" s="522" t="s">
        <v>2516</v>
      </c>
      <c r="D387" s="531" t="s">
        <v>2170</v>
      </c>
      <c r="E387" s="532">
        <v>4071</v>
      </c>
      <c r="F387" s="533" t="s">
        <v>2750</v>
      </c>
      <c r="G387" s="542"/>
      <c r="H387" s="503" t="s">
        <v>1057</v>
      </c>
      <c r="I387" s="400" t="str">
        <f t="shared" si="35"/>
        <v>R25P-1</v>
      </c>
      <c r="J387" s="507">
        <v>1</v>
      </c>
      <c r="K387" s="542"/>
      <c r="L387" s="526"/>
      <c r="M387" s="542"/>
      <c r="N387" s="397"/>
      <c r="O387" s="395" cm="1">
        <f t="array" ref="O387">IFERROR(_xlfn.IFS(R387=1,1,Q387=1,1,P387=1,1,S387=1,1),0)</f>
        <v>1</v>
      </c>
      <c r="P387" s="526"/>
      <c r="Q387" s="526">
        <v>1</v>
      </c>
      <c r="R387" s="526"/>
      <c r="S387" s="526"/>
      <c r="T387" s="395"/>
      <c r="U387" s="526"/>
      <c r="V387" s="526"/>
      <c r="W387" s="526"/>
      <c r="X387" s="526"/>
      <c r="BE387" s="542">
        <v>1</v>
      </c>
    </row>
    <row r="388" spans="1:57" s="541" customFormat="1" ht="3" hidden="1" customHeight="1" outlineLevel="2">
      <c r="A388" s="542"/>
      <c r="B388" s="540"/>
      <c r="C388" s="537"/>
      <c r="D388" s="538"/>
      <c r="E388" s="532"/>
      <c r="F388" s="533"/>
      <c r="G388" s="542"/>
      <c r="H388" s="503"/>
      <c r="I388" s="400"/>
      <c r="J388" s="507"/>
      <c r="K388" s="542"/>
      <c r="L388" s="393"/>
      <c r="M388" s="542"/>
      <c r="N388" s="397"/>
      <c r="O388" s="393"/>
      <c r="P388" s="526"/>
      <c r="Q388" s="393"/>
      <c r="R388" s="526"/>
      <c r="S388" s="393"/>
      <c r="T388" s="526"/>
      <c r="U388" s="526"/>
      <c r="V388" s="526"/>
      <c r="W388" s="526"/>
      <c r="X388" s="393"/>
      <c r="BE388" s="542"/>
    </row>
    <row r="389" spans="1:57" s="541" customFormat="1" ht="12.75" hidden="1" customHeight="1" outlineLevel="2">
      <c r="A389" s="542"/>
      <c r="B389" s="540"/>
      <c r="C389" s="537" t="s">
        <v>2549</v>
      </c>
      <c r="D389" s="538"/>
      <c r="E389" s="532"/>
      <c r="F389" s="533"/>
      <c r="G389" s="542"/>
      <c r="H389" s="503"/>
      <c r="I389" s="400"/>
      <c r="J389" s="507"/>
      <c r="K389" s="542"/>
      <c r="L389" s="393"/>
      <c r="M389" s="542"/>
      <c r="N389" s="397"/>
      <c r="O389" s="393"/>
      <c r="P389" s="526"/>
      <c r="Q389" s="393"/>
      <c r="R389" s="526"/>
      <c r="S389" s="393"/>
      <c r="T389" s="526"/>
      <c r="U389" s="526"/>
      <c r="V389" s="526"/>
      <c r="W389" s="526"/>
      <c r="X389" s="393"/>
      <c r="BE389" s="542"/>
    </row>
    <row r="390" spans="1:57" s="535" customFormat="1" ht="12.75" hidden="1" customHeight="1" outlineLevel="3">
      <c r="A390" s="542"/>
      <c r="B390" s="540"/>
      <c r="C390" s="522" t="s">
        <v>2550</v>
      </c>
      <c r="D390" s="531" t="s">
        <v>1057</v>
      </c>
      <c r="E390" s="532">
        <v>1001</v>
      </c>
      <c r="F390" s="533" t="s">
        <v>2751</v>
      </c>
      <c r="G390" s="542"/>
      <c r="H390" s="503" t="s">
        <v>1057</v>
      </c>
      <c r="I390" s="400" t="str">
        <f t="shared" ref="I390:I391" si="36">CONCATENATE(H390,"-",J390)</f>
        <v>R25P-1</v>
      </c>
      <c r="J390" s="507">
        <v>1</v>
      </c>
      <c r="K390" s="542"/>
      <c r="L390" s="526"/>
      <c r="M390" s="542"/>
      <c r="N390" s="397"/>
      <c r="O390" s="395" cm="1">
        <f t="array" ref="O390">IFERROR(_xlfn.IFS(R390=1,1,Q390=1,1,P390=1,1,S390=1,1),0)</f>
        <v>1</v>
      </c>
      <c r="P390" s="526"/>
      <c r="Q390" s="526">
        <v>1</v>
      </c>
      <c r="R390" s="526"/>
      <c r="S390" s="526"/>
      <c r="T390" s="395"/>
      <c r="U390" s="526"/>
      <c r="V390" s="526"/>
      <c r="W390" s="526"/>
      <c r="X390" s="526"/>
      <c r="BE390" s="542">
        <v>1</v>
      </c>
    </row>
    <row r="391" spans="1:57" s="535" customFormat="1" ht="12.75" hidden="1" customHeight="1" outlineLevel="3">
      <c r="A391" s="542"/>
      <c r="B391" s="540"/>
      <c r="C391" s="522" t="s">
        <v>2550</v>
      </c>
      <c r="D391" s="531" t="s">
        <v>1057</v>
      </c>
      <c r="E391" s="532">
        <v>9001</v>
      </c>
      <c r="F391" s="533" t="s">
        <v>2752</v>
      </c>
      <c r="G391" s="542"/>
      <c r="H391" s="503" t="s">
        <v>1057</v>
      </c>
      <c r="I391" s="400" t="str">
        <f t="shared" si="36"/>
        <v>R25P-1</v>
      </c>
      <c r="J391" s="507">
        <v>1</v>
      </c>
      <c r="K391" s="542"/>
      <c r="L391" s="526"/>
      <c r="M391" s="542"/>
      <c r="N391" s="397"/>
      <c r="O391" s="395" cm="1">
        <f t="array" ref="O391">IFERROR(_xlfn.IFS(R391=1,1,Q391=1,1,P391=1,1,S391=1,1),0)</f>
        <v>1</v>
      </c>
      <c r="P391" s="526"/>
      <c r="Q391" s="526">
        <v>1</v>
      </c>
      <c r="R391" s="526"/>
      <c r="S391" s="526"/>
      <c r="T391" s="395"/>
      <c r="U391" s="526"/>
      <c r="V391" s="526"/>
      <c r="W391" s="526"/>
      <c r="X391" s="526"/>
      <c r="BE391" s="542">
        <v>1</v>
      </c>
    </row>
    <row r="392" spans="1:57" s="541" customFormat="1" ht="3" hidden="1" customHeight="1" outlineLevel="1">
      <c r="A392" s="542"/>
      <c r="B392" s="540"/>
      <c r="C392" s="537"/>
      <c r="D392" s="538"/>
      <c r="E392" s="532"/>
      <c r="F392" s="533"/>
      <c r="G392" s="542"/>
      <c r="H392" s="503"/>
      <c r="I392" s="400"/>
      <c r="J392" s="507"/>
      <c r="K392" s="542"/>
      <c r="L392" s="393"/>
      <c r="M392" s="542"/>
      <c r="N392" s="397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BE392" s="542"/>
    </row>
    <row r="393" spans="1:57" s="541" customFormat="1" ht="12.75" hidden="1" customHeight="1" outlineLevel="1">
      <c r="A393" s="542"/>
      <c r="B393" s="460" t="s">
        <v>92</v>
      </c>
      <c r="C393" s="460" t="s">
        <v>93</v>
      </c>
      <c r="D393" s="460"/>
      <c r="E393" s="460"/>
      <c r="F393" s="460"/>
      <c r="G393" s="542"/>
      <c r="H393" s="503"/>
      <c r="I393" s="400"/>
      <c r="J393" s="507"/>
      <c r="K393" s="542"/>
      <c r="L393" s="393"/>
      <c r="M393" s="542"/>
      <c r="N393" s="397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BE393" s="542"/>
    </row>
    <row r="394" spans="1:57" s="541" customFormat="1" ht="3" hidden="1" customHeight="1" outlineLevel="2">
      <c r="A394" s="542"/>
      <c r="B394" s="540"/>
      <c r="C394" s="537"/>
      <c r="D394" s="538"/>
      <c r="E394" s="532"/>
      <c r="F394" s="533"/>
      <c r="G394" s="542"/>
      <c r="H394" s="503"/>
      <c r="I394" s="400"/>
      <c r="J394" s="507"/>
      <c r="K394" s="542"/>
      <c r="L394" s="393"/>
      <c r="M394" s="542"/>
      <c r="N394" s="397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BE394" s="542"/>
    </row>
    <row r="395" spans="1:57" s="541" customFormat="1" ht="12.75" hidden="1" customHeight="1" outlineLevel="2">
      <c r="A395" s="542"/>
      <c r="B395" s="540"/>
      <c r="C395" s="537" t="s">
        <v>2468</v>
      </c>
      <c r="D395" s="538"/>
      <c r="E395" s="532"/>
      <c r="F395" s="533"/>
      <c r="G395" s="542"/>
      <c r="H395" s="503"/>
      <c r="I395" s="400"/>
      <c r="J395" s="507"/>
      <c r="K395" s="542"/>
      <c r="L395" s="393"/>
      <c r="M395" s="542"/>
      <c r="N395" s="397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BE395" s="542"/>
    </row>
    <row r="396" spans="1:57" s="541" customFormat="1" ht="12.75" hidden="1" customHeight="1" outlineLevel="3">
      <c r="A396" s="542"/>
      <c r="B396" s="540"/>
      <c r="C396" s="537" t="s">
        <v>2469</v>
      </c>
      <c r="D396" s="538"/>
      <c r="E396" s="532"/>
      <c r="F396" s="533"/>
      <c r="G396" s="542"/>
      <c r="H396" s="503"/>
      <c r="I396" s="400"/>
      <c r="J396" s="507"/>
      <c r="K396" s="542"/>
      <c r="L396" s="393"/>
      <c r="M396" s="542"/>
      <c r="N396" s="397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BE396" s="542"/>
    </row>
    <row r="397" spans="1:57" s="541" customFormat="1" ht="12.75" hidden="1" customHeight="1" outlineLevel="3">
      <c r="A397" s="542"/>
      <c r="B397" s="540"/>
      <c r="C397" s="522" t="s">
        <v>2239</v>
      </c>
      <c r="D397" s="531" t="s">
        <v>2170</v>
      </c>
      <c r="E397" s="532">
        <v>4051</v>
      </c>
      <c r="F397" s="533" t="s">
        <v>2753</v>
      </c>
      <c r="G397" s="542"/>
      <c r="H397" s="503" t="s">
        <v>1058</v>
      </c>
      <c r="I397" s="400" t="str">
        <f t="shared" ref="I397:I406" si="37">CONCATENATE(H397,"-",J397)</f>
        <v>L20P-1</v>
      </c>
      <c r="J397" s="507">
        <v>1</v>
      </c>
      <c r="K397" s="542"/>
      <c r="L397" s="393"/>
      <c r="M397" s="542"/>
      <c r="N397" s="397"/>
      <c r="O397" s="395" cm="1">
        <f t="array" ref="O397">IFERROR(_xlfn.IFS(R397=1,1,Q397=1,1,P397=1,1,S397=1,1),0)</f>
        <v>1</v>
      </c>
      <c r="P397" s="526"/>
      <c r="R397" s="526">
        <v>1</v>
      </c>
      <c r="S397" s="526"/>
      <c r="T397" s="395" cm="1">
        <f t="array" ref="T397">IFERROR(_xlfn.IFS(W397=1,1,V397=1,1,U397=1,1,X397=1,1),0)</f>
        <v>0</v>
      </c>
      <c r="U397" s="526"/>
      <c r="W397" s="526"/>
      <c r="X397" s="526"/>
      <c r="BE397" s="542">
        <v>1</v>
      </c>
    </row>
    <row r="398" spans="1:57" s="541" customFormat="1" ht="12.75" hidden="1" customHeight="1" outlineLevel="3">
      <c r="A398" s="542"/>
      <c r="B398" s="540"/>
      <c r="C398" s="522" t="s">
        <v>2239</v>
      </c>
      <c r="D398" s="531" t="s">
        <v>2170</v>
      </c>
      <c r="E398" s="532">
        <v>4061</v>
      </c>
      <c r="F398" s="533" t="s">
        <v>2754</v>
      </c>
      <c r="G398" s="542"/>
      <c r="H398" s="503" t="s">
        <v>1058</v>
      </c>
      <c r="I398" s="400" t="str">
        <f t="shared" si="37"/>
        <v>L20P-1</v>
      </c>
      <c r="J398" s="507">
        <v>1</v>
      </c>
      <c r="K398" s="542"/>
      <c r="L398" s="393"/>
      <c r="M398" s="542"/>
      <c r="N398" s="397"/>
      <c r="O398" s="395" cm="1">
        <f t="array" ref="O398">IFERROR(_xlfn.IFS(R398=1,1,Q398=1,1,P398=1,1,S398=1,1),0)</f>
        <v>1</v>
      </c>
      <c r="P398" s="526"/>
      <c r="R398" s="526">
        <v>1</v>
      </c>
      <c r="S398" s="526"/>
      <c r="T398" s="395" cm="1">
        <f t="array" ref="T398">IFERROR(_xlfn.IFS(W398=1,1,V398=1,1,U398=1,1,X398=1,1),0)</f>
        <v>0</v>
      </c>
      <c r="U398" s="526"/>
      <c r="W398" s="526"/>
      <c r="X398" s="526"/>
      <c r="BE398" s="542">
        <v>1</v>
      </c>
    </row>
    <row r="399" spans="1:57" s="541" customFormat="1" ht="12.75" hidden="1" customHeight="1" outlineLevel="3">
      <c r="A399" s="542"/>
      <c r="B399" s="540"/>
      <c r="C399" s="522" t="s">
        <v>2239</v>
      </c>
      <c r="D399" s="531" t="s">
        <v>2170</v>
      </c>
      <c r="E399" s="532">
        <v>4071</v>
      </c>
      <c r="F399" s="533" t="s">
        <v>2755</v>
      </c>
      <c r="G399" s="542"/>
      <c r="H399" s="503" t="s">
        <v>1058</v>
      </c>
      <c r="I399" s="400" t="str">
        <f t="shared" si="37"/>
        <v>L20P-1</v>
      </c>
      <c r="J399" s="507">
        <v>1</v>
      </c>
      <c r="K399" s="542"/>
      <c r="L399" s="393"/>
      <c r="M399" s="542"/>
      <c r="N399" s="397"/>
      <c r="O399" s="395" cm="1">
        <f t="array" ref="O399">IFERROR(_xlfn.IFS(R399=1,1,Q399=1,1,P399=1,1,S399=1,1),0)</f>
        <v>1</v>
      </c>
      <c r="P399" s="526"/>
      <c r="R399" s="526">
        <v>1</v>
      </c>
      <c r="S399" s="526"/>
      <c r="T399" s="395" cm="1">
        <f t="array" ref="T399">IFERROR(_xlfn.IFS(W399=1,1,V399=1,1,U399=1,1,X399=1,1),0)</f>
        <v>0</v>
      </c>
      <c r="U399" s="526"/>
      <c r="W399" s="526"/>
      <c r="X399" s="526"/>
      <c r="BE399" s="542">
        <v>1</v>
      </c>
    </row>
    <row r="400" spans="1:57" s="541" customFormat="1" ht="12.75" hidden="1" customHeight="1" outlineLevel="3">
      <c r="A400" s="542"/>
      <c r="B400" s="540"/>
      <c r="C400" s="522" t="s">
        <v>2239</v>
      </c>
      <c r="D400" s="531" t="s">
        <v>2170</v>
      </c>
      <c r="E400" s="532">
        <v>4081</v>
      </c>
      <c r="F400" s="533" t="s">
        <v>2756</v>
      </c>
      <c r="G400" s="542"/>
      <c r="H400" s="503" t="s">
        <v>1058</v>
      </c>
      <c r="I400" s="400" t="str">
        <f t="shared" si="37"/>
        <v>L20P-1</v>
      </c>
      <c r="J400" s="507">
        <v>1</v>
      </c>
      <c r="K400" s="542"/>
      <c r="L400" s="393"/>
      <c r="M400" s="542"/>
      <c r="N400" s="397"/>
      <c r="O400" s="395" cm="1">
        <f t="array" ref="O400">IFERROR(_xlfn.IFS(R400=1,1,Q400=1,1,P400=1,1,S400=1,1),0)</f>
        <v>1</v>
      </c>
      <c r="P400" s="526"/>
      <c r="R400" s="526">
        <v>1</v>
      </c>
      <c r="S400" s="526"/>
      <c r="T400" s="395" cm="1">
        <f t="array" ref="T400">IFERROR(_xlfn.IFS(W400=1,1,V400=1,1,U400=1,1,X400=1,1),0)</f>
        <v>0</v>
      </c>
      <c r="U400" s="526"/>
      <c r="W400" s="526"/>
      <c r="X400" s="526"/>
      <c r="BE400" s="542">
        <v>1</v>
      </c>
    </row>
    <row r="401" spans="1:57" s="541" customFormat="1" ht="12.75" hidden="1" customHeight="1" outlineLevel="3">
      <c r="A401" s="542"/>
      <c r="B401" s="540"/>
      <c r="C401" s="522" t="s">
        <v>2239</v>
      </c>
      <c r="D401" s="531" t="s">
        <v>2170</v>
      </c>
      <c r="E401" s="532">
        <v>4091</v>
      </c>
      <c r="F401" s="533" t="s">
        <v>2757</v>
      </c>
      <c r="G401" s="542"/>
      <c r="H401" s="503" t="s">
        <v>1058</v>
      </c>
      <c r="I401" s="400" t="str">
        <f t="shared" si="37"/>
        <v>L20P-1</v>
      </c>
      <c r="J401" s="507">
        <v>1</v>
      </c>
      <c r="K401" s="542"/>
      <c r="L401" s="393"/>
      <c r="M401" s="542"/>
      <c r="N401" s="406"/>
      <c r="O401" s="395" cm="1">
        <f t="array" ref="O401">IFERROR(_xlfn.IFS(R401=1,1,Q401=1,1,P401=1,1,S401=1,1),0)</f>
        <v>1</v>
      </c>
      <c r="P401" s="526"/>
      <c r="R401" s="526">
        <v>1</v>
      </c>
      <c r="S401" s="526"/>
      <c r="T401" s="395" cm="1">
        <f t="array" ref="T401">IFERROR(_xlfn.IFS(W401=1,1,V401=1,1,U401=1,1,X401=1,1),0)</f>
        <v>0</v>
      </c>
      <c r="U401" s="526"/>
      <c r="W401" s="526"/>
      <c r="X401" s="526"/>
      <c r="BE401" s="542">
        <v>1</v>
      </c>
    </row>
    <row r="402" spans="1:57" s="541" customFormat="1" ht="12.75" hidden="1" customHeight="1" outlineLevel="3">
      <c r="A402" s="542"/>
      <c r="C402" s="522" t="s">
        <v>2239</v>
      </c>
      <c r="D402" s="531" t="s">
        <v>2170</v>
      </c>
      <c r="E402" s="532">
        <v>4101</v>
      </c>
      <c r="F402" s="533" t="s">
        <v>2758</v>
      </c>
      <c r="G402" s="542"/>
      <c r="H402" s="503" t="s">
        <v>1058</v>
      </c>
      <c r="I402" s="400" t="str">
        <f t="shared" si="37"/>
        <v>L20P-1</v>
      </c>
      <c r="J402" s="507">
        <v>1</v>
      </c>
      <c r="K402" s="542"/>
      <c r="L402" s="393"/>
      <c r="M402" s="542"/>
      <c r="N402" s="397"/>
      <c r="O402" s="395" cm="1">
        <f t="array" ref="O402">IFERROR(_xlfn.IFS(R402=1,1,Q402=1,1,P402=1,1,S402=1,1),0)</f>
        <v>1</v>
      </c>
      <c r="P402" s="526"/>
      <c r="R402" s="526">
        <v>1</v>
      </c>
      <c r="S402" s="526"/>
      <c r="T402" s="395" cm="1">
        <f t="array" ref="T402">IFERROR(_xlfn.IFS(W402=1,1,V402=1,1,U402=1,1,X402=1,1),0)</f>
        <v>0</v>
      </c>
      <c r="U402" s="526"/>
      <c r="W402" s="526"/>
      <c r="X402" s="526"/>
      <c r="BE402" s="542">
        <v>1</v>
      </c>
    </row>
    <row r="403" spans="1:57" s="541" customFormat="1" ht="12.75" hidden="1" customHeight="1" outlineLevel="3">
      <c r="A403" s="542"/>
      <c r="C403" s="522" t="s">
        <v>2239</v>
      </c>
      <c r="D403" s="531" t="s">
        <v>2170</v>
      </c>
      <c r="E403" s="532">
        <v>4105</v>
      </c>
      <c r="F403" s="533" t="s">
        <v>2759</v>
      </c>
      <c r="G403" s="542"/>
      <c r="H403" s="503" t="s">
        <v>1058</v>
      </c>
      <c r="I403" s="400" t="str">
        <f t="shared" si="37"/>
        <v>L20P-1</v>
      </c>
      <c r="J403" s="507">
        <v>1</v>
      </c>
      <c r="K403" s="542"/>
      <c r="L403" s="393"/>
      <c r="M403" s="542"/>
      <c r="N403" s="397"/>
      <c r="O403" s="395" cm="1">
        <f t="array" ref="O403">IFERROR(_xlfn.IFS(R403=1,1,Q403=1,1,P403=1,1,S403=1,1),0)</f>
        <v>1</v>
      </c>
      <c r="P403" s="526"/>
      <c r="R403" s="526">
        <v>1</v>
      </c>
      <c r="S403" s="526"/>
      <c r="T403" s="395" cm="1">
        <f t="array" ref="T403">IFERROR(_xlfn.IFS(W403=1,1,V403=1,1,U403=1,1,X403=1,1),0)</f>
        <v>0</v>
      </c>
      <c r="U403" s="526"/>
      <c r="W403" s="526"/>
      <c r="X403" s="526"/>
      <c r="BE403" s="542">
        <v>1</v>
      </c>
    </row>
    <row r="404" spans="1:57" s="541" customFormat="1" ht="12.75" hidden="1" customHeight="1" outlineLevel="3">
      <c r="A404" s="542"/>
      <c r="C404" s="522" t="s">
        <v>2239</v>
      </c>
      <c r="D404" s="531" t="s">
        <v>2170</v>
      </c>
      <c r="E404" s="532">
        <v>4111</v>
      </c>
      <c r="F404" s="533" t="s">
        <v>2760</v>
      </c>
      <c r="G404" s="542"/>
      <c r="H404" s="503" t="s">
        <v>1058</v>
      </c>
      <c r="I404" s="400" t="str">
        <f t="shared" si="37"/>
        <v>L20P-1</v>
      </c>
      <c r="J404" s="507">
        <v>1</v>
      </c>
      <c r="K404" s="542"/>
      <c r="L404" s="393"/>
      <c r="M404" s="542"/>
      <c r="N404" s="397"/>
      <c r="O404" s="395" cm="1">
        <f t="array" ref="O404">IFERROR(_xlfn.IFS(R404=1,1,Q404=1,1,P404=1,1,S404=1,1),0)</f>
        <v>1</v>
      </c>
      <c r="P404" s="526"/>
      <c r="R404" s="526">
        <v>1</v>
      </c>
      <c r="S404" s="526"/>
      <c r="T404" s="395" cm="1">
        <f t="array" ref="T404">IFERROR(_xlfn.IFS(W404=1,1,V404=1,1,U404=1,1,X404=1,1),0)</f>
        <v>0</v>
      </c>
      <c r="U404" s="526"/>
      <c r="W404" s="526"/>
      <c r="X404" s="526"/>
      <c r="BE404" s="542">
        <v>1</v>
      </c>
    </row>
    <row r="405" spans="1:57" s="541" customFormat="1" ht="12.75" hidden="1" customHeight="1" outlineLevel="3">
      <c r="A405" s="542"/>
      <c r="C405" s="522" t="s">
        <v>2239</v>
      </c>
      <c r="D405" s="531" t="s">
        <v>2170</v>
      </c>
      <c r="E405" s="532">
        <v>4115</v>
      </c>
      <c r="F405" s="533" t="s">
        <v>2761</v>
      </c>
      <c r="G405" s="542"/>
      <c r="H405" s="503" t="s">
        <v>1058</v>
      </c>
      <c r="I405" s="400" t="str">
        <f t="shared" si="37"/>
        <v>L20P-1</v>
      </c>
      <c r="J405" s="507">
        <v>1</v>
      </c>
      <c r="K405" s="542"/>
      <c r="L405" s="393"/>
      <c r="M405" s="542"/>
      <c r="N405" s="397"/>
      <c r="O405" s="395" cm="1">
        <f t="array" ref="O405">IFERROR(_xlfn.IFS(R405=1,1,Q405=1,1,P405=1,1,S405=1,1),0)</f>
        <v>1</v>
      </c>
      <c r="R405" s="526">
        <v>1</v>
      </c>
      <c r="S405" s="526"/>
      <c r="T405" s="395" cm="1">
        <f t="array" ref="T405">IFERROR(_xlfn.IFS(W405=1,1,V405=1,1,U405=1,1,X405=1,1),0)</f>
        <v>0</v>
      </c>
      <c r="U405" s="526"/>
      <c r="W405" s="526"/>
      <c r="X405" s="526"/>
      <c r="BE405" s="542">
        <v>1</v>
      </c>
    </row>
    <row r="406" spans="1:57" s="541" customFormat="1" ht="12.75" hidden="1" customHeight="1" outlineLevel="3">
      <c r="A406" s="542"/>
      <c r="C406" s="522" t="s">
        <v>2239</v>
      </c>
      <c r="D406" s="531" t="s">
        <v>2170</v>
      </c>
      <c r="E406" s="532"/>
      <c r="F406" s="533" t="s">
        <v>2720</v>
      </c>
      <c r="G406" s="542"/>
      <c r="H406" s="503" t="s">
        <v>1058</v>
      </c>
      <c r="I406" s="400" t="str">
        <f t="shared" si="37"/>
        <v>L20P-1</v>
      </c>
      <c r="J406" s="507">
        <v>1</v>
      </c>
      <c r="K406" s="542"/>
      <c r="L406" s="393"/>
      <c r="M406" s="542"/>
      <c r="N406" s="397"/>
      <c r="O406" s="395" cm="1">
        <f t="array" ref="O406">IFERROR(_xlfn.IFS(R406=1,1,Q406=1,1,P406=1,1,S406=1,1),0)</f>
        <v>1</v>
      </c>
      <c r="R406" s="526">
        <v>1</v>
      </c>
      <c r="S406" s="526"/>
      <c r="T406" s="395" cm="1">
        <f t="array" ref="T406">IFERROR(_xlfn.IFS(W406=1,1,V406=1,1,U406=1,1,X406=1,1),0)</f>
        <v>0</v>
      </c>
      <c r="U406" s="526"/>
      <c r="W406" s="526"/>
      <c r="X406" s="526"/>
      <c r="BE406" s="542"/>
    </row>
    <row r="407" spans="1:57" s="541" customFormat="1" ht="3" hidden="1" customHeight="1" outlineLevel="2">
      <c r="A407" s="542"/>
      <c r="C407" s="537"/>
      <c r="D407" s="538"/>
      <c r="E407" s="532"/>
      <c r="F407" s="533"/>
      <c r="G407" s="542"/>
      <c r="H407" s="503"/>
      <c r="I407" s="400"/>
      <c r="J407" s="507"/>
      <c r="K407" s="542"/>
      <c r="L407" s="393"/>
      <c r="M407" s="542"/>
      <c r="N407" s="397"/>
      <c r="O407" s="526"/>
      <c r="P407" s="526"/>
      <c r="R407" s="526"/>
      <c r="S407" s="526"/>
      <c r="T407" s="526"/>
      <c r="U407" s="526"/>
      <c r="W407" s="526"/>
      <c r="X407" s="526"/>
      <c r="BE407" s="542"/>
    </row>
    <row r="408" spans="1:57" s="541" customFormat="1" ht="12.75" hidden="1" customHeight="1" outlineLevel="2">
      <c r="A408" s="542"/>
      <c r="C408" s="537" t="s">
        <v>2513</v>
      </c>
      <c r="D408" s="538"/>
      <c r="E408" s="532"/>
      <c r="F408" s="533" t="s">
        <v>2514</v>
      </c>
      <c r="G408" s="542"/>
      <c r="H408" s="503"/>
      <c r="I408" s="400"/>
      <c r="J408" s="507"/>
      <c r="K408" s="542"/>
      <c r="L408" s="393"/>
      <c r="M408" s="542"/>
      <c r="N408" s="397"/>
      <c r="O408" s="395"/>
      <c r="P408" s="526"/>
      <c r="R408" s="526"/>
      <c r="S408" s="526"/>
      <c r="T408" s="395"/>
      <c r="U408" s="526"/>
      <c r="W408" s="526"/>
      <c r="X408" s="526"/>
      <c r="BE408" s="542"/>
    </row>
    <row r="409" spans="1:57" s="541" customFormat="1" ht="3" hidden="1" customHeight="1" outlineLevel="2">
      <c r="A409" s="542"/>
      <c r="C409" s="537"/>
      <c r="D409" s="538"/>
      <c r="E409" s="532"/>
      <c r="F409" s="533"/>
      <c r="G409" s="542"/>
      <c r="H409" s="503"/>
      <c r="I409" s="400"/>
      <c r="J409" s="507"/>
      <c r="K409" s="542"/>
      <c r="L409" s="393"/>
      <c r="M409" s="542"/>
      <c r="N409" s="397"/>
      <c r="O409" s="526"/>
      <c r="P409" s="526"/>
      <c r="R409" s="526"/>
      <c r="S409" s="526"/>
      <c r="T409" s="526"/>
      <c r="U409" s="526"/>
      <c r="W409" s="526"/>
      <c r="X409" s="526"/>
      <c r="BE409" s="542"/>
    </row>
    <row r="410" spans="1:57" s="541" customFormat="1" ht="12.75" hidden="1" customHeight="1" outlineLevel="2">
      <c r="A410" s="542"/>
      <c r="C410" s="537" t="s">
        <v>2462</v>
      </c>
      <c r="D410" s="538"/>
      <c r="E410" s="532"/>
      <c r="F410" s="533"/>
      <c r="G410" s="542"/>
      <c r="H410" s="503"/>
      <c r="I410" s="400"/>
      <c r="J410" s="507"/>
      <c r="K410" s="542"/>
      <c r="L410" s="393"/>
      <c r="M410" s="542"/>
      <c r="N410" s="397"/>
      <c r="O410" s="526"/>
      <c r="P410" s="526"/>
      <c r="R410" s="526"/>
      <c r="S410" s="526"/>
      <c r="T410" s="526"/>
      <c r="U410" s="526"/>
      <c r="W410" s="526"/>
      <c r="X410" s="526"/>
      <c r="BE410" s="542"/>
    </row>
    <row r="411" spans="1:57" s="541" customFormat="1" ht="12.75" hidden="1" customHeight="1" outlineLevel="3">
      <c r="A411" s="542"/>
      <c r="C411" s="522" t="s">
        <v>2462</v>
      </c>
      <c r="D411" s="531" t="s">
        <v>2170</v>
      </c>
      <c r="E411" s="532" t="s">
        <v>2745</v>
      </c>
      <c r="F411" s="533" t="s">
        <v>2762</v>
      </c>
      <c r="G411" s="542"/>
      <c r="H411" s="503" t="s">
        <v>1058</v>
      </c>
      <c r="I411" s="400" t="str">
        <f t="shared" ref="I411:I412" si="38">CONCATENATE(H411,"-",J411)</f>
        <v>L20P-1</v>
      </c>
      <c r="J411" s="507">
        <v>1</v>
      </c>
      <c r="K411" s="542"/>
      <c r="L411" s="393"/>
      <c r="M411" s="542"/>
      <c r="N411" s="397"/>
      <c r="O411" s="395" cm="1">
        <f t="array" ref="O411">IFERROR(_xlfn.IFS(R411=1,1,Q411=1,1,P411=1,1,S411=1,1),0)</f>
        <v>1</v>
      </c>
      <c r="P411" s="526"/>
      <c r="R411" s="526">
        <v>1</v>
      </c>
      <c r="S411" s="526"/>
      <c r="T411" s="395" cm="1">
        <f t="array" ref="T411">IFERROR(_xlfn.IFS(W411=1,1,V411=1,1,U411=1,1,X411=1,1),0)</f>
        <v>0</v>
      </c>
      <c r="U411" s="526"/>
      <c r="W411" s="526"/>
      <c r="X411" s="526"/>
      <c r="BE411" s="542">
        <v>1</v>
      </c>
    </row>
    <row r="412" spans="1:57" s="541" customFormat="1" ht="12.75" hidden="1" customHeight="1" outlineLevel="3">
      <c r="A412" s="542"/>
      <c r="C412" s="522" t="s">
        <v>2462</v>
      </c>
      <c r="D412" s="531" t="s">
        <v>2170</v>
      </c>
      <c r="E412" s="532" t="s">
        <v>2763</v>
      </c>
      <c r="F412" s="533" t="s">
        <v>2764</v>
      </c>
      <c r="G412" s="542"/>
      <c r="H412" s="503" t="s">
        <v>1058</v>
      </c>
      <c r="I412" s="400" t="str">
        <f t="shared" si="38"/>
        <v>L20P-1</v>
      </c>
      <c r="J412" s="507">
        <v>1</v>
      </c>
      <c r="K412" s="542"/>
      <c r="L412" s="393"/>
      <c r="M412" s="542"/>
      <c r="N412" s="397"/>
      <c r="O412" s="395" cm="1">
        <f t="array" ref="O412">IFERROR(_xlfn.IFS(R412=1,1,Q412=1,1,P412=1,1,S412=1,1),0)</f>
        <v>1</v>
      </c>
      <c r="P412" s="526"/>
      <c r="R412" s="526">
        <v>1</v>
      </c>
      <c r="S412" s="526"/>
      <c r="T412" s="395" cm="1">
        <f t="array" ref="T412">IFERROR(_xlfn.IFS(W412=1,1,V412=1,1,U412=1,1,X412=1,1),0)</f>
        <v>0</v>
      </c>
      <c r="U412" s="526"/>
      <c r="W412" s="526"/>
      <c r="X412" s="526"/>
      <c r="BE412" s="542">
        <v>1</v>
      </c>
    </row>
    <row r="413" spans="1:57" s="541" customFormat="1" ht="3" hidden="1" customHeight="1" outlineLevel="2">
      <c r="A413" s="542"/>
      <c r="C413" s="537"/>
      <c r="D413" s="538"/>
      <c r="E413" s="532"/>
      <c r="F413" s="533"/>
      <c r="G413" s="542"/>
      <c r="H413" s="503"/>
      <c r="I413" s="400"/>
      <c r="J413" s="507"/>
      <c r="K413" s="542"/>
      <c r="L413" s="393"/>
      <c r="M413" s="542"/>
      <c r="N413" s="397"/>
      <c r="O413" s="526"/>
      <c r="P413" s="526"/>
      <c r="R413" s="526"/>
      <c r="S413" s="526"/>
      <c r="T413" s="526"/>
      <c r="U413" s="526"/>
      <c r="W413" s="526"/>
      <c r="X413" s="526"/>
      <c r="BE413" s="542"/>
    </row>
    <row r="414" spans="1:57" s="541" customFormat="1" ht="12.75" hidden="1" customHeight="1" outlineLevel="2">
      <c r="A414" s="542"/>
      <c r="C414" s="537" t="s">
        <v>2676</v>
      </c>
      <c r="D414" s="538"/>
      <c r="E414" s="532"/>
      <c r="F414" s="533"/>
      <c r="G414" s="542"/>
      <c r="H414" s="503"/>
      <c r="I414" s="400"/>
      <c r="J414" s="507"/>
      <c r="K414" s="542"/>
      <c r="L414" s="393"/>
      <c r="M414" s="542"/>
      <c r="N414" s="397"/>
      <c r="O414" s="526"/>
      <c r="P414" s="526"/>
      <c r="R414" s="526"/>
      <c r="S414" s="526"/>
      <c r="T414" s="526"/>
      <c r="U414" s="526"/>
      <c r="W414" s="526"/>
      <c r="X414" s="526"/>
      <c r="BE414" s="542"/>
    </row>
    <row r="415" spans="1:57" s="541" customFormat="1" ht="12.75" hidden="1" customHeight="1" outlineLevel="3">
      <c r="A415" s="542"/>
      <c r="C415" s="522" t="s">
        <v>2516</v>
      </c>
      <c r="D415" s="531" t="s">
        <v>2170</v>
      </c>
      <c r="E415" s="532">
        <v>4051</v>
      </c>
      <c r="F415" s="533" t="s">
        <v>2765</v>
      </c>
      <c r="G415" s="542"/>
      <c r="H415" s="503" t="s">
        <v>1058</v>
      </c>
      <c r="I415" s="400" t="str">
        <f t="shared" ref="I415:I425" si="39">CONCATENATE(H415,"-",J415)</f>
        <v>L20P-1</v>
      </c>
      <c r="J415" s="507">
        <v>1</v>
      </c>
      <c r="K415" s="542"/>
      <c r="L415" s="393"/>
      <c r="M415" s="542"/>
      <c r="N415" s="397"/>
      <c r="O415" s="395" cm="1">
        <f t="array" ref="O415">IFERROR(_xlfn.IFS(R415=1,1,Q415=1,1,P415=1,1,S415=1,1),0)</f>
        <v>1</v>
      </c>
      <c r="P415" s="526"/>
      <c r="R415" s="526">
        <v>1</v>
      </c>
      <c r="S415" s="526"/>
      <c r="T415" s="395" cm="1">
        <f t="array" ref="T415">IFERROR(_xlfn.IFS(W415=1,1,V415=1,1,U415=1,1,X415=1,1),0)</f>
        <v>0</v>
      </c>
      <c r="U415" s="526"/>
      <c r="W415" s="526"/>
      <c r="X415" s="526"/>
      <c r="BE415" s="542">
        <v>1</v>
      </c>
    </row>
    <row r="416" spans="1:57" s="541" customFormat="1" ht="12.75" hidden="1" customHeight="1" outlineLevel="3">
      <c r="A416" s="542"/>
      <c r="C416" s="522" t="s">
        <v>2516</v>
      </c>
      <c r="D416" s="531" t="s">
        <v>2170</v>
      </c>
      <c r="E416" s="532">
        <v>4061</v>
      </c>
      <c r="F416" s="533" t="s">
        <v>2766</v>
      </c>
      <c r="G416" s="542"/>
      <c r="H416" s="503" t="s">
        <v>1058</v>
      </c>
      <c r="I416" s="400" t="str">
        <f t="shared" si="39"/>
        <v>L20P-1</v>
      </c>
      <c r="J416" s="507">
        <v>1</v>
      </c>
      <c r="K416" s="542"/>
      <c r="L416" s="393"/>
      <c r="M416" s="542"/>
      <c r="N416" s="397"/>
      <c r="O416" s="395" cm="1">
        <f t="array" ref="O416">IFERROR(_xlfn.IFS(R416=1,1,Q416=1,1,P416=1,1,S416=1,1),0)</f>
        <v>1</v>
      </c>
      <c r="P416" s="526"/>
      <c r="R416" s="526">
        <v>1</v>
      </c>
      <c r="S416" s="526"/>
      <c r="T416" s="395" cm="1">
        <f t="array" ref="T416">IFERROR(_xlfn.IFS(W416=1,1,V416=1,1,U416=1,1,X416=1,1),0)</f>
        <v>0</v>
      </c>
      <c r="U416" s="526"/>
      <c r="W416" s="526"/>
      <c r="X416" s="526"/>
      <c r="BE416" s="542">
        <v>1</v>
      </c>
    </row>
    <row r="417" spans="1:57" s="541" customFormat="1" ht="12.75" hidden="1" customHeight="1" outlineLevel="3">
      <c r="A417" s="542"/>
      <c r="C417" s="522" t="s">
        <v>2516</v>
      </c>
      <c r="D417" s="531" t="s">
        <v>2170</v>
      </c>
      <c r="E417" s="532">
        <v>4071</v>
      </c>
      <c r="F417" s="533" t="s">
        <v>2767</v>
      </c>
      <c r="G417" s="542"/>
      <c r="H417" s="503" t="s">
        <v>1058</v>
      </c>
      <c r="I417" s="400" t="str">
        <f t="shared" si="39"/>
        <v>L20P-1</v>
      </c>
      <c r="J417" s="507">
        <v>1</v>
      </c>
      <c r="K417" s="542"/>
      <c r="L417" s="393"/>
      <c r="M417" s="542"/>
      <c r="N417" s="397"/>
      <c r="O417" s="395" cm="1">
        <f t="array" ref="O417">IFERROR(_xlfn.IFS(R417=1,1,Q417=1,1,P417=1,1,S417=1,1),0)</f>
        <v>1</v>
      </c>
      <c r="P417" s="526"/>
      <c r="R417" s="526">
        <v>1</v>
      </c>
      <c r="S417" s="526"/>
      <c r="T417" s="395" cm="1">
        <f t="array" ref="T417">IFERROR(_xlfn.IFS(W417=1,1,V417=1,1,U417=1,1,X417=1,1),0)</f>
        <v>0</v>
      </c>
      <c r="U417" s="526"/>
      <c r="W417" s="526"/>
      <c r="X417" s="526"/>
      <c r="BE417" s="542">
        <v>1</v>
      </c>
    </row>
    <row r="418" spans="1:57" s="541" customFormat="1" ht="12.75" hidden="1" customHeight="1" outlineLevel="3">
      <c r="A418" s="542"/>
      <c r="B418" s="540"/>
      <c r="C418" s="522" t="s">
        <v>2516</v>
      </c>
      <c r="D418" s="531" t="s">
        <v>2170</v>
      </c>
      <c r="E418" s="532">
        <v>4081</v>
      </c>
      <c r="F418" s="533" t="s">
        <v>2768</v>
      </c>
      <c r="G418" s="542"/>
      <c r="H418" s="503" t="s">
        <v>1058</v>
      </c>
      <c r="I418" s="400" t="str">
        <f t="shared" si="39"/>
        <v>L20P-1</v>
      </c>
      <c r="J418" s="507">
        <v>1</v>
      </c>
      <c r="K418" s="542"/>
      <c r="L418" s="393"/>
      <c r="M418" s="542"/>
      <c r="N418" s="397"/>
      <c r="O418" s="395" cm="1">
        <f t="array" ref="O418">IFERROR(_xlfn.IFS(R418=1,1,Q418=1,1,P418=1,1,S418=1,1),0)</f>
        <v>1</v>
      </c>
      <c r="P418" s="526"/>
      <c r="R418" s="526">
        <v>1</v>
      </c>
      <c r="S418" s="526"/>
      <c r="T418" s="395" cm="1">
        <f t="array" ref="T418">IFERROR(_xlfn.IFS(W418=1,1,V418=1,1,U418=1,1,X418=1,1),0)</f>
        <v>0</v>
      </c>
      <c r="U418" s="526"/>
      <c r="W418" s="526"/>
      <c r="X418" s="526"/>
      <c r="BE418" s="542">
        <v>1</v>
      </c>
    </row>
    <row r="419" spans="1:57" s="541" customFormat="1" ht="12.75" hidden="1" customHeight="1" outlineLevel="3">
      <c r="A419" s="542"/>
      <c r="B419" s="540"/>
      <c r="C419" s="522" t="s">
        <v>2516</v>
      </c>
      <c r="D419" s="531" t="s">
        <v>2170</v>
      </c>
      <c r="E419" s="532">
        <v>4091</v>
      </c>
      <c r="F419" s="533" t="s">
        <v>2769</v>
      </c>
      <c r="G419" s="542"/>
      <c r="H419" s="503" t="s">
        <v>1058</v>
      </c>
      <c r="I419" s="400" t="str">
        <f t="shared" si="39"/>
        <v>L20P-1</v>
      </c>
      <c r="J419" s="507">
        <v>1</v>
      </c>
      <c r="K419" s="542"/>
      <c r="L419" s="393"/>
      <c r="M419" s="542"/>
      <c r="N419" s="397"/>
      <c r="O419" s="395" cm="1">
        <f t="array" ref="O419">IFERROR(_xlfn.IFS(R419=1,1,Q419=1,1,P419=1,1,S419=1,1),0)</f>
        <v>1</v>
      </c>
      <c r="P419" s="526"/>
      <c r="R419" s="526">
        <v>1</v>
      </c>
      <c r="S419" s="526"/>
      <c r="T419" s="395" cm="1">
        <f t="array" ref="T419">IFERROR(_xlfn.IFS(W419=1,1,V419=1,1,U419=1,1,X419=1,1),0)</f>
        <v>0</v>
      </c>
      <c r="U419" s="526"/>
      <c r="W419" s="526"/>
      <c r="X419" s="526"/>
      <c r="BE419" s="542">
        <v>1</v>
      </c>
    </row>
    <row r="420" spans="1:57" s="541" customFormat="1" ht="12.75" hidden="1" customHeight="1" outlineLevel="3">
      <c r="A420" s="542"/>
      <c r="B420" s="540"/>
      <c r="C420" s="522" t="s">
        <v>2516</v>
      </c>
      <c r="D420" s="531" t="s">
        <v>2170</v>
      </c>
      <c r="E420" s="532">
        <v>4101</v>
      </c>
      <c r="F420" s="533" t="s">
        <v>2770</v>
      </c>
      <c r="G420" s="542"/>
      <c r="H420" s="503" t="s">
        <v>1058</v>
      </c>
      <c r="I420" s="400" t="str">
        <f t="shared" si="39"/>
        <v>L20P-1</v>
      </c>
      <c r="J420" s="507">
        <v>1</v>
      </c>
      <c r="K420" s="542"/>
      <c r="L420" s="393"/>
      <c r="M420" s="542"/>
      <c r="N420" s="397"/>
      <c r="O420" s="395" cm="1">
        <f t="array" ref="O420">IFERROR(_xlfn.IFS(R420=1,1,Q420=1,1,P420=1,1,S420=1,1),0)</f>
        <v>1</v>
      </c>
      <c r="P420" s="526"/>
      <c r="R420" s="526">
        <v>1</v>
      </c>
      <c r="S420" s="526"/>
      <c r="T420" s="395" cm="1">
        <f t="array" ref="T420">IFERROR(_xlfn.IFS(W420=1,1,V420=1,1,U420=1,1,X420=1,1),0)</f>
        <v>0</v>
      </c>
      <c r="U420" s="526"/>
      <c r="W420" s="526"/>
      <c r="X420" s="526"/>
      <c r="BE420" s="542">
        <v>1</v>
      </c>
    </row>
    <row r="421" spans="1:57" s="541" customFormat="1" ht="12.75" hidden="1" customHeight="1" outlineLevel="3">
      <c r="A421" s="542"/>
      <c r="B421" s="540"/>
      <c r="C421" s="522" t="s">
        <v>2516</v>
      </c>
      <c r="D421" s="531" t="s">
        <v>2170</v>
      </c>
      <c r="E421" s="532">
        <v>4101</v>
      </c>
      <c r="F421" s="533" t="s">
        <v>2771</v>
      </c>
      <c r="G421" s="542"/>
      <c r="H421" s="503" t="s">
        <v>1058</v>
      </c>
      <c r="I421" s="400" t="str">
        <f t="shared" si="39"/>
        <v>L20P-1</v>
      </c>
      <c r="J421" s="507">
        <v>1</v>
      </c>
      <c r="K421" s="542"/>
      <c r="L421" s="393"/>
      <c r="M421" s="542"/>
      <c r="N421" s="397"/>
      <c r="O421" s="395" cm="1">
        <f t="array" ref="O421">IFERROR(_xlfn.IFS(R421=1,1,Q421=1,1,P421=1,1,S421=1,1),0)</f>
        <v>1</v>
      </c>
      <c r="P421" s="526"/>
      <c r="R421" s="526">
        <v>1</v>
      </c>
      <c r="S421" s="526"/>
      <c r="T421" s="395" cm="1">
        <f t="array" ref="T421">IFERROR(_xlfn.IFS(W421=1,1,V421=1,1,U421=1,1,X421=1,1),0)</f>
        <v>0</v>
      </c>
      <c r="U421" s="526"/>
      <c r="W421" s="526"/>
      <c r="X421" s="526"/>
      <c r="BE421" s="542">
        <v>1</v>
      </c>
    </row>
    <row r="422" spans="1:57" s="541" customFormat="1" ht="12.75" hidden="1" customHeight="1" outlineLevel="3">
      <c r="A422" s="542"/>
      <c r="B422" s="540"/>
      <c r="C422" s="522" t="s">
        <v>2516</v>
      </c>
      <c r="D422" s="531" t="s">
        <v>2170</v>
      </c>
      <c r="E422" s="532">
        <v>4111</v>
      </c>
      <c r="F422" s="533" t="s">
        <v>2772</v>
      </c>
      <c r="G422" s="542"/>
      <c r="H422" s="503" t="s">
        <v>1058</v>
      </c>
      <c r="I422" s="400" t="str">
        <f t="shared" si="39"/>
        <v>L20P-1</v>
      </c>
      <c r="J422" s="507">
        <v>1</v>
      </c>
      <c r="K422" s="542"/>
      <c r="L422" s="393"/>
      <c r="M422" s="542"/>
      <c r="N422" s="406"/>
      <c r="O422" s="395" cm="1">
        <f t="array" ref="O422">IFERROR(_xlfn.IFS(R422=1,1,Q422=1,1,P422=1,1,S422=1,1),0)</f>
        <v>1</v>
      </c>
      <c r="P422" s="526"/>
      <c r="R422" s="526">
        <v>1</v>
      </c>
      <c r="S422" s="526"/>
      <c r="T422" s="395" cm="1">
        <f t="array" ref="T422">IFERROR(_xlfn.IFS(W422=1,1,V422=1,1,U422=1,1,X422=1,1),0)</f>
        <v>0</v>
      </c>
      <c r="U422" s="526"/>
      <c r="W422" s="526"/>
      <c r="X422" s="526"/>
      <c r="BE422" s="542">
        <v>1</v>
      </c>
    </row>
    <row r="423" spans="1:57" s="541" customFormat="1" ht="12.75" hidden="1" customHeight="1" outlineLevel="3">
      <c r="A423" s="542"/>
      <c r="B423" s="540"/>
      <c r="C423" s="522" t="s">
        <v>2516</v>
      </c>
      <c r="D423" s="531" t="s">
        <v>2170</v>
      </c>
      <c r="E423" s="532">
        <v>4111</v>
      </c>
      <c r="F423" s="533" t="s">
        <v>2773</v>
      </c>
      <c r="G423" s="542"/>
      <c r="H423" s="503" t="s">
        <v>1058</v>
      </c>
      <c r="I423" s="400" t="str">
        <f t="shared" si="39"/>
        <v>L20P-1</v>
      </c>
      <c r="J423" s="507">
        <v>1</v>
      </c>
      <c r="K423" s="542"/>
      <c r="L423" s="393"/>
      <c r="M423" s="542"/>
      <c r="N423" s="397"/>
      <c r="O423" s="395" cm="1">
        <f t="array" ref="O423">IFERROR(_xlfn.IFS(R423=1,1,Q423=1,1,P423=1,1,S423=1,1),0)</f>
        <v>1</v>
      </c>
      <c r="P423" s="526"/>
      <c r="R423" s="526">
        <v>1</v>
      </c>
      <c r="S423" s="526"/>
      <c r="T423" s="395" cm="1">
        <f t="array" ref="T423">IFERROR(_xlfn.IFS(W423=1,1,V423=1,1,U423=1,1,X423=1,1),0)</f>
        <v>0</v>
      </c>
      <c r="U423" s="526"/>
      <c r="W423" s="526"/>
      <c r="X423" s="526"/>
      <c r="BE423" s="542">
        <v>1</v>
      </c>
    </row>
    <row r="424" spans="1:57" s="541" customFormat="1" ht="12.75" hidden="1" customHeight="1" outlineLevel="3">
      <c r="A424" s="542"/>
      <c r="B424" s="540"/>
      <c r="C424" s="522" t="s">
        <v>2516</v>
      </c>
      <c r="D424" s="531" t="s">
        <v>2170</v>
      </c>
      <c r="E424" s="532">
        <v>1015</v>
      </c>
      <c r="F424" s="533" t="s">
        <v>2774</v>
      </c>
      <c r="G424" s="542"/>
      <c r="H424" s="503" t="s">
        <v>1058</v>
      </c>
      <c r="I424" s="400" t="str">
        <f t="shared" si="39"/>
        <v>L20P-1</v>
      </c>
      <c r="J424" s="507">
        <v>1</v>
      </c>
      <c r="K424" s="542"/>
      <c r="L424" s="393"/>
      <c r="M424" s="542"/>
      <c r="N424" s="397"/>
      <c r="O424" s="395" cm="1">
        <f t="array" ref="O424">IFERROR(_xlfn.IFS(R424=1,1,Q424=1,1,P424=1,1,S424=1,1),0)</f>
        <v>1</v>
      </c>
      <c r="P424" s="526"/>
      <c r="R424" s="526">
        <v>1</v>
      </c>
      <c r="S424" s="526"/>
      <c r="T424" s="395" cm="1">
        <f t="array" ref="T424">IFERROR(_xlfn.IFS(W424=1,1,V424=1,1,U424=1,1,X424=1,1),0)</f>
        <v>0</v>
      </c>
      <c r="U424" s="526"/>
      <c r="W424" s="526"/>
      <c r="X424" s="526"/>
      <c r="BE424" s="542">
        <v>1</v>
      </c>
    </row>
    <row r="425" spans="1:57" s="541" customFormat="1" ht="12.75" hidden="1" customHeight="1" outlineLevel="3">
      <c r="A425" s="542"/>
      <c r="B425" s="540"/>
      <c r="C425" s="522" t="s">
        <v>2516</v>
      </c>
      <c r="D425" s="531" t="s">
        <v>2170</v>
      </c>
      <c r="E425" s="532">
        <v>1017</v>
      </c>
      <c r="F425" s="533" t="s">
        <v>2775</v>
      </c>
      <c r="G425" s="542"/>
      <c r="H425" s="503" t="s">
        <v>1058</v>
      </c>
      <c r="I425" s="400" t="str">
        <f t="shared" si="39"/>
        <v>L20P-1</v>
      </c>
      <c r="J425" s="507">
        <v>1</v>
      </c>
      <c r="K425" s="542"/>
      <c r="L425" s="393"/>
      <c r="M425" s="542"/>
      <c r="N425" s="397"/>
      <c r="O425" s="395" cm="1">
        <f t="array" ref="O425">IFERROR(_xlfn.IFS(R425=1,1,Q425=1,1,P425=1,1,S425=1,1),0)</f>
        <v>1</v>
      </c>
      <c r="P425" s="526"/>
      <c r="R425" s="526">
        <v>1</v>
      </c>
      <c r="S425" s="526"/>
      <c r="T425" s="395" cm="1">
        <f t="array" ref="T425">IFERROR(_xlfn.IFS(W425=1,1,V425=1,1,U425=1,1,X425=1,1),0)</f>
        <v>0</v>
      </c>
      <c r="U425" s="526"/>
      <c r="W425" s="526"/>
      <c r="X425" s="526"/>
      <c r="BE425" s="542">
        <v>1</v>
      </c>
    </row>
    <row r="426" spans="1:57" s="541" customFormat="1" ht="3" hidden="1" customHeight="1" outlineLevel="2">
      <c r="A426" s="542"/>
      <c r="B426" s="540"/>
      <c r="C426" s="537"/>
      <c r="D426" s="538"/>
      <c r="E426" s="532"/>
      <c r="F426" s="533"/>
      <c r="G426" s="542"/>
      <c r="H426" s="503"/>
      <c r="I426" s="400"/>
      <c r="J426" s="507"/>
      <c r="K426" s="542"/>
      <c r="L426" s="393"/>
      <c r="M426" s="542"/>
      <c r="N426" s="397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BE426" s="542"/>
    </row>
    <row r="427" spans="1:57" s="541" customFormat="1" ht="12.75" hidden="1" customHeight="1" outlineLevel="2">
      <c r="A427" s="542"/>
      <c r="B427" s="540"/>
      <c r="C427" s="537" t="s">
        <v>2549</v>
      </c>
      <c r="D427" s="538"/>
      <c r="E427" s="532"/>
      <c r="F427" s="533"/>
      <c r="G427" s="542"/>
      <c r="H427" s="503"/>
      <c r="I427" s="400"/>
      <c r="J427" s="507"/>
      <c r="K427" s="542"/>
      <c r="L427" s="393"/>
      <c r="M427" s="542"/>
      <c r="N427" s="397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BE427" s="542"/>
    </row>
    <row r="428" spans="1:57" s="535" customFormat="1" ht="12.75" hidden="1" customHeight="1" outlineLevel="3">
      <c r="A428" s="542"/>
      <c r="B428" s="540"/>
      <c r="C428" s="522" t="s">
        <v>2550</v>
      </c>
      <c r="D428" s="531" t="s">
        <v>2170</v>
      </c>
      <c r="E428" s="532">
        <v>1001</v>
      </c>
      <c r="F428" s="533" t="s">
        <v>2776</v>
      </c>
      <c r="G428" s="542"/>
      <c r="H428" s="503" t="s">
        <v>1058</v>
      </c>
      <c r="I428" s="400" t="str">
        <f t="shared" ref="I428:I429" si="40">CONCATENATE(H428,"-",J428)</f>
        <v>L20P-1</v>
      </c>
      <c r="J428" s="507">
        <v>1</v>
      </c>
      <c r="K428" s="542"/>
      <c r="L428" s="526"/>
      <c r="M428" s="542"/>
      <c r="N428" s="397"/>
      <c r="O428" s="395" cm="1">
        <f t="array" ref="O428">IFERROR(_xlfn.IFS(R428=1,1,Q428=1,1,P428=1,1,S428=1,1),0)</f>
        <v>1</v>
      </c>
      <c r="P428" s="541"/>
      <c r="Q428" s="541"/>
      <c r="R428" s="526">
        <v>1</v>
      </c>
      <c r="S428" s="526"/>
      <c r="T428" s="395" cm="1">
        <f t="array" ref="T428">IFERROR(_xlfn.IFS(W428=1,1,V428=1,1,U428=1,1,X428=1,1),0)</f>
        <v>0</v>
      </c>
      <c r="U428" s="526"/>
      <c r="V428" s="526"/>
      <c r="W428" s="526"/>
      <c r="X428" s="526"/>
      <c r="BE428" s="542">
        <v>1</v>
      </c>
    </row>
    <row r="429" spans="1:57" s="535" customFormat="1" ht="12.75" hidden="1" customHeight="1" outlineLevel="3">
      <c r="A429" s="542"/>
      <c r="B429" s="540"/>
      <c r="C429" s="522" t="s">
        <v>2550</v>
      </c>
      <c r="D429" s="531" t="s">
        <v>2170</v>
      </c>
      <c r="E429" s="532">
        <v>9001</v>
      </c>
      <c r="F429" s="533" t="s">
        <v>2777</v>
      </c>
      <c r="G429" s="542"/>
      <c r="H429" s="503" t="s">
        <v>1058</v>
      </c>
      <c r="I429" s="400" t="str">
        <f t="shared" si="40"/>
        <v>L20P-1</v>
      </c>
      <c r="J429" s="507">
        <v>1</v>
      </c>
      <c r="K429" s="542"/>
      <c r="L429" s="526"/>
      <c r="M429" s="542"/>
      <c r="N429" s="397"/>
      <c r="O429" s="395" cm="1">
        <f t="array" ref="O429">IFERROR(_xlfn.IFS(R429=1,1,Q429=1,1,P429=1,1,S429=1,1),0)</f>
        <v>1</v>
      </c>
      <c r="P429" s="541"/>
      <c r="Q429" s="541"/>
      <c r="R429" s="526">
        <v>1</v>
      </c>
      <c r="S429" s="526"/>
      <c r="T429" s="395" cm="1">
        <f t="array" ref="T429">IFERROR(_xlfn.IFS(W429=1,1,V429=1,1,U429=1,1,X429=1,1),0)</f>
        <v>0</v>
      </c>
      <c r="U429" s="526"/>
      <c r="V429" s="526"/>
      <c r="W429" s="526"/>
      <c r="X429" s="526"/>
      <c r="BE429" s="542">
        <v>1</v>
      </c>
    </row>
    <row r="430" spans="1:57" s="541" customFormat="1" ht="3" hidden="1" customHeight="1" outlineLevel="1">
      <c r="A430" s="542"/>
      <c r="B430" s="540"/>
      <c r="C430" s="537"/>
      <c r="D430" s="538"/>
      <c r="E430" s="532"/>
      <c r="F430" s="533"/>
      <c r="G430" s="542"/>
      <c r="H430" s="503"/>
      <c r="I430" s="400"/>
      <c r="J430" s="507"/>
      <c r="K430" s="542"/>
      <c r="L430" s="393"/>
      <c r="M430" s="542"/>
      <c r="N430" s="397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BE430" s="542"/>
    </row>
    <row r="431" spans="1:57" s="541" customFormat="1" ht="12.75" hidden="1" customHeight="1" outlineLevel="1">
      <c r="A431" s="542"/>
      <c r="B431" s="460" t="s">
        <v>94</v>
      </c>
      <c r="C431" s="460" t="s">
        <v>95</v>
      </c>
      <c r="D431" s="460"/>
      <c r="E431" s="460"/>
      <c r="F431" s="460"/>
      <c r="G431" s="542"/>
      <c r="H431" s="503"/>
      <c r="I431" s="400"/>
      <c r="J431" s="507"/>
      <c r="K431" s="542"/>
      <c r="L431" s="393"/>
      <c r="M431" s="542"/>
      <c r="N431" s="397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BE431" s="542"/>
    </row>
    <row r="432" spans="1:57" s="541" customFormat="1" ht="3" hidden="1" customHeight="1" outlineLevel="2">
      <c r="A432" s="542"/>
      <c r="B432" s="540"/>
      <c r="C432" s="537"/>
      <c r="D432" s="538"/>
      <c r="E432" s="532"/>
      <c r="F432" s="533"/>
      <c r="G432" s="542"/>
      <c r="H432" s="503"/>
      <c r="I432" s="400"/>
      <c r="J432" s="507"/>
      <c r="K432" s="542"/>
      <c r="L432" s="393"/>
      <c r="M432" s="542"/>
      <c r="N432" s="397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BE432" s="542"/>
    </row>
    <row r="433" spans="1:57" s="541" customFormat="1" ht="12.75" hidden="1" customHeight="1" outlineLevel="2">
      <c r="A433" s="542"/>
      <c r="B433" s="540"/>
      <c r="C433" s="537" t="s">
        <v>2468</v>
      </c>
      <c r="D433" s="538"/>
      <c r="E433" s="532"/>
      <c r="F433" s="533"/>
      <c r="G433" s="542"/>
      <c r="H433" s="503"/>
      <c r="I433" s="400"/>
      <c r="J433" s="507"/>
      <c r="K433" s="542"/>
      <c r="L433" s="393"/>
      <c r="M433" s="542"/>
      <c r="N433" s="40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BE433" s="542"/>
    </row>
    <row r="434" spans="1:57" s="541" customFormat="1" ht="12.75" hidden="1" customHeight="1" outlineLevel="3">
      <c r="A434" s="542"/>
      <c r="C434" s="537" t="s">
        <v>2469</v>
      </c>
      <c r="D434" s="538"/>
      <c r="E434" s="532"/>
      <c r="F434" s="533"/>
      <c r="G434" s="542"/>
      <c r="H434" s="503"/>
      <c r="I434" s="400"/>
      <c r="J434" s="507"/>
      <c r="K434" s="542"/>
      <c r="L434" s="393"/>
      <c r="M434" s="542"/>
      <c r="N434" s="40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BE434" s="542"/>
    </row>
    <row r="435" spans="1:57" s="541" customFormat="1" ht="12.75" hidden="1" customHeight="1" outlineLevel="3">
      <c r="A435" s="542"/>
      <c r="C435" s="522" t="s">
        <v>2239</v>
      </c>
      <c r="D435" s="531" t="s">
        <v>2170</v>
      </c>
      <c r="E435" s="532">
        <v>4051</v>
      </c>
      <c r="F435" s="533" t="s">
        <v>2778</v>
      </c>
      <c r="G435" s="542"/>
      <c r="H435" s="503" t="s">
        <v>1059</v>
      </c>
      <c r="I435" s="400" t="str">
        <f t="shared" ref="I435:I444" si="41">CONCATENATE(H435,"-",J435)</f>
        <v>D35P-1</v>
      </c>
      <c r="J435" s="507">
        <v>1</v>
      </c>
      <c r="K435" s="542"/>
      <c r="L435" s="393"/>
      <c r="M435" s="542"/>
      <c r="N435" s="404"/>
      <c r="O435" s="395" cm="1">
        <f t="array" ref="O435">IFERROR(_xlfn.IFS(R435=1,1,Q435=1,1,P435=1,1,S435=1,1),0)</f>
        <v>1</v>
      </c>
      <c r="P435" s="526"/>
      <c r="Q435" s="526"/>
      <c r="R435" s="526">
        <v>1</v>
      </c>
      <c r="S435" s="526"/>
      <c r="T435" s="395" cm="1">
        <f t="array" ref="T435">IFERROR(_xlfn.IFS(W435=1,1,V435=1,1,U435=1,1,X435=1,1),0)</f>
        <v>0</v>
      </c>
      <c r="U435" s="526"/>
      <c r="V435" s="526"/>
      <c r="W435" s="526"/>
      <c r="X435" s="526"/>
      <c r="BE435" s="542">
        <v>1</v>
      </c>
    </row>
    <row r="436" spans="1:57" s="541" customFormat="1" ht="12.75" hidden="1" customHeight="1" outlineLevel="3">
      <c r="A436" s="542"/>
      <c r="C436" s="522" t="s">
        <v>2239</v>
      </c>
      <c r="D436" s="531" t="s">
        <v>2170</v>
      </c>
      <c r="E436" s="532">
        <v>4061</v>
      </c>
      <c r="F436" s="533" t="s">
        <v>2779</v>
      </c>
      <c r="G436" s="542"/>
      <c r="H436" s="503" t="s">
        <v>1059</v>
      </c>
      <c r="I436" s="400" t="str">
        <f t="shared" si="41"/>
        <v>D35P-1</v>
      </c>
      <c r="J436" s="507">
        <v>1</v>
      </c>
      <c r="K436" s="542"/>
      <c r="L436" s="393"/>
      <c r="M436" s="542"/>
      <c r="N436" s="404"/>
      <c r="O436" s="395" cm="1">
        <f t="array" ref="O436">IFERROR(_xlfn.IFS(R436=1,1,Q436=1,1,P436=1,1,S436=1,1),0)</f>
        <v>1</v>
      </c>
      <c r="P436" s="526"/>
      <c r="Q436" s="526"/>
      <c r="R436" s="526">
        <v>1</v>
      </c>
      <c r="S436" s="526"/>
      <c r="T436" s="395" cm="1">
        <f t="array" ref="T436">IFERROR(_xlfn.IFS(W436=1,1,V436=1,1,U436=1,1,X436=1,1),0)</f>
        <v>0</v>
      </c>
      <c r="U436" s="526"/>
      <c r="V436" s="526"/>
      <c r="W436" s="526"/>
      <c r="X436" s="526"/>
      <c r="BE436" s="542">
        <v>1</v>
      </c>
    </row>
    <row r="437" spans="1:57" s="541" customFormat="1" ht="12.75" hidden="1" customHeight="1" outlineLevel="3">
      <c r="A437" s="542"/>
      <c r="C437" s="522" t="s">
        <v>2239</v>
      </c>
      <c r="D437" s="531" t="s">
        <v>2170</v>
      </c>
      <c r="E437" s="532">
        <v>4071</v>
      </c>
      <c r="F437" s="533" t="s">
        <v>2780</v>
      </c>
      <c r="G437" s="542"/>
      <c r="H437" s="503" t="s">
        <v>1059</v>
      </c>
      <c r="I437" s="400" t="str">
        <f t="shared" si="41"/>
        <v>D35P-1</v>
      </c>
      <c r="J437" s="507">
        <v>1</v>
      </c>
      <c r="K437" s="542"/>
      <c r="L437" s="393"/>
      <c r="M437" s="542"/>
      <c r="N437" s="397"/>
      <c r="O437" s="395" cm="1">
        <f t="array" ref="O437">IFERROR(_xlfn.IFS(R437=1,1,Q437=1,1,P437=1,1,S437=1,1),0)</f>
        <v>1</v>
      </c>
      <c r="P437" s="526"/>
      <c r="Q437" s="526"/>
      <c r="R437" s="526">
        <v>1</v>
      </c>
      <c r="S437" s="526"/>
      <c r="T437" s="395" cm="1">
        <f t="array" ref="T437">IFERROR(_xlfn.IFS(W437=1,1,V437=1,1,U437=1,1,X437=1,1),0)</f>
        <v>0</v>
      </c>
      <c r="U437" s="526"/>
      <c r="V437" s="526"/>
      <c r="W437" s="526"/>
      <c r="X437" s="526"/>
      <c r="BE437" s="542">
        <v>1</v>
      </c>
    </row>
    <row r="438" spans="1:57" s="541" customFormat="1" ht="12.75" hidden="1" customHeight="1" outlineLevel="3">
      <c r="A438" s="542"/>
      <c r="C438" s="522" t="s">
        <v>2239</v>
      </c>
      <c r="D438" s="531" t="s">
        <v>2170</v>
      </c>
      <c r="E438" s="532">
        <v>4081</v>
      </c>
      <c r="F438" s="533" t="s">
        <v>2781</v>
      </c>
      <c r="G438" s="542"/>
      <c r="H438" s="503" t="s">
        <v>1059</v>
      </c>
      <c r="I438" s="400" t="str">
        <f t="shared" si="41"/>
        <v>D35P-1</v>
      </c>
      <c r="J438" s="507">
        <v>1</v>
      </c>
      <c r="K438" s="542"/>
      <c r="L438" s="393"/>
      <c r="M438" s="542"/>
      <c r="N438" s="397"/>
      <c r="O438" s="395" cm="1">
        <f t="array" ref="O438">IFERROR(_xlfn.IFS(R438=1,1,Q438=1,1,P438=1,1,S438=1,1),0)</f>
        <v>1</v>
      </c>
      <c r="P438" s="526"/>
      <c r="Q438" s="526"/>
      <c r="R438" s="526">
        <v>1</v>
      </c>
      <c r="S438" s="526"/>
      <c r="T438" s="395" cm="1">
        <f t="array" ref="T438">IFERROR(_xlfn.IFS(W438=1,1,V438=1,1,U438=1,1,X438=1,1),0)</f>
        <v>0</v>
      </c>
      <c r="U438" s="526"/>
      <c r="V438" s="526"/>
      <c r="W438" s="526"/>
      <c r="X438" s="526"/>
      <c r="BE438" s="542">
        <v>1</v>
      </c>
    </row>
    <row r="439" spans="1:57" s="541" customFormat="1" ht="12.75" hidden="1" customHeight="1" outlineLevel="3">
      <c r="A439" s="542"/>
      <c r="C439" s="522" t="s">
        <v>2239</v>
      </c>
      <c r="D439" s="531" t="s">
        <v>2170</v>
      </c>
      <c r="E439" s="532">
        <v>4091</v>
      </c>
      <c r="F439" s="533" t="s">
        <v>2782</v>
      </c>
      <c r="G439" s="542"/>
      <c r="H439" s="503" t="s">
        <v>1059</v>
      </c>
      <c r="I439" s="400" t="str">
        <f t="shared" si="41"/>
        <v>D35P-1</v>
      </c>
      <c r="J439" s="507">
        <v>1</v>
      </c>
      <c r="K439" s="542"/>
      <c r="L439" s="393"/>
      <c r="M439" s="542"/>
      <c r="N439" s="397"/>
      <c r="O439" s="395" cm="1">
        <f t="array" ref="O439">IFERROR(_xlfn.IFS(R439=1,1,Q439=1,1,P439=1,1,S439=1,1),0)</f>
        <v>1</v>
      </c>
      <c r="P439" s="526"/>
      <c r="Q439" s="526"/>
      <c r="R439" s="526">
        <v>1</v>
      </c>
      <c r="S439" s="526"/>
      <c r="T439" s="395" cm="1">
        <f t="array" ref="T439">IFERROR(_xlfn.IFS(W439=1,1,V439=1,1,U439=1,1,X439=1,1),0)</f>
        <v>0</v>
      </c>
      <c r="U439" s="526"/>
      <c r="V439" s="526"/>
      <c r="W439" s="526"/>
      <c r="X439" s="526"/>
      <c r="BE439" s="542">
        <v>1</v>
      </c>
    </row>
    <row r="440" spans="1:57" s="541" customFormat="1" ht="12.75" hidden="1" customHeight="1" outlineLevel="3">
      <c r="A440" s="542"/>
      <c r="C440" s="522" t="s">
        <v>2239</v>
      </c>
      <c r="D440" s="531" t="s">
        <v>2170</v>
      </c>
      <c r="E440" s="532">
        <v>4101</v>
      </c>
      <c r="F440" s="533" t="s">
        <v>2783</v>
      </c>
      <c r="G440" s="542"/>
      <c r="H440" s="503" t="s">
        <v>1059</v>
      </c>
      <c r="I440" s="400" t="str">
        <f t="shared" si="41"/>
        <v>D35P-1</v>
      </c>
      <c r="J440" s="507">
        <v>1</v>
      </c>
      <c r="K440" s="542"/>
      <c r="L440" s="393"/>
      <c r="M440" s="542"/>
      <c r="N440" s="397"/>
      <c r="O440" s="395" cm="1">
        <f t="array" ref="O440">IFERROR(_xlfn.IFS(R440=1,1,Q440=1,1,P440=1,1,S440=1,1),0)</f>
        <v>1</v>
      </c>
      <c r="P440" s="526"/>
      <c r="Q440" s="526"/>
      <c r="R440" s="526">
        <v>1</v>
      </c>
      <c r="S440" s="526"/>
      <c r="T440" s="395" cm="1">
        <f t="array" ref="T440">IFERROR(_xlfn.IFS(W440=1,1,V440=1,1,U440=1,1,X440=1,1),0)</f>
        <v>0</v>
      </c>
      <c r="U440" s="526"/>
      <c r="V440" s="526"/>
      <c r="W440" s="526"/>
      <c r="X440" s="526"/>
      <c r="BE440" s="542">
        <v>1</v>
      </c>
    </row>
    <row r="441" spans="1:57" s="541" customFormat="1" ht="12.75" hidden="1" customHeight="1" outlineLevel="3">
      <c r="A441" s="542"/>
      <c r="C441" s="522" t="s">
        <v>2239</v>
      </c>
      <c r="D441" s="531" t="s">
        <v>2170</v>
      </c>
      <c r="E441" s="532">
        <v>4105</v>
      </c>
      <c r="F441" s="533" t="s">
        <v>2784</v>
      </c>
      <c r="G441" s="542"/>
      <c r="H441" s="503" t="s">
        <v>1059</v>
      </c>
      <c r="I441" s="400" t="str">
        <f t="shared" si="41"/>
        <v>D35P-1</v>
      </c>
      <c r="J441" s="507">
        <v>1</v>
      </c>
      <c r="K441" s="542"/>
      <c r="L441" s="393"/>
      <c r="M441" s="542"/>
      <c r="N441" s="397"/>
      <c r="O441" s="395" cm="1">
        <f t="array" ref="O441">IFERROR(_xlfn.IFS(R441=1,1,Q441=1,1,P441=1,1,S441=1,1),0)</f>
        <v>1</v>
      </c>
      <c r="P441" s="526"/>
      <c r="Q441" s="526"/>
      <c r="R441" s="526">
        <v>1</v>
      </c>
      <c r="S441" s="526"/>
      <c r="T441" s="395" cm="1">
        <f t="array" ref="T441">IFERROR(_xlfn.IFS(W441=1,1,V441=1,1,U441=1,1,X441=1,1),0)</f>
        <v>0</v>
      </c>
      <c r="U441" s="526"/>
      <c r="V441" s="526"/>
      <c r="W441" s="526"/>
      <c r="X441" s="526"/>
      <c r="BE441" s="542">
        <v>1</v>
      </c>
    </row>
    <row r="442" spans="1:57" s="541" customFormat="1" ht="12.75" hidden="1" customHeight="1" outlineLevel="3">
      <c r="A442" s="542"/>
      <c r="C442" s="522" t="s">
        <v>2239</v>
      </c>
      <c r="D442" s="531" t="s">
        <v>2170</v>
      </c>
      <c r="E442" s="532">
        <v>4111</v>
      </c>
      <c r="F442" s="533" t="s">
        <v>2785</v>
      </c>
      <c r="G442" s="542"/>
      <c r="H442" s="503" t="s">
        <v>1059</v>
      </c>
      <c r="I442" s="400" t="str">
        <f t="shared" si="41"/>
        <v>D35P-1</v>
      </c>
      <c r="J442" s="507">
        <v>1</v>
      </c>
      <c r="K442" s="542"/>
      <c r="L442" s="393"/>
      <c r="M442" s="542"/>
      <c r="N442" s="397"/>
      <c r="O442" s="395" cm="1">
        <f t="array" ref="O442">IFERROR(_xlfn.IFS(R442=1,1,Q442=1,1,P442=1,1,S442=1,1),0)</f>
        <v>1</v>
      </c>
      <c r="P442" s="526"/>
      <c r="Q442" s="526"/>
      <c r="R442" s="526">
        <v>1</v>
      </c>
      <c r="S442" s="526"/>
      <c r="T442" s="395" cm="1">
        <f t="array" ref="T442">IFERROR(_xlfn.IFS(W442=1,1,V442=1,1,U442=1,1,X442=1,1),0)</f>
        <v>0</v>
      </c>
      <c r="U442" s="526"/>
      <c r="V442" s="526"/>
      <c r="W442" s="526"/>
      <c r="X442" s="526"/>
      <c r="BE442" s="542">
        <v>1</v>
      </c>
    </row>
    <row r="443" spans="1:57" s="541" customFormat="1" ht="12.75" hidden="1" customHeight="1" outlineLevel="3">
      <c r="A443" s="542"/>
      <c r="C443" s="522" t="s">
        <v>2239</v>
      </c>
      <c r="D443" s="531" t="s">
        <v>2170</v>
      </c>
      <c r="E443" s="532">
        <v>4115</v>
      </c>
      <c r="F443" s="533" t="s">
        <v>2786</v>
      </c>
      <c r="G443" s="542"/>
      <c r="H443" s="503" t="s">
        <v>1059</v>
      </c>
      <c r="I443" s="400" t="str">
        <f t="shared" si="41"/>
        <v>D35P-1</v>
      </c>
      <c r="J443" s="507">
        <v>1</v>
      </c>
      <c r="K443" s="542"/>
      <c r="L443" s="393"/>
      <c r="M443" s="542"/>
      <c r="N443" s="397"/>
      <c r="O443" s="395" cm="1">
        <f t="array" ref="O443">IFERROR(_xlfn.IFS(R443=1,1,Q443=1,1,P443=1,1,S443=1,1),0)</f>
        <v>1</v>
      </c>
      <c r="R443" s="526">
        <v>1</v>
      </c>
      <c r="S443" s="526"/>
      <c r="T443" s="395" cm="1">
        <f t="array" ref="T443">IFERROR(_xlfn.IFS(W443=1,1,V443=1,1,U443=1,1,X443=1,1),0)</f>
        <v>0</v>
      </c>
      <c r="U443" s="526"/>
      <c r="W443" s="526"/>
      <c r="X443" s="526"/>
      <c r="BE443" s="542">
        <v>1</v>
      </c>
    </row>
    <row r="444" spans="1:57" s="541" customFormat="1" ht="12.75" hidden="1" customHeight="1" outlineLevel="3">
      <c r="A444" s="542"/>
      <c r="C444" s="522" t="s">
        <v>2239</v>
      </c>
      <c r="D444" s="531" t="s">
        <v>2170</v>
      </c>
      <c r="E444" s="532"/>
      <c r="F444" s="533" t="s">
        <v>2720</v>
      </c>
      <c r="G444" s="542"/>
      <c r="H444" s="503" t="s">
        <v>1059</v>
      </c>
      <c r="I444" s="400" t="str">
        <f t="shared" si="41"/>
        <v>D35P-1</v>
      </c>
      <c r="J444" s="507">
        <v>1</v>
      </c>
      <c r="K444" s="542"/>
      <c r="L444" s="393"/>
      <c r="M444" s="542"/>
      <c r="N444" s="397"/>
      <c r="O444" s="395" cm="1">
        <f t="array" ref="O444">IFERROR(_xlfn.IFS(R444=1,1,Q444=1,1,P444=1,1,S444=1,1),0)</f>
        <v>1</v>
      </c>
      <c r="R444" s="526">
        <v>1</v>
      </c>
      <c r="S444" s="526"/>
      <c r="T444" s="395" cm="1">
        <f t="array" ref="T444">IFERROR(_xlfn.IFS(W444=1,1,V444=1,1,U444=1,1,X444=1,1),0)</f>
        <v>0</v>
      </c>
      <c r="U444" s="526"/>
      <c r="W444" s="526"/>
      <c r="X444" s="526"/>
      <c r="BE444" s="542"/>
    </row>
    <row r="445" spans="1:57" s="541" customFormat="1" ht="3" hidden="1" customHeight="1" outlineLevel="2">
      <c r="A445" s="542"/>
      <c r="C445" s="537"/>
      <c r="D445" s="538"/>
      <c r="E445" s="532"/>
      <c r="F445" s="533"/>
      <c r="G445" s="542"/>
      <c r="H445" s="503"/>
      <c r="I445" s="400"/>
      <c r="J445" s="507"/>
      <c r="K445" s="542"/>
      <c r="L445" s="393"/>
      <c r="M445" s="542"/>
      <c r="N445" s="397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BE445" s="542"/>
    </row>
    <row r="446" spans="1:57" s="541" customFormat="1" ht="12.75" hidden="1" customHeight="1" outlineLevel="2">
      <c r="A446" s="542"/>
      <c r="C446" s="537" t="s">
        <v>2513</v>
      </c>
      <c r="D446" s="538"/>
      <c r="E446" s="532"/>
      <c r="F446" s="533" t="s">
        <v>2514</v>
      </c>
      <c r="G446" s="542"/>
      <c r="H446" s="503"/>
      <c r="I446" s="400"/>
      <c r="J446" s="507"/>
      <c r="K446" s="542"/>
      <c r="L446" s="393"/>
      <c r="M446" s="542"/>
      <c r="N446" s="397"/>
      <c r="O446" s="395"/>
      <c r="P446" s="526"/>
      <c r="Q446" s="526"/>
      <c r="R446" s="526"/>
      <c r="S446" s="526"/>
      <c r="T446" s="395"/>
      <c r="U446" s="526"/>
      <c r="V446" s="526"/>
      <c r="W446" s="526"/>
      <c r="X446" s="526"/>
      <c r="BE446" s="542"/>
    </row>
    <row r="447" spans="1:57" s="541" customFormat="1" ht="3" hidden="1" customHeight="1" outlineLevel="2">
      <c r="A447" s="542"/>
      <c r="C447" s="537"/>
      <c r="D447" s="538"/>
      <c r="E447" s="532"/>
      <c r="F447" s="533"/>
      <c r="G447" s="542"/>
      <c r="H447" s="503"/>
      <c r="I447" s="400"/>
      <c r="J447" s="507"/>
      <c r="K447" s="542"/>
      <c r="L447" s="393"/>
      <c r="M447" s="542"/>
      <c r="N447" s="397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BE447" s="542"/>
    </row>
    <row r="448" spans="1:57" s="541" customFormat="1" ht="12.75" hidden="1" customHeight="1" outlineLevel="2">
      <c r="A448" s="542"/>
      <c r="C448" s="537" t="s">
        <v>2462</v>
      </c>
      <c r="D448" s="538"/>
      <c r="E448" s="532"/>
      <c r="F448" s="533"/>
      <c r="G448" s="542"/>
      <c r="H448" s="503"/>
      <c r="I448" s="400"/>
      <c r="J448" s="507"/>
      <c r="K448" s="542"/>
      <c r="L448" s="393"/>
      <c r="M448" s="542"/>
      <c r="N448" s="397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BE448" s="542"/>
    </row>
    <row r="449" spans="1:57" s="541" customFormat="1" ht="12.75" hidden="1" customHeight="1" outlineLevel="3">
      <c r="A449" s="542"/>
      <c r="C449" s="522" t="s">
        <v>2462</v>
      </c>
      <c r="D449" s="531" t="s">
        <v>2170</v>
      </c>
      <c r="E449" s="532" t="s">
        <v>2745</v>
      </c>
      <c r="F449" s="533" t="s">
        <v>2787</v>
      </c>
      <c r="G449" s="542"/>
      <c r="H449" s="503" t="s">
        <v>1059</v>
      </c>
      <c r="I449" s="400" t="str">
        <f t="shared" ref="I449:I450" si="42">CONCATENATE(H449,"-",J449)</f>
        <v>D35P-1</v>
      </c>
      <c r="J449" s="507">
        <v>1</v>
      </c>
      <c r="K449" s="542"/>
      <c r="L449" s="393"/>
      <c r="M449" s="542"/>
      <c r="N449" s="397"/>
      <c r="O449" s="395" cm="1">
        <f t="array" ref="O449">IFERROR(_xlfn.IFS(R449=1,1,Q449=1,1,P449=1,1,S449=1,1),0)</f>
        <v>1</v>
      </c>
      <c r="P449" s="526"/>
      <c r="Q449" s="526"/>
      <c r="R449" s="526">
        <v>1</v>
      </c>
      <c r="S449" s="526"/>
      <c r="T449" s="395" cm="1">
        <f t="array" ref="T449">IFERROR(_xlfn.IFS(W449=1,1,V449=1,1,U449=1,1,X449=1,1),0)</f>
        <v>0</v>
      </c>
      <c r="U449" s="526"/>
      <c r="V449" s="526"/>
      <c r="W449" s="526"/>
      <c r="X449" s="526"/>
      <c r="BE449" s="542">
        <v>1</v>
      </c>
    </row>
    <row r="450" spans="1:57" s="541" customFormat="1" ht="12.75" hidden="1" customHeight="1" outlineLevel="3">
      <c r="A450" s="542"/>
      <c r="C450" s="522" t="s">
        <v>2462</v>
      </c>
      <c r="D450" s="531" t="s">
        <v>2170</v>
      </c>
      <c r="E450" s="532" t="s">
        <v>2763</v>
      </c>
      <c r="F450" s="533" t="s">
        <v>2788</v>
      </c>
      <c r="G450" s="542"/>
      <c r="H450" s="503" t="s">
        <v>1059</v>
      </c>
      <c r="I450" s="400" t="str">
        <f t="shared" si="42"/>
        <v>D35P-1</v>
      </c>
      <c r="J450" s="507">
        <v>1</v>
      </c>
      <c r="K450" s="542"/>
      <c r="L450" s="393"/>
      <c r="M450" s="542"/>
      <c r="N450" s="397"/>
      <c r="O450" s="395" cm="1">
        <f t="array" ref="O450">IFERROR(_xlfn.IFS(R450=1,1,Q450=1,1,P450=1,1,S450=1,1),0)</f>
        <v>1</v>
      </c>
      <c r="P450" s="526"/>
      <c r="Q450" s="526"/>
      <c r="R450" s="526">
        <v>1</v>
      </c>
      <c r="S450" s="526"/>
      <c r="T450" s="395" cm="1">
        <f t="array" ref="T450">IFERROR(_xlfn.IFS(W450=1,1,V450=1,1,U450=1,1,X450=1,1),0)</f>
        <v>0</v>
      </c>
      <c r="U450" s="526"/>
      <c r="V450" s="526"/>
      <c r="W450" s="526"/>
      <c r="X450" s="526"/>
      <c r="BE450" s="542">
        <v>1</v>
      </c>
    </row>
    <row r="451" spans="1:57" s="541" customFormat="1" ht="3" hidden="1" customHeight="1" outlineLevel="2">
      <c r="A451" s="542"/>
      <c r="C451" s="537"/>
      <c r="D451" s="538"/>
      <c r="E451" s="532"/>
      <c r="F451" s="533"/>
      <c r="G451" s="542"/>
      <c r="H451" s="503"/>
      <c r="I451" s="400"/>
      <c r="J451" s="507"/>
      <c r="K451" s="542"/>
      <c r="L451" s="393"/>
      <c r="M451" s="542"/>
      <c r="N451" s="397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BE451" s="542"/>
    </row>
    <row r="452" spans="1:57" s="541" customFormat="1" ht="12.75" hidden="1" customHeight="1" outlineLevel="2">
      <c r="A452" s="542"/>
      <c r="C452" s="537" t="s">
        <v>2676</v>
      </c>
      <c r="D452" s="538"/>
      <c r="E452" s="532"/>
      <c r="F452" s="533"/>
      <c r="G452" s="542"/>
      <c r="H452" s="503"/>
      <c r="I452" s="400"/>
      <c r="J452" s="507"/>
      <c r="K452" s="542"/>
      <c r="L452" s="393"/>
      <c r="M452" s="542"/>
      <c r="N452" s="397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BE452" s="542"/>
    </row>
    <row r="453" spans="1:57" s="541" customFormat="1" ht="12.75" hidden="1" customHeight="1" outlineLevel="3">
      <c r="A453" s="542"/>
      <c r="C453" s="522" t="s">
        <v>2516</v>
      </c>
      <c r="D453" s="531" t="s">
        <v>2170</v>
      </c>
      <c r="E453" s="532">
        <v>4051</v>
      </c>
      <c r="F453" s="533" t="s">
        <v>2789</v>
      </c>
      <c r="G453" s="542"/>
      <c r="H453" s="503" t="s">
        <v>1059</v>
      </c>
      <c r="I453" s="400" t="str">
        <f t="shared" ref="I453:I463" si="43">CONCATENATE(H453,"-",J453)</f>
        <v>D35P-1</v>
      </c>
      <c r="J453" s="507">
        <v>1</v>
      </c>
      <c r="K453" s="542"/>
      <c r="L453" s="393"/>
      <c r="M453" s="542"/>
      <c r="N453" s="397"/>
      <c r="O453" s="395" cm="1">
        <f t="array" ref="O453">IFERROR(_xlfn.IFS(R453=1,1,Q453=1,1,P453=1,1,S453=1,1),0)</f>
        <v>1</v>
      </c>
      <c r="P453" s="526"/>
      <c r="Q453" s="526"/>
      <c r="R453" s="526">
        <v>1</v>
      </c>
      <c r="S453" s="526"/>
      <c r="T453" s="395" cm="1">
        <f t="array" ref="T453">IFERROR(_xlfn.IFS(W453=1,1,V453=1,1,U453=1,1,X453=1,1),0)</f>
        <v>0</v>
      </c>
      <c r="U453" s="526"/>
      <c r="V453" s="526"/>
      <c r="W453" s="526"/>
      <c r="X453" s="526"/>
      <c r="BE453" s="542">
        <v>1</v>
      </c>
    </row>
    <row r="454" spans="1:57" s="541" customFormat="1" ht="12.75" hidden="1" customHeight="1" outlineLevel="3">
      <c r="A454" s="542"/>
      <c r="C454" s="522" t="s">
        <v>2516</v>
      </c>
      <c r="D454" s="531" t="s">
        <v>2170</v>
      </c>
      <c r="E454" s="532">
        <v>4061</v>
      </c>
      <c r="F454" s="533" t="s">
        <v>2790</v>
      </c>
      <c r="G454" s="542"/>
      <c r="H454" s="503" t="s">
        <v>1059</v>
      </c>
      <c r="I454" s="400" t="str">
        <f t="shared" si="43"/>
        <v>D35P-1</v>
      </c>
      <c r="J454" s="507">
        <v>1</v>
      </c>
      <c r="K454" s="542"/>
      <c r="L454" s="393"/>
      <c r="M454" s="542"/>
      <c r="N454" s="397"/>
      <c r="O454" s="395" cm="1">
        <f t="array" ref="O454">IFERROR(_xlfn.IFS(R454=1,1,Q454=1,1,P454=1,1,S454=1,1),0)</f>
        <v>1</v>
      </c>
      <c r="P454" s="526"/>
      <c r="Q454" s="526"/>
      <c r="R454" s="526">
        <v>1</v>
      </c>
      <c r="S454" s="526"/>
      <c r="T454" s="395" cm="1">
        <f t="array" ref="T454">IFERROR(_xlfn.IFS(W454=1,1,V454=1,1,U454=1,1,X454=1,1),0)</f>
        <v>0</v>
      </c>
      <c r="U454" s="526"/>
      <c r="V454" s="526"/>
      <c r="W454" s="526"/>
      <c r="X454" s="526"/>
      <c r="BE454" s="542">
        <v>1</v>
      </c>
    </row>
    <row r="455" spans="1:57" s="541" customFormat="1" ht="12.75" hidden="1" customHeight="1" outlineLevel="3">
      <c r="A455" s="542"/>
      <c r="C455" s="522" t="s">
        <v>2516</v>
      </c>
      <c r="D455" s="531" t="s">
        <v>2170</v>
      </c>
      <c r="E455" s="532">
        <v>4071</v>
      </c>
      <c r="F455" s="533" t="s">
        <v>2791</v>
      </c>
      <c r="G455" s="542"/>
      <c r="H455" s="503" t="s">
        <v>1059</v>
      </c>
      <c r="I455" s="400" t="str">
        <f t="shared" si="43"/>
        <v>D35P-1</v>
      </c>
      <c r="J455" s="507">
        <v>1</v>
      </c>
      <c r="K455" s="542"/>
      <c r="L455" s="393"/>
      <c r="M455" s="542"/>
      <c r="N455" s="397"/>
      <c r="O455" s="395" cm="1">
        <f t="array" ref="O455">IFERROR(_xlfn.IFS(R455=1,1,Q455=1,1,P455=1,1,S455=1,1),0)</f>
        <v>1</v>
      </c>
      <c r="P455" s="526"/>
      <c r="Q455" s="526"/>
      <c r="R455" s="526">
        <v>1</v>
      </c>
      <c r="S455" s="526"/>
      <c r="T455" s="395" cm="1">
        <f t="array" ref="T455">IFERROR(_xlfn.IFS(W455=1,1,V455=1,1,U455=1,1,X455=1,1),0)</f>
        <v>0</v>
      </c>
      <c r="U455" s="526"/>
      <c r="V455" s="526"/>
      <c r="W455" s="526"/>
      <c r="X455" s="526"/>
      <c r="BE455" s="542">
        <v>1</v>
      </c>
    </row>
    <row r="456" spans="1:57" s="541" customFormat="1" ht="12.75" hidden="1" customHeight="1" outlineLevel="3">
      <c r="A456" s="542"/>
      <c r="C456" s="522" t="s">
        <v>2516</v>
      </c>
      <c r="D456" s="531" t="s">
        <v>2170</v>
      </c>
      <c r="E456" s="532">
        <v>4081</v>
      </c>
      <c r="F456" s="533" t="s">
        <v>2792</v>
      </c>
      <c r="G456" s="542"/>
      <c r="H456" s="503" t="s">
        <v>1059</v>
      </c>
      <c r="I456" s="400" t="str">
        <f t="shared" si="43"/>
        <v>D35P-1</v>
      </c>
      <c r="J456" s="507">
        <v>1</v>
      </c>
      <c r="K456" s="542"/>
      <c r="L456" s="393"/>
      <c r="M456" s="542"/>
      <c r="N456" s="397"/>
      <c r="O456" s="395" cm="1">
        <f t="array" ref="O456">IFERROR(_xlfn.IFS(R456=1,1,Q456=1,1,P456=1,1,S456=1,1),0)</f>
        <v>1</v>
      </c>
      <c r="P456" s="526"/>
      <c r="Q456" s="526"/>
      <c r="R456" s="526">
        <v>1</v>
      </c>
      <c r="S456" s="526"/>
      <c r="T456" s="395" cm="1">
        <f t="array" ref="T456">IFERROR(_xlfn.IFS(W456=1,1,V456=1,1,U456=1,1,X456=1,1),0)</f>
        <v>0</v>
      </c>
      <c r="U456" s="526"/>
      <c r="V456" s="526"/>
      <c r="W456" s="526"/>
      <c r="X456" s="526"/>
      <c r="BE456" s="542">
        <v>1</v>
      </c>
    </row>
    <row r="457" spans="1:57" s="541" customFormat="1" ht="12.75" hidden="1" customHeight="1" outlineLevel="3">
      <c r="A457" s="542"/>
      <c r="C457" s="522" t="s">
        <v>2516</v>
      </c>
      <c r="D457" s="531" t="s">
        <v>2170</v>
      </c>
      <c r="E457" s="532">
        <v>4091</v>
      </c>
      <c r="F457" s="533" t="s">
        <v>2793</v>
      </c>
      <c r="G457" s="542"/>
      <c r="H457" s="503" t="s">
        <v>1059</v>
      </c>
      <c r="I457" s="400" t="str">
        <f t="shared" si="43"/>
        <v>D35P-1</v>
      </c>
      <c r="J457" s="507">
        <v>1</v>
      </c>
      <c r="K457" s="542"/>
      <c r="L457" s="393"/>
      <c r="M457" s="542"/>
      <c r="N457" s="397"/>
      <c r="O457" s="395" cm="1">
        <f t="array" ref="O457">IFERROR(_xlfn.IFS(R457=1,1,Q457=1,1,P457=1,1,S457=1,1),0)</f>
        <v>1</v>
      </c>
      <c r="P457" s="526"/>
      <c r="Q457" s="526"/>
      <c r="R457" s="526">
        <v>1</v>
      </c>
      <c r="S457" s="526"/>
      <c r="T457" s="395" cm="1">
        <f t="array" ref="T457">IFERROR(_xlfn.IFS(W457=1,1,V457=1,1,U457=1,1,X457=1,1),0)</f>
        <v>0</v>
      </c>
      <c r="U457" s="526"/>
      <c r="V457" s="526"/>
      <c r="W457" s="526"/>
      <c r="X457" s="526"/>
      <c r="BE457" s="542">
        <v>1</v>
      </c>
    </row>
    <row r="458" spans="1:57" s="541" customFormat="1" ht="12.75" hidden="1" customHeight="1" outlineLevel="3">
      <c r="A458" s="542"/>
      <c r="C458" s="522" t="s">
        <v>2516</v>
      </c>
      <c r="D458" s="531" t="s">
        <v>2170</v>
      </c>
      <c r="E458" s="532">
        <v>4101</v>
      </c>
      <c r="F458" s="533" t="s">
        <v>2794</v>
      </c>
      <c r="G458" s="542"/>
      <c r="H458" s="503" t="s">
        <v>1059</v>
      </c>
      <c r="I458" s="400" t="str">
        <f t="shared" si="43"/>
        <v>D35P-1</v>
      </c>
      <c r="J458" s="507">
        <v>1</v>
      </c>
      <c r="K458" s="542"/>
      <c r="L458" s="393"/>
      <c r="M458" s="542"/>
      <c r="N458" s="397"/>
      <c r="O458" s="395" cm="1">
        <f t="array" ref="O458">IFERROR(_xlfn.IFS(R458=1,1,Q458=1,1,P458=1,1,S458=1,1),0)</f>
        <v>1</v>
      </c>
      <c r="P458" s="526"/>
      <c r="Q458" s="526"/>
      <c r="R458" s="526">
        <v>1</v>
      </c>
      <c r="S458" s="526"/>
      <c r="T458" s="395" cm="1">
        <f t="array" ref="T458">IFERROR(_xlfn.IFS(W458=1,1,V458=1,1,U458=1,1,X458=1,1),0)</f>
        <v>0</v>
      </c>
      <c r="U458" s="526"/>
      <c r="V458" s="526"/>
      <c r="W458" s="526"/>
      <c r="X458" s="526"/>
      <c r="BE458" s="542">
        <v>1</v>
      </c>
    </row>
    <row r="459" spans="1:57" s="541" customFormat="1" ht="12.75" hidden="1" customHeight="1" outlineLevel="3">
      <c r="A459" s="542"/>
      <c r="C459" s="522" t="s">
        <v>2516</v>
      </c>
      <c r="D459" s="531" t="s">
        <v>2170</v>
      </c>
      <c r="E459" s="532">
        <v>4101</v>
      </c>
      <c r="F459" s="533" t="s">
        <v>2795</v>
      </c>
      <c r="G459" s="542"/>
      <c r="H459" s="503" t="s">
        <v>1059</v>
      </c>
      <c r="I459" s="400" t="str">
        <f t="shared" si="43"/>
        <v>D35P-1</v>
      </c>
      <c r="J459" s="507">
        <v>1</v>
      </c>
      <c r="K459" s="542"/>
      <c r="L459" s="393"/>
      <c r="M459" s="542"/>
      <c r="N459" s="397"/>
      <c r="O459" s="395" cm="1">
        <f t="array" ref="O459">IFERROR(_xlfn.IFS(R459=1,1,Q459=1,1,P459=1,1,S459=1,1),0)</f>
        <v>1</v>
      </c>
      <c r="P459" s="526"/>
      <c r="Q459" s="526"/>
      <c r="R459" s="526">
        <v>1</v>
      </c>
      <c r="S459" s="526"/>
      <c r="T459" s="395" cm="1">
        <f t="array" ref="T459">IFERROR(_xlfn.IFS(W459=1,1,V459=1,1,U459=1,1,X459=1,1),0)</f>
        <v>0</v>
      </c>
      <c r="U459" s="526"/>
      <c r="V459" s="526"/>
      <c r="W459" s="526"/>
      <c r="X459" s="526"/>
      <c r="BE459" s="542">
        <v>1</v>
      </c>
    </row>
    <row r="460" spans="1:57" s="541" customFormat="1" ht="12.75" hidden="1" customHeight="1" outlineLevel="3">
      <c r="A460" s="542"/>
      <c r="C460" s="522" t="s">
        <v>2516</v>
      </c>
      <c r="D460" s="531" t="s">
        <v>2170</v>
      </c>
      <c r="E460" s="532">
        <v>4111</v>
      </c>
      <c r="F460" s="533" t="s">
        <v>2796</v>
      </c>
      <c r="G460" s="542"/>
      <c r="H460" s="503" t="s">
        <v>1059</v>
      </c>
      <c r="I460" s="400" t="str">
        <f t="shared" si="43"/>
        <v>D35P-1</v>
      </c>
      <c r="J460" s="507">
        <v>1</v>
      </c>
      <c r="K460" s="542"/>
      <c r="L460" s="393"/>
      <c r="M460" s="542"/>
      <c r="N460" s="397"/>
      <c r="O460" s="395" cm="1">
        <f t="array" ref="O460">IFERROR(_xlfn.IFS(R460=1,1,Q460=1,1,P460=1,1,S460=1,1),0)</f>
        <v>1</v>
      </c>
      <c r="P460" s="526"/>
      <c r="Q460" s="526"/>
      <c r="R460" s="526">
        <v>1</v>
      </c>
      <c r="S460" s="526"/>
      <c r="T460" s="395" cm="1">
        <f t="array" ref="T460">IFERROR(_xlfn.IFS(W460=1,1,V460=1,1,U460=1,1,X460=1,1),0)</f>
        <v>0</v>
      </c>
      <c r="U460" s="526"/>
      <c r="V460" s="526"/>
      <c r="W460" s="526"/>
      <c r="X460" s="526"/>
      <c r="BE460" s="542">
        <v>1</v>
      </c>
    </row>
    <row r="461" spans="1:57" s="541" customFormat="1" ht="12.75" hidden="1" customHeight="1" outlineLevel="3">
      <c r="A461" s="542"/>
      <c r="C461" s="522" t="s">
        <v>2516</v>
      </c>
      <c r="D461" s="531" t="s">
        <v>2170</v>
      </c>
      <c r="E461" s="532">
        <v>4111</v>
      </c>
      <c r="F461" s="533" t="s">
        <v>2797</v>
      </c>
      <c r="G461" s="542"/>
      <c r="H461" s="503" t="s">
        <v>1059</v>
      </c>
      <c r="I461" s="400" t="str">
        <f t="shared" si="43"/>
        <v>D35P-1</v>
      </c>
      <c r="J461" s="507">
        <v>1</v>
      </c>
      <c r="K461" s="542"/>
      <c r="L461" s="393"/>
      <c r="M461" s="542"/>
      <c r="N461" s="397"/>
      <c r="O461" s="395" cm="1">
        <f t="array" ref="O461">IFERROR(_xlfn.IFS(R461=1,1,Q461=1,1,P461=1,1,S461=1,1),0)</f>
        <v>1</v>
      </c>
      <c r="P461" s="526"/>
      <c r="Q461" s="526"/>
      <c r="R461" s="526">
        <v>1</v>
      </c>
      <c r="S461" s="526"/>
      <c r="T461" s="395" cm="1">
        <f t="array" ref="T461">IFERROR(_xlfn.IFS(W461=1,1,V461=1,1,U461=1,1,X461=1,1),0)</f>
        <v>0</v>
      </c>
      <c r="U461" s="526"/>
      <c r="V461" s="526"/>
      <c r="W461" s="526"/>
      <c r="X461" s="526"/>
      <c r="BE461" s="542">
        <v>1</v>
      </c>
    </row>
    <row r="462" spans="1:57" s="541" customFormat="1" ht="12.75" hidden="1" customHeight="1" outlineLevel="3">
      <c r="A462" s="542"/>
      <c r="C462" s="522" t="s">
        <v>2516</v>
      </c>
      <c r="D462" s="531" t="s">
        <v>2170</v>
      </c>
      <c r="E462" s="532">
        <v>1015</v>
      </c>
      <c r="F462" s="533" t="s">
        <v>2798</v>
      </c>
      <c r="G462" s="542"/>
      <c r="H462" s="503" t="s">
        <v>1059</v>
      </c>
      <c r="I462" s="400" t="str">
        <f t="shared" si="43"/>
        <v>D35P-1</v>
      </c>
      <c r="J462" s="507">
        <v>1</v>
      </c>
      <c r="K462" s="542"/>
      <c r="L462" s="393"/>
      <c r="M462" s="542"/>
      <c r="N462" s="397"/>
      <c r="O462" s="395" cm="1">
        <f t="array" ref="O462">IFERROR(_xlfn.IFS(R462=1,1,Q462=1,1,P462=1,1,S462=1,1),0)</f>
        <v>1</v>
      </c>
      <c r="P462" s="526"/>
      <c r="Q462" s="526"/>
      <c r="R462" s="526">
        <v>1</v>
      </c>
      <c r="S462" s="526"/>
      <c r="T462" s="395" cm="1">
        <f t="array" ref="T462">IFERROR(_xlfn.IFS(W462=1,1,V462=1,1,U462=1,1,X462=1,1),0)</f>
        <v>0</v>
      </c>
      <c r="U462" s="526"/>
      <c r="V462" s="526"/>
      <c r="W462" s="526"/>
      <c r="X462" s="526"/>
      <c r="BE462" s="542">
        <v>1</v>
      </c>
    </row>
    <row r="463" spans="1:57" s="541" customFormat="1" ht="12.75" hidden="1" customHeight="1" outlineLevel="3">
      <c r="A463" s="542"/>
      <c r="C463" s="522" t="s">
        <v>2516</v>
      </c>
      <c r="D463" s="531" t="s">
        <v>2170</v>
      </c>
      <c r="E463" s="532">
        <v>1017</v>
      </c>
      <c r="F463" s="533" t="s">
        <v>2799</v>
      </c>
      <c r="G463" s="542"/>
      <c r="H463" s="503" t="s">
        <v>1059</v>
      </c>
      <c r="I463" s="400" t="str">
        <f t="shared" si="43"/>
        <v>D35P-1</v>
      </c>
      <c r="J463" s="507">
        <v>1</v>
      </c>
      <c r="K463" s="542"/>
      <c r="L463" s="393"/>
      <c r="M463" s="542"/>
      <c r="N463" s="397"/>
      <c r="O463" s="395" cm="1">
        <f t="array" ref="O463">IFERROR(_xlfn.IFS(R463=1,1,Q463=1,1,P463=1,1,S463=1,1),0)</f>
        <v>1</v>
      </c>
      <c r="P463" s="526"/>
      <c r="Q463" s="526"/>
      <c r="R463" s="526">
        <v>1</v>
      </c>
      <c r="S463" s="526"/>
      <c r="T463" s="395" cm="1">
        <f t="array" ref="T463">IFERROR(_xlfn.IFS(W463=1,1,V463=1,1,U463=1,1,X463=1,1),0)</f>
        <v>0</v>
      </c>
      <c r="U463" s="526"/>
      <c r="V463" s="526"/>
      <c r="W463" s="526"/>
      <c r="X463" s="526"/>
      <c r="BE463" s="542">
        <v>1</v>
      </c>
    </row>
    <row r="464" spans="1:57" s="541" customFormat="1" ht="3" hidden="1" customHeight="1" outlineLevel="2">
      <c r="A464" s="542"/>
      <c r="C464" s="537"/>
      <c r="D464" s="538"/>
      <c r="E464" s="532"/>
      <c r="F464" s="533"/>
      <c r="G464" s="542"/>
      <c r="H464" s="503"/>
      <c r="I464" s="400"/>
      <c r="J464" s="507"/>
      <c r="K464" s="542"/>
      <c r="L464" s="393"/>
      <c r="M464" s="542"/>
      <c r="N464" s="397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BE464" s="542"/>
    </row>
    <row r="465" spans="1:57" s="541" customFormat="1" ht="12.75" hidden="1" customHeight="1" outlineLevel="2">
      <c r="A465" s="542"/>
      <c r="C465" s="537" t="s">
        <v>2549</v>
      </c>
      <c r="D465" s="538"/>
      <c r="E465" s="532"/>
      <c r="F465" s="533"/>
      <c r="G465" s="542"/>
      <c r="H465" s="503"/>
      <c r="I465" s="400"/>
      <c r="J465" s="507"/>
      <c r="K465" s="542"/>
      <c r="L465" s="393"/>
      <c r="M465" s="542"/>
      <c r="N465" s="397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BE465" s="542"/>
    </row>
    <row r="466" spans="1:57" s="535" customFormat="1" ht="12.75" hidden="1" customHeight="1" outlineLevel="3">
      <c r="A466" s="542"/>
      <c r="B466" s="540"/>
      <c r="C466" s="522" t="s">
        <v>2550</v>
      </c>
      <c r="D466" s="531" t="s">
        <v>2170</v>
      </c>
      <c r="E466" s="532">
        <v>1001</v>
      </c>
      <c r="F466" s="533" t="s">
        <v>2800</v>
      </c>
      <c r="G466" s="542"/>
      <c r="H466" s="503" t="s">
        <v>1059</v>
      </c>
      <c r="I466" s="400" t="str">
        <f t="shared" ref="I466:I467" si="44">CONCATENATE(H466,"-",J466)</f>
        <v>D35P-1</v>
      </c>
      <c r="J466" s="507">
        <v>1</v>
      </c>
      <c r="K466" s="542"/>
      <c r="L466" s="526"/>
      <c r="M466" s="542"/>
      <c r="N466" s="397"/>
      <c r="O466" s="395" cm="1">
        <f t="array" ref="O466">IFERROR(_xlfn.IFS(R466=1,1,Q466=1,1,P466=1,1,S466=1,1),0)</f>
        <v>1</v>
      </c>
      <c r="P466" s="541"/>
      <c r="Q466" s="541"/>
      <c r="R466" s="526">
        <v>1</v>
      </c>
      <c r="S466" s="526"/>
      <c r="T466" s="395" cm="1">
        <f t="array" ref="T466">IFERROR(_xlfn.IFS(W466=1,1,V466=1,1,U466=1,1,X466=1,1),0)</f>
        <v>0</v>
      </c>
      <c r="U466" s="526"/>
      <c r="V466" s="526"/>
      <c r="W466" s="526"/>
      <c r="X466" s="526"/>
      <c r="BE466" s="542">
        <v>1</v>
      </c>
    </row>
    <row r="467" spans="1:57" s="535" customFormat="1" ht="12.75" hidden="1" customHeight="1" outlineLevel="3">
      <c r="A467" s="542"/>
      <c r="B467" s="540"/>
      <c r="C467" s="522" t="s">
        <v>2550</v>
      </c>
      <c r="D467" s="531" t="s">
        <v>2170</v>
      </c>
      <c r="E467" s="532">
        <v>9001</v>
      </c>
      <c r="F467" s="533" t="s">
        <v>2801</v>
      </c>
      <c r="G467" s="542"/>
      <c r="H467" s="503" t="s">
        <v>1059</v>
      </c>
      <c r="I467" s="400" t="str">
        <f t="shared" si="44"/>
        <v>D35P-1</v>
      </c>
      <c r="J467" s="507">
        <v>1</v>
      </c>
      <c r="K467" s="542"/>
      <c r="L467" s="526"/>
      <c r="M467" s="542"/>
      <c r="N467" s="397"/>
      <c r="O467" s="395" cm="1">
        <f t="array" ref="O467">IFERROR(_xlfn.IFS(R467=1,1,Q467=1,1,P467=1,1,S467=1,1),0)</f>
        <v>1</v>
      </c>
      <c r="P467" s="541"/>
      <c r="Q467" s="541"/>
      <c r="R467" s="526">
        <v>1</v>
      </c>
      <c r="S467" s="526"/>
      <c r="T467" s="395" cm="1">
        <f t="array" ref="T467">IFERROR(_xlfn.IFS(W467=1,1,V467=1,1,U467=1,1,X467=1,1),0)</f>
        <v>0</v>
      </c>
      <c r="U467" s="526"/>
      <c r="V467" s="526"/>
      <c r="W467" s="526"/>
      <c r="X467" s="526"/>
      <c r="BE467" s="542">
        <v>1</v>
      </c>
    </row>
    <row r="468" spans="1:57" s="541" customFormat="1" ht="3" hidden="1" customHeight="1" outlineLevel="1">
      <c r="A468" s="542"/>
      <c r="B468" s="540"/>
      <c r="C468" s="537"/>
      <c r="D468" s="538"/>
      <c r="E468" s="532"/>
      <c r="F468" s="533"/>
      <c r="G468" s="542"/>
      <c r="H468" s="503"/>
      <c r="I468" s="400"/>
      <c r="J468" s="507"/>
      <c r="K468" s="542"/>
      <c r="L468" s="393"/>
      <c r="M468" s="542"/>
      <c r="N468" s="397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BE468" s="542"/>
    </row>
    <row r="469" spans="1:57" s="541" customFormat="1" ht="12.75" hidden="1" customHeight="1" outlineLevel="1">
      <c r="A469" s="542"/>
      <c r="B469" s="460" t="s">
        <v>96</v>
      </c>
      <c r="C469" s="460" t="s">
        <v>97</v>
      </c>
      <c r="D469" s="460"/>
      <c r="E469" s="460"/>
      <c r="F469" s="460"/>
      <c r="G469" s="542"/>
      <c r="H469" s="503"/>
      <c r="I469" s="400"/>
      <c r="J469" s="507"/>
      <c r="K469" s="542"/>
      <c r="L469" s="393"/>
      <c r="M469" s="542"/>
      <c r="N469" s="397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BE469" s="542"/>
    </row>
    <row r="470" spans="1:57" s="541" customFormat="1" ht="3" hidden="1" customHeight="1" outlineLevel="2">
      <c r="A470" s="542"/>
      <c r="B470" s="540"/>
      <c r="C470" s="537"/>
      <c r="D470" s="538"/>
      <c r="E470" s="532"/>
      <c r="F470" s="533"/>
      <c r="G470" s="542"/>
      <c r="H470" s="503"/>
      <c r="I470" s="400"/>
      <c r="J470" s="507"/>
      <c r="K470" s="542"/>
      <c r="L470" s="393"/>
      <c r="M470" s="542"/>
      <c r="N470" s="397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BE470" s="542"/>
    </row>
    <row r="471" spans="1:57" s="541" customFormat="1" ht="12.75" hidden="1" customHeight="1" outlineLevel="2">
      <c r="A471" s="542"/>
      <c r="B471" s="540"/>
      <c r="C471" s="537" t="s">
        <v>2468</v>
      </c>
      <c r="D471" s="538"/>
      <c r="E471" s="532"/>
      <c r="F471" s="533"/>
      <c r="G471" s="542"/>
      <c r="H471" s="503"/>
      <c r="I471" s="400"/>
      <c r="J471" s="507"/>
      <c r="K471" s="542"/>
      <c r="L471" s="393"/>
      <c r="M471" s="542"/>
      <c r="N471" s="397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BE471" s="542"/>
    </row>
    <row r="472" spans="1:57" s="541" customFormat="1" ht="12.75" hidden="1" customHeight="1" outlineLevel="3">
      <c r="A472" s="542"/>
      <c r="B472" s="540"/>
      <c r="C472" s="537" t="s">
        <v>2469</v>
      </c>
      <c r="D472" s="538"/>
      <c r="E472" s="532"/>
      <c r="F472" s="533"/>
      <c r="G472" s="542"/>
      <c r="H472" s="503"/>
      <c r="I472" s="400"/>
      <c r="J472" s="507"/>
      <c r="K472" s="542"/>
      <c r="L472" s="393"/>
      <c r="M472" s="542"/>
      <c r="N472" s="397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BE472" s="542"/>
    </row>
    <row r="473" spans="1:57" s="541" customFormat="1" ht="12.75" hidden="1" customHeight="1" outlineLevel="3">
      <c r="A473" s="542"/>
      <c r="B473" s="540"/>
      <c r="C473" s="522" t="s">
        <v>2239</v>
      </c>
      <c r="D473" s="531" t="s">
        <v>2725</v>
      </c>
      <c r="E473" s="532">
        <v>4051</v>
      </c>
      <c r="F473" s="533" t="s">
        <v>2802</v>
      </c>
      <c r="G473" s="542"/>
      <c r="H473" s="503" t="s">
        <v>1060</v>
      </c>
      <c r="I473" s="400" t="str">
        <f t="shared" ref="I473:I482" si="45">CONCATENATE(H473,"-",J473)</f>
        <v>L22P-1</v>
      </c>
      <c r="J473" s="507">
        <v>1</v>
      </c>
      <c r="K473" s="542"/>
      <c r="L473" s="393"/>
      <c r="M473" s="542"/>
      <c r="N473" s="397"/>
      <c r="O473" s="395" cm="1">
        <f t="array" ref="O473">IFERROR(_xlfn.IFS(R473=1,1,Q473=1,1,P473=1,1,S473=1,1),0)</f>
        <v>1</v>
      </c>
      <c r="P473" s="526"/>
      <c r="Q473" s="526"/>
      <c r="R473" s="526">
        <v>1</v>
      </c>
      <c r="S473" s="526"/>
      <c r="T473" s="395" cm="1">
        <f t="array" ref="T473">IFERROR(_xlfn.IFS(W473=1,1,V473=1,1,U473=1,1,X473=1,1),0)</f>
        <v>0</v>
      </c>
      <c r="U473" s="526"/>
      <c r="V473" s="526"/>
      <c r="W473" s="526"/>
      <c r="X473" s="526"/>
      <c r="BE473" s="542">
        <v>1</v>
      </c>
    </row>
    <row r="474" spans="1:57" s="541" customFormat="1" ht="12.75" hidden="1" customHeight="1" outlineLevel="3">
      <c r="A474" s="542"/>
      <c r="B474" s="540"/>
      <c r="C474" s="522" t="s">
        <v>2239</v>
      </c>
      <c r="D474" s="531" t="s">
        <v>2725</v>
      </c>
      <c r="E474" s="532">
        <v>4061</v>
      </c>
      <c r="F474" s="533" t="s">
        <v>2803</v>
      </c>
      <c r="G474" s="542"/>
      <c r="H474" s="503" t="s">
        <v>1060</v>
      </c>
      <c r="I474" s="400" t="str">
        <f t="shared" si="45"/>
        <v>L22P-1</v>
      </c>
      <c r="J474" s="507">
        <v>1</v>
      </c>
      <c r="K474" s="542"/>
      <c r="L474" s="393"/>
      <c r="M474" s="542"/>
      <c r="N474" s="397"/>
      <c r="O474" s="395" cm="1">
        <f t="array" ref="O474">IFERROR(_xlfn.IFS(R474=1,1,Q474=1,1,P474=1,1,S474=1,1),0)</f>
        <v>1</v>
      </c>
      <c r="P474" s="526"/>
      <c r="Q474" s="526"/>
      <c r="R474" s="526">
        <v>1</v>
      </c>
      <c r="S474" s="526"/>
      <c r="T474" s="395" cm="1">
        <f t="array" ref="T474">IFERROR(_xlfn.IFS(W474=1,1,V474=1,1,U474=1,1,X474=1,1),0)</f>
        <v>0</v>
      </c>
      <c r="U474" s="526"/>
      <c r="V474" s="526"/>
      <c r="W474" s="526"/>
      <c r="X474" s="526"/>
      <c r="BE474" s="542">
        <v>1</v>
      </c>
    </row>
    <row r="475" spans="1:57" s="541" customFormat="1" ht="12.75" hidden="1" customHeight="1" outlineLevel="3">
      <c r="A475" s="542"/>
      <c r="B475" s="540"/>
      <c r="C475" s="522" t="s">
        <v>2239</v>
      </c>
      <c r="D475" s="531" t="s">
        <v>2725</v>
      </c>
      <c r="E475" s="532">
        <v>4071</v>
      </c>
      <c r="F475" s="533" t="s">
        <v>2804</v>
      </c>
      <c r="G475" s="542"/>
      <c r="H475" s="503" t="s">
        <v>1060</v>
      </c>
      <c r="I475" s="400" t="str">
        <f t="shared" si="45"/>
        <v>L22P-1</v>
      </c>
      <c r="J475" s="507">
        <v>1</v>
      </c>
      <c r="K475" s="542"/>
      <c r="L475" s="393"/>
      <c r="M475" s="542"/>
      <c r="N475" s="397"/>
      <c r="O475" s="395" cm="1">
        <f t="array" ref="O475">IFERROR(_xlfn.IFS(R475=1,1,Q475=1,1,P475=1,1,S475=1,1),0)</f>
        <v>1</v>
      </c>
      <c r="P475" s="526"/>
      <c r="Q475" s="526"/>
      <c r="R475" s="526">
        <v>1</v>
      </c>
      <c r="S475" s="526"/>
      <c r="T475" s="395" cm="1">
        <f t="array" ref="T475">IFERROR(_xlfn.IFS(W475=1,1,V475=1,1,U475=1,1,X475=1,1),0)</f>
        <v>0</v>
      </c>
      <c r="U475" s="526"/>
      <c r="V475" s="526"/>
      <c r="W475" s="526"/>
      <c r="X475" s="526"/>
      <c r="BE475" s="542">
        <v>1</v>
      </c>
    </row>
    <row r="476" spans="1:57" s="541" customFormat="1" ht="12.75" hidden="1" customHeight="1" outlineLevel="3">
      <c r="A476" s="542"/>
      <c r="B476" s="540"/>
      <c r="C476" s="522" t="s">
        <v>2239</v>
      </c>
      <c r="D476" s="531" t="s">
        <v>2725</v>
      </c>
      <c r="E476" s="532">
        <v>4081</v>
      </c>
      <c r="F476" s="533" t="s">
        <v>2805</v>
      </c>
      <c r="G476" s="542"/>
      <c r="H476" s="503" t="s">
        <v>1060</v>
      </c>
      <c r="I476" s="400" t="str">
        <f t="shared" si="45"/>
        <v>L22P-1</v>
      </c>
      <c r="J476" s="507">
        <v>1</v>
      </c>
      <c r="K476" s="542"/>
      <c r="L476" s="393"/>
      <c r="M476" s="542"/>
      <c r="N476" s="397"/>
      <c r="O476" s="395" cm="1">
        <f t="array" ref="O476">IFERROR(_xlfn.IFS(R476=1,1,Q476=1,1,P476=1,1,S476=1,1),0)</f>
        <v>1</v>
      </c>
      <c r="P476" s="526"/>
      <c r="Q476" s="526"/>
      <c r="R476" s="526">
        <v>1</v>
      </c>
      <c r="S476" s="526"/>
      <c r="T476" s="395" cm="1">
        <f t="array" ref="T476">IFERROR(_xlfn.IFS(W476=1,1,V476=1,1,U476=1,1,X476=1,1),0)</f>
        <v>0</v>
      </c>
      <c r="U476" s="526"/>
      <c r="V476" s="526"/>
      <c r="W476" s="526"/>
      <c r="X476" s="526"/>
      <c r="BE476" s="542">
        <v>1</v>
      </c>
    </row>
    <row r="477" spans="1:57" s="541" customFormat="1" ht="12.75" hidden="1" customHeight="1" outlineLevel="3">
      <c r="A477" s="542"/>
      <c r="B477" s="540"/>
      <c r="C477" s="522" t="s">
        <v>2239</v>
      </c>
      <c r="D477" s="531" t="s">
        <v>2725</v>
      </c>
      <c r="E477" s="532">
        <v>4091</v>
      </c>
      <c r="F477" s="533" t="s">
        <v>2806</v>
      </c>
      <c r="G477" s="542"/>
      <c r="H477" s="503" t="s">
        <v>1060</v>
      </c>
      <c r="I477" s="400" t="str">
        <f t="shared" si="45"/>
        <v>L22P-1</v>
      </c>
      <c r="J477" s="507">
        <v>1</v>
      </c>
      <c r="K477" s="542"/>
      <c r="L477" s="393"/>
      <c r="M477" s="542"/>
      <c r="N477" s="397"/>
      <c r="O477" s="395" cm="1">
        <f t="array" ref="O477">IFERROR(_xlfn.IFS(R477=1,1,Q477=1,1,P477=1,1,S477=1,1),0)</f>
        <v>1</v>
      </c>
      <c r="P477" s="526"/>
      <c r="Q477" s="526"/>
      <c r="R477" s="526">
        <v>1</v>
      </c>
      <c r="S477" s="526"/>
      <c r="T477" s="395" cm="1">
        <f t="array" ref="T477">IFERROR(_xlfn.IFS(W477=1,1,V477=1,1,U477=1,1,X477=1,1),0)</f>
        <v>0</v>
      </c>
      <c r="U477" s="526"/>
      <c r="V477" s="526"/>
      <c r="W477" s="526"/>
      <c r="X477" s="526"/>
      <c r="BE477" s="542">
        <v>1</v>
      </c>
    </row>
    <row r="478" spans="1:57" s="541" customFormat="1" ht="12.75" hidden="1" customHeight="1" outlineLevel="3">
      <c r="A478" s="542"/>
      <c r="B478" s="540"/>
      <c r="C478" s="522" t="s">
        <v>2239</v>
      </c>
      <c r="D478" s="531" t="s">
        <v>2725</v>
      </c>
      <c r="E478" s="532">
        <v>4101</v>
      </c>
      <c r="F478" s="533" t="s">
        <v>2807</v>
      </c>
      <c r="G478" s="542"/>
      <c r="H478" s="503" t="s">
        <v>1060</v>
      </c>
      <c r="I478" s="400" t="str">
        <f t="shared" si="45"/>
        <v>L22P-1</v>
      </c>
      <c r="J478" s="507">
        <v>1</v>
      </c>
      <c r="K478" s="542"/>
      <c r="L478" s="393"/>
      <c r="M478" s="542"/>
      <c r="N478" s="397"/>
      <c r="O478" s="395" cm="1">
        <f t="array" ref="O478">IFERROR(_xlfn.IFS(R478=1,1,Q478=1,1,P478=1,1,S478=1,1),0)</f>
        <v>1</v>
      </c>
      <c r="P478" s="526"/>
      <c r="Q478" s="526"/>
      <c r="R478" s="526">
        <v>1</v>
      </c>
      <c r="S478" s="526"/>
      <c r="T478" s="395" cm="1">
        <f t="array" ref="T478">IFERROR(_xlfn.IFS(W478=1,1,V478=1,1,U478=1,1,X478=1,1),0)</f>
        <v>0</v>
      </c>
      <c r="U478" s="526"/>
      <c r="V478" s="526"/>
      <c r="W478" s="526"/>
      <c r="X478" s="526"/>
      <c r="BE478" s="542">
        <v>1</v>
      </c>
    </row>
    <row r="479" spans="1:57" s="541" customFormat="1" ht="12.75" hidden="1" customHeight="1" outlineLevel="3">
      <c r="A479" s="542"/>
      <c r="B479" s="540"/>
      <c r="C479" s="522" t="s">
        <v>2239</v>
      </c>
      <c r="D479" s="531" t="s">
        <v>2725</v>
      </c>
      <c r="E479" s="532">
        <v>4105</v>
      </c>
      <c r="F479" s="533" t="s">
        <v>2808</v>
      </c>
      <c r="G479" s="542"/>
      <c r="H479" s="503" t="s">
        <v>1060</v>
      </c>
      <c r="I479" s="400" t="str">
        <f t="shared" si="45"/>
        <v>L22P-1</v>
      </c>
      <c r="J479" s="507">
        <v>1</v>
      </c>
      <c r="K479" s="542"/>
      <c r="L479" s="393"/>
      <c r="M479" s="542"/>
      <c r="N479" s="397"/>
      <c r="O479" s="395" cm="1">
        <f t="array" ref="O479">IFERROR(_xlfn.IFS(R479=1,1,Q479=1,1,P479=1,1,S479=1,1),0)</f>
        <v>1</v>
      </c>
      <c r="P479" s="526"/>
      <c r="Q479" s="526"/>
      <c r="R479" s="526">
        <v>1</v>
      </c>
      <c r="S479" s="526"/>
      <c r="T479" s="395" cm="1">
        <f t="array" ref="T479">IFERROR(_xlfn.IFS(W479=1,1,V479=1,1,U479=1,1,X479=1,1),0)</f>
        <v>0</v>
      </c>
      <c r="U479" s="526"/>
      <c r="V479" s="526"/>
      <c r="W479" s="526"/>
      <c r="X479" s="526"/>
      <c r="BE479" s="542">
        <v>1</v>
      </c>
    </row>
    <row r="480" spans="1:57" s="541" customFormat="1" ht="12.75" hidden="1" customHeight="1" outlineLevel="3">
      <c r="A480" s="542"/>
      <c r="B480" s="540"/>
      <c r="C480" s="522" t="s">
        <v>2239</v>
      </c>
      <c r="D480" s="531" t="s">
        <v>2725</v>
      </c>
      <c r="E480" s="532">
        <v>4111</v>
      </c>
      <c r="F480" s="533" t="s">
        <v>2809</v>
      </c>
      <c r="G480" s="542"/>
      <c r="H480" s="503" t="s">
        <v>1060</v>
      </c>
      <c r="I480" s="400" t="str">
        <f t="shared" si="45"/>
        <v>L22P-1</v>
      </c>
      <c r="J480" s="507">
        <v>1</v>
      </c>
      <c r="K480" s="542"/>
      <c r="L480" s="393"/>
      <c r="M480" s="542"/>
      <c r="N480" s="397"/>
      <c r="O480" s="395" cm="1">
        <f t="array" ref="O480">IFERROR(_xlfn.IFS(R480=1,1,Q480=1,1,P480=1,1,S480=1,1),0)</f>
        <v>1</v>
      </c>
      <c r="P480" s="526"/>
      <c r="Q480" s="526"/>
      <c r="R480" s="526">
        <v>1</v>
      </c>
      <c r="S480" s="526"/>
      <c r="T480" s="395" cm="1">
        <f t="array" ref="T480">IFERROR(_xlfn.IFS(W480=1,1,V480=1,1,U480=1,1,X480=1,1),0)</f>
        <v>0</v>
      </c>
      <c r="U480" s="526"/>
      <c r="V480" s="526"/>
      <c r="W480" s="526"/>
      <c r="X480" s="526"/>
      <c r="BE480" s="542">
        <v>1</v>
      </c>
    </row>
    <row r="481" spans="1:57" s="541" customFormat="1" ht="12.75" hidden="1" customHeight="1" outlineLevel="3">
      <c r="A481" s="542"/>
      <c r="B481" s="540"/>
      <c r="C481" s="522" t="s">
        <v>2239</v>
      </c>
      <c r="D481" s="531" t="s">
        <v>2170</v>
      </c>
      <c r="E481" s="532">
        <v>4115</v>
      </c>
      <c r="F481" s="533" t="s">
        <v>2810</v>
      </c>
      <c r="G481" s="542"/>
      <c r="H481" s="503" t="s">
        <v>1060</v>
      </c>
      <c r="I481" s="400" t="str">
        <f t="shared" si="45"/>
        <v>L22P-1</v>
      </c>
      <c r="J481" s="507">
        <v>1</v>
      </c>
      <c r="K481" s="542"/>
      <c r="L481" s="393"/>
      <c r="M481" s="542"/>
      <c r="N481" s="397"/>
      <c r="O481" s="395" cm="1">
        <f t="array" ref="O481">IFERROR(_xlfn.IFS(R481=1,1,Q481=1,1,P481=1,1,S481=1,1),0)</f>
        <v>1</v>
      </c>
      <c r="R481" s="526">
        <v>1</v>
      </c>
      <c r="S481" s="526"/>
      <c r="T481" s="395" cm="1">
        <f t="array" ref="T481">IFERROR(_xlfn.IFS(W481=1,1,V481=1,1,U481=1,1,X481=1,1),0)</f>
        <v>0</v>
      </c>
      <c r="U481" s="526"/>
      <c r="W481" s="526"/>
      <c r="X481" s="526"/>
      <c r="BE481" s="542">
        <v>1</v>
      </c>
    </row>
    <row r="482" spans="1:57" s="541" customFormat="1" ht="12.75" hidden="1" customHeight="1" outlineLevel="3">
      <c r="A482" s="542"/>
      <c r="C482" s="522" t="s">
        <v>2239</v>
      </c>
      <c r="D482" s="531" t="s">
        <v>2170</v>
      </c>
      <c r="E482" s="532"/>
      <c r="F482" s="533" t="s">
        <v>2720</v>
      </c>
      <c r="G482" s="542"/>
      <c r="H482" s="503" t="s">
        <v>1060</v>
      </c>
      <c r="I482" s="400" t="str">
        <f t="shared" si="45"/>
        <v>L22P-1</v>
      </c>
      <c r="J482" s="507">
        <v>1</v>
      </c>
      <c r="K482" s="542"/>
      <c r="L482" s="393"/>
      <c r="M482" s="542"/>
      <c r="N482" s="397"/>
      <c r="O482" s="395" cm="1">
        <f t="array" ref="O482">IFERROR(_xlfn.IFS(R482=1,1,Q482=1,1,P482=1,1,S482=1,1),0)</f>
        <v>1</v>
      </c>
      <c r="R482" s="526">
        <v>1</v>
      </c>
      <c r="S482" s="526"/>
      <c r="T482" s="395" cm="1">
        <f t="array" ref="T482">IFERROR(_xlfn.IFS(W482=1,1,V482=1,1,U482=1,1,X482=1,1),0)</f>
        <v>0</v>
      </c>
      <c r="U482" s="526"/>
      <c r="W482" s="526"/>
      <c r="X482" s="526"/>
      <c r="BE482" s="542"/>
    </row>
    <row r="483" spans="1:57" s="541" customFormat="1" ht="3" hidden="1" customHeight="1" outlineLevel="2">
      <c r="A483" s="542"/>
      <c r="C483" s="537"/>
      <c r="D483" s="538"/>
      <c r="E483" s="532"/>
      <c r="F483" s="533"/>
      <c r="G483" s="542"/>
      <c r="H483" s="503"/>
      <c r="I483" s="400"/>
      <c r="J483" s="507"/>
      <c r="K483" s="542"/>
      <c r="L483" s="393"/>
      <c r="M483" s="542"/>
      <c r="N483" s="397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BE483" s="542"/>
    </row>
    <row r="484" spans="1:57" s="541" customFormat="1" ht="12.75" hidden="1" customHeight="1" outlineLevel="2">
      <c r="A484" s="542"/>
      <c r="C484" s="537" t="s">
        <v>2513</v>
      </c>
      <c r="D484" s="538"/>
      <c r="E484" s="532"/>
      <c r="F484" s="533" t="s">
        <v>2514</v>
      </c>
      <c r="G484" s="542"/>
      <c r="H484" s="503"/>
      <c r="I484" s="400"/>
      <c r="J484" s="507"/>
      <c r="K484" s="542"/>
      <c r="L484" s="393"/>
      <c r="M484" s="542"/>
      <c r="N484" s="397"/>
      <c r="O484" s="395"/>
      <c r="P484" s="526"/>
      <c r="Q484" s="526"/>
      <c r="R484" s="526"/>
      <c r="S484" s="526"/>
      <c r="T484" s="395"/>
      <c r="U484" s="526"/>
      <c r="V484" s="526"/>
      <c r="W484" s="526"/>
      <c r="X484" s="526"/>
      <c r="BE484" s="542"/>
    </row>
    <row r="485" spans="1:57" s="541" customFormat="1" ht="3" hidden="1" customHeight="1" outlineLevel="2">
      <c r="A485" s="542"/>
      <c r="C485" s="537"/>
      <c r="D485" s="538"/>
      <c r="E485" s="532"/>
      <c r="F485" s="533"/>
      <c r="G485" s="542"/>
      <c r="H485" s="503"/>
      <c r="I485" s="400"/>
      <c r="J485" s="507"/>
      <c r="K485" s="542"/>
      <c r="L485" s="393"/>
      <c r="M485" s="542"/>
      <c r="N485" s="397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BE485" s="542"/>
    </row>
    <row r="486" spans="1:57" s="541" customFormat="1" ht="12.75" hidden="1" customHeight="1" outlineLevel="2">
      <c r="A486" s="542"/>
      <c r="C486" s="537" t="s">
        <v>2462</v>
      </c>
      <c r="D486" s="538"/>
      <c r="E486" s="532"/>
      <c r="F486" s="533"/>
      <c r="G486" s="542"/>
      <c r="H486" s="503"/>
      <c r="I486" s="400"/>
      <c r="J486" s="507"/>
      <c r="K486" s="542"/>
      <c r="L486" s="393"/>
      <c r="M486" s="542"/>
      <c r="N486" s="397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BE486" s="542"/>
    </row>
    <row r="487" spans="1:57" s="541" customFormat="1" ht="12.75" hidden="1" customHeight="1" outlineLevel="3">
      <c r="A487" s="542"/>
      <c r="C487" s="522" t="s">
        <v>2462</v>
      </c>
      <c r="D487" s="531" t="s">
        <v>2725</v>
      </c>
      <c r="E487" s="532" t="s">
        <v>2745</v>
      </c>
      <c r="F487" s="533" t="s">
        <v>2811</v>
      </c>
      <c r="G487" s="542"/>
      <c r="H487" s="503" t="s">
        <v>1060</v>
      </c>
      <c r="I487" s="400" t="str">
        <f t="shared" ref="I487:I488" si="46">CONCATENATE(H487,"-",J487)</f>
        <v>L22P-1</v>
      </c>
      <c r="J487" s="507">
        <v>1</v>
      </c>
      <c r="K487" s="542"/>
      <c r="L487" s="393"/>
      <c r="M487" s="542"/>
      <c r="N487" s="397"/>
      <c r="O487" s="395" cm="1">
        <f t="array" ref="O487">IFERROR(_xlfn.IFS(R487=1,1,Q487=1,1,P487=1,1,S487=1,1),0)</f>
        <v>1</v>
      </c>
      <c r="P487" s="526"/>
      <c r="Q487" s="526"/>
      <c r="R487" s="526">
        <v>1</v>
      </c>
      <c r="S487" s="526"/>
      <c r="T487" s="395" cm="1">
        <f t="array" ref="T487">IFERROR(_xlfn.IFS(W487=1,1,V487=1,1,U487=1,1,X487=1,1),0)</f>
        <v>0</v>
      </c>
      <c r="U487" s="526"/>
      <c r="V487" s="526"/>
      <c r="W487" s="526"/>
      <c r="X487" s="526"/>
      <c r="BE487" s="542">
        <v>1</v>
      </c>
    </row>
    <row r="488" spans="1:57" s="541" customFormat="1" ht="12.75" hidden="1" customHeight="1" outlineLevel="3">
      <c r="A488" s="542"/>
      <c r="C488" s="522" t="s">
        <v>2462</v>
      </c>
      <c r="D488" s="531" t="s">
        <v>2725</v>
      </c>
      <c r="E488" s="532" t="s">
        <v>2763</v>
      </c>
      <c r="F488" s="533" t="s">
        <v>2812</v>
      </c>
      <c r="G488" s="542"/>
      <c r="H488" s="503" t="s">
        <v>1060</v>
      </c>
      <c r="I488" s="400" t="str">
        <f t="shared" si="46"/>
        <v>L22P-1</v>
      </c>
      <c r="J488" s="507">
        <v>1</v>
      </c>
      <c r="K488" s="542"/>
      <c r="L488" s="393"/>
      <c r="M488" s="542"/>
      <c r="N488" s="397"/>
      <c r="O488" s="395" cm="1">
        <f t="array" ref="O488">IFERROR(_xlfn.IFS(R488=1,1,Q488=1,1,P488=1,1,S488=1,1),0)</f>
        <v>1</v>
      </c>
      <c r="P488" s="526"/>
      <c r="Q488" s="526"/>
      <c r="R488" s="526">
        <v>1</v>
      </c>
      <c r="S488" s="526"/>
      <c r="T488" s="395" cm="1">
        <f t="array" ref="T488">IFERROR(_xlfn.IFS(W488=1,1,V488=1,1,U488=1,1,X488=1,1),0)</f>
        <v>0</v>
      </c>
      <c r="U488" s="526"/>
      <c r="V488" s="526"/>
      <c r="W488" s="526"/>
      <c r="X488" s="526"/>
      <c r="BE488" s="542">
        <v>1</v>
      </c>
    </row>
    <row r="489" spans="1:57" s="541" customFormat="1" ht="3" hidden="1" customHeight="1" outlineLevel="2">
      <c r="A489" s="542"/>
      <c r="C489" s="537"/>
      <c r="D489" s="538"/>
      <c r="E489" s="532"/>
      <c r="F489" s="533"/>
      <c r="G489" s="542"/>
      <c r="H489" s="503"/>
      <c r="I489" s="400"/>
      <c r="J489" s="507"/>
      <c r="K489" s="542"/>
      <c r="L489" s="393"/>
      <c r="M489" s="542"/>
      <c r="N489" s="397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BE489" s="542"/>
    </row>
    <row r="490" spans="1:57" s="541" customFormat="1" ht="12.75" hidden="1" customHeight="1" outlineLevel="2">
      <c r="A490" s="542"/>
      <c r="C490" s="537" t="s">
        <v>2676</v>
      </c>
      <c r="D490" s="538"/>
      <c r="E490" s="532"/>
      <c r="F490" s="533"/>
      <c r="G490" s="542"/>
      <c r="H490" s="503"/>
      <c r="I490" s="400"/>
      <c r="J490" s="507"/>
      <c r="K490" s="542"/>
      <c r="L490" s="393"/>
      <c r="M490" s="542"/>
      <c r="N490" s="397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BE490" s="542"/>
    </row>
    <row r="491" spans="1:57" s="541" customFormat="1" ht="12.75" hidden="1" customHeight="1" outlineLevel="3">
      <c r="A491" s="542"/>
      <c r="C491" s="522" t="s">
        <v>2516</v>
      </c>
      <c r="D491" s="531" t="s">
        <v>2725</v>
      </c>
      <c r="E491" s="532">
        <v>4051</v>
      </c>
      <c r="F491" s="533" t="s">
        <v>2726</v>
      </c>
      <c r="G491" s="542"/>
      <c r="H491" s="503" t="s">
        <v>1060</v>
      </c>
      <c r="I491" s="400" t="str">
        <f t="shared" ref="I491:I501" si="47">CONCATENATE(H491,"-",J491)</f>
        <v>L22P-1</v>
      </c>
      <c r="J491" s="507">
        <v>1</v>
      </c>
      <c r="K491" s="542"/>
      <c r="L491" s="393"/>
      <c r="M491" s="542"/>
      <c r="N491" s="397"/>
      <c r="O491" s="395" cm="1">
        <f t="array" ref="O491">IFERROR(_xlfn.IFS(R491=1,1,Q491=1,1,P491=1,1,S491=1,1),0)</f>
        <v>1</v>
      </c>
      <c r="P491" s="526"/>
      <c r="Q491" s="526"/>
      <c r="R491" s="526">
        <v>1</v>
      </c>
      <c r="S491" s="526"/>
      <c r="T491" s="395" cm="1">
        <f t="array" ref="T491">IFERROR(_xlfn.IFS(W491=1,1,V491=1,1,U491=1,1,X491=1,1),0)</f>
        <v>0</v>
      </c>
      <c r="U491" s="526"/>
      <c r="V491" s="526"/>
      <c r="W491" s="526"/>
      <c r="X491" s="526"/>
      <c r="BE491" s="542">
        <v>1</v>
      </c>
    </row>
    <row r="492" spans="1:57" s="541" customFormat="1" ht="12.75" hidden="1" customHeight="1" outlineLevel="3">
      <c r="A492" s="542"/>
      <c r="C492" s="522" t="s">
        <v>2516</v>
      </c>
      <c r="D492" s="531" t="s">
        <v>2725</v>
      </c>
      <c r="E492" s="532">
        <v>4061</v>
      </c>
      <c r="F492" s="533" t="s">
        <v>2727</v>
      </c>
      <c r="G492" s="542"/>
      <c r="H492" s="503" t="s">
        <v>1060</v>
      </c>
      <c r="I492" s="400" t="str">
        <f t="shared" si="47"/>
        <v>L22P-1</v>
      </c>
      <c r="J492" s="507">
        <v>1</v>
      </c>
      <c r="K492" s="542"/>
      <c r="L492" s="393"/>
      <c r="M492" s="542"/>
      <c r="N492" s="397"/>
      <c r="O492" s="395" cm="1">
        <f t="array" ref="O492">IFERROR(_xlfn.IFS(R492=1,1,Q492=1,1,P492=1,1,S492=1,1),0)</f>
        <v>1</v>
      </c>
      <c r="P492" s="526"/>
      <c r="Q492" s="526"/>
      <c r="R492" s="526">
        <v>1</v>
      </c>
      <c r="S492" s="526"/>
      <c r="T492" s="395" cm="1">
        <f t="array" ref="T492">IFERROR(_xlfn.IFS(W492=1,1,V492=1,1,U492=1,1,X492=1,1),0)</f>
        <v>0</v>
      </c>
      <c r="U492" s="526"/>
      <c r="V492" s="526"/>
      <c r="W492" s="526"/>
      <c r="X492" s="526"/>
      <c r="BE492" s="542">
        <v>1</v>
      </c>
    </row>
    <row r="493" spans="1:57" s="541" customFormat="1" ht="12.75" hidden="1" customHeight="1" outlineLevel="3">
      <c r="A493" s="542"/>
      <c r="C493" s="522" t="s">
        <v>2516</v>
      </c>
      <c r="D493" s="531" t="s">
        <v>2725</v>
      </c>
      <c r="E493" s="532">
        <v>4071</v>
      </c>
      <c r="F493" s="533" t="s">
        <v>2728</v>
      </c>
      <c r="G493" s="542"/>
      <c r="H493" s="503" t="s">
        <v>1060</v>
      </c>
      <c r="I493" s="400" t="str">
        <f t="shared" si="47"/>
        <v>L22P-1</v>
      </c>
      <c r="J493" s="507">
        <v>1</v>
      </c>
      <c r="K493" s="542"/>
      <c r="L493" s="393"/>
      <c r="M493" s="542"/>
      <c r="N493" s="397"/>
      <c r="O493" s="395" cm="1">
        <f t="array" ref="O493">IFERROR(_xlfn.IFS(R493=1,1,Q493=1,1,P493=1,1,S493=1,1),0)</f>
        <v>1</v>
      </c>
      <c r="P493" s="526"/>
      <c r="Q493" s="526"/>
      <c r="R493" s="526">
        <v>1</v>
      </c>
      <c r="S493" s="526"/>
      <c r="T493" s="395" cm="1">
        <f t="array" ref="T493">IFERROR(_xlfn.IFS(W493=1,1,V493=1,1,U493=1,1,X493=1,1),0)</f>
        <v>0</v>
      </c>
      <c r="U493" s="526"/>
      <c r="V493" s="526"/>
      <c r="W493" s="526"/>
      <c r="X493" s="526"/>
      <c r="BE493" s="542">
        <v>1</v>
      </c>
    </row>
    <row r="494" spans="1:57" s="541" customFormat="1" ht="12.75" hidden="1" customHeight="1" outlineLevel="3">
      <c r="A494" s="542"/>
      <c r="C494" s="522" t="s">
        <v>2516</v>
      </c>
      <c r="D494" s="531" t="s">
        <v>2725</v>
      </c>
      <c r="E494" s="532">
        <v>4081</v>
      </c>
      <c r="F494" s="533" t="s">
        <v>2729</v>
      </c>
      <c r="G494" s="542"/>
      <c r="H494" s="503" t="s">
        <v>1060</v>
      </c>
      <c r="I494" s="400" t="str">
        <f t="shared" si="47"/>
        <v>L22P-1</v>
      </c>
      <c r="J494" s="507">
        <v>1</v>
      </c>
      <c r="K494" s="542"/>
      <c r="L494" s="393"/>
      <c r="M494" s="542"/>
      <c r="N494" s="397"/>
      <c r="O494" s="395" cm="1">
        <f t="array" ref="O494">IFERROR(_xlfn.IFS(R494=1,1,Q494=1,1,P494=1,1,S494=1,1),0)</f>
        <v>1</v>
      </c>
      <c r="P494" s="526"/>
      <c r="Q494" s="526"/>
      <c r="R494" s="526">
        <v>1</v>
      </c>
      <c r="S494" s="526"/>
      <c r="T494" s="395" cm="1">
        <f t="array" ref="T494">IFERROR(_xlfn.IFS(W494=1,1,V494=1,1,U494=1,1,X494=1,1),0)</f>
        <v>0</v>
      </c>
      <c r="U494" s="526"/>
      <c r="V494" s="526"/>
      <c r="W494" s="526"/>
      <c r="X494" s="526"/>
      <c r="BE494" s="542">
        <v>1</v>
      </c>
    </row>
    <row r="495" spans="1:57" s="541" customFormat="1" ht="12.75" hidden="1" customHeight="1" outlineLevel="3">
      <c r="A495" s="542"/>
      <c r="C495" s="522" t="s">
        <v>2516</v>
      </c>
      <c r="D495" s="531" t="s">
        <v>2725</v>
      </c>
      <c r="E495" s="532">
        <v>4091</v>
      </c>
      <c r="F495" s="533" t="s">
        <v>2730</v>
      </c>
      <c r="G495" s="542"/>
      <c r="H495" s="503" t="s">
        <v>1060</v>
      </c>
      <c r="I495" s="400" t="str">
        <f t="shared" si="47"/>
        <v>L22P-1</v>
      </c>
      <c r="J495" s="507">
        <v>1</v>
      </c>
      <c r="K495" s="542"/>
      <c r="L495" s="393"/>
      <c r="M495" s="542"/>
      <c r="N495" s="397"/>
      <c r="O495" s="395" cm="1">
        <f t="array" ref="O495">IFERROR(_xlfn.IFS(R495=1,1,Q495=1,1,P495=1,1,S495=1,1),0)</f>
        <v>1</v>
      </c>
      <c r="P495" s="526"/>
      <c r="Q495" s="526"/>
      <c r="R495" s="526">
        <v>1</v>
      </c>
      <c r="S495" s="526"/>
      <c r="T495" s="395" cm="1">
        <f t="array" ref="T495">IFERROR(_xlfn.IFS(W495=1,1,V495=1,1,U495=1,1,X495=1,1),0)</f>
        <v>0</v>
      </c>
      <c r="U495" s="526"/>
      <c r="V495" s="526"/>
      <c r="W495" s="526"/>
      <c r="X495" s="526"/>
      <c r="BE495" s="542">
        <v>1</v>
      </c>
    </row>
    <row r="496" spans="1:57" s="541" customFormat="1" ht="12.75" hidden="1" customHeight="1" outlineLevel="3">
      <c r="A496" s="542"/>
      <c r="C496" s="522" t="s">
        <v>2516</v>
      </c>
      <c r="D496" s="531" t="s">
        <v>2725</v>
      </c>
      <c r="E496" s="532">
        <v>4101</v>
      </c>
      <c r="F496" s="533" t="s">
        <v>2731</v>
      </c>
      <c r="G496" s="542"/>
      <c r="H496" s="503" t="s">
        <v>1060</v>
      </c>
      <c r="I496" s="400" t="str">
        <f t="shared" si="47"/>
        <v>L22P-1</v>
      </c>
      <c r="J496" s="507">
        <v>1</v>
      </c>
      <c r="K496" s="542"/>
      <c r="L496" s="393"/>
      <c r="M496" s="542"/>
      <c r="N496" s="397"/>
      <c r="O496" s="395" cm="1">
        <f t="array" ref="O496">IFERROR(_xlfn.IFS(R496=1,1,Q496=1,1,P496=1,1,S496=1,1),0)</f>
        <v>1</v>
      </c>
      <c r="P496" s="526"/>
      <c r="Q496" s="526"/>
      <c r="R496" s="526">
        <v>1</v>
      </c>
      <c r="S496" s="526"/>
      <c r="T496" s="395" cm="1">
        <f t="array" ref="T496">IFERROR(_xlfn.IFS(W496=1,1,V496=1,1,U496=1,1,X496=1,1),0)</f>
        <v>0</v>
      </c>
      <c r="U496" s="526"/>
      <c r="V496" s="526"/>
      <c r="W496" s="526"/>
      <c r="X496" s="526"/>
      <c r="BE496" s="542">
        <v>1</v>
      </c>
    </row>
    <row r="497" spans="1:57" s="541" customFormat="1" ht="12.75" hidden="1" customHeight="1" outlineLevel="3">
      <c r="A497" s="542"/>
      <c r="C497" s="522" t="s">
        <v>2516</v>
      </c>
      <c r="D497" s="531" t="s">
        <v>2725</v>
      </c>
      <c r="E497" s="532">
        <v>4101</v>
      </c>
      <c r="F497" s="533" t="s">
        <v>2732</v>
      </c>
      <c r="G497" s="542"/>
      <c r="H497" s="503" t="s">
        <v>1060</v>
      </c>
      <c r="I497" s="400" t="str">
        <f t="shared" si="47"/>
        <v>L22P-1</v>
      </c>
      <c r="J497" s="507">
        <v>1</v>
      </c>
      <c r="K497" s="542"/>
      <c r="L497" s="393"/>
      <c r="M497" s="542"/>
      <c r="N497" s="397"/>
      <c r="O497" s="395" cm="1">
        <f t="array" ref="O497">IFERROR(_xlfn.IFS(R497=1,1,Q497=1,1,P497=1,1,S497=1,1),0)</f>
        <v>1</v>
      </c>
      <c r="P497" s="526"/>
      <c r="Q497" s="526"/>
      <c r="R497" s="526">
        <v>1</v>
      </c>
      <c r="S497" s="526"/>
      <c r="T497" s="395" cm="1">
        <f t="array" ref="T497">IFERROR(_xlfn.IFS(W497=1,1,V497=1,1,U497=1,1,X497=1,1),0)</f>
        <v>0</v>
      </c>
      <c r="U497" s="526"/>
      <c r="V497" s="526"/>
      <c r="W497" s="526"/>
      <c r="X497" s="526"/>
      <c r="BE497" s="542">
        <v>1</v>
      </c>
    </row>
    <row r="498" spans="1:57" s="541" customFormat="1" ht="12.75" hidden="1" customHeight="1" outlineLevel="3">
      <c r="A498" s="542"/>
      <c r="B498" s="540"/>
      <c r="C498" s="522" t="s">
        <v>2516</v>
      </c>
      <c r="D498" s="531" t="s">
        <v>2725</v>
      </c>
      <c r="E498" s="532">
        <v>4111</v>
      </c>
      <c r="F498" s="533" t="s">
        <v>2733</v>
      </c>
      <c r="G498" s="542"/>
      <c r="H498" s="503" t="s">
        <v>1060</v>
      </c>
      <c r="I498" s="400" t="str">
        <f t="shared" si="47"/>
        <v>L22P-1</v>
      </c>
      <c r="J498" s="507">
        <v>1</v>
      </c>
      <c r="K498" s="542"/>
      <c r="L498" s="393"/>
      <c r="M498" s="542"/>
      <c r="N498" s="397"/>
      <c r="O498" s="395" cm="1">
        <f t="array" ref="O498">IFERROR(_xlfn.IFS(R498=1,1,Q498=1,1,P498=1,1,S498=1,1),0)</f>
        <v>1</v>
      </c>
      <c r="P498" s="526"/>
      <c r="Q498" s="526"/>
      <c r="R498" s="526">
        <v>1</v>
      </c>
      <c r="S498" s="526"/>
      <c r="T498" s="395" cm="1">
        <f t="array" ref="T498">IFERROR(_xlfn.IFS(W498=1,1,V498=1,1,U498=1,1,X498=1,1),0)</f>
        <v>0</v>
      </c>
      <c r="U498" s="526"/>
      <c r="V498" s="526"/>
      <c r="W498" s="526"/>
      <c r="X498" s="526"/>
      <c r="BE498" s="542">
        <v>1</v>
      </c>
    </row>
    <row r="499" spans="1:57" s="541" customFormat="1" ht="12.75" hidden="1" customHeight="1" outlineLevel="3">
      <c r="A499" s="542"/>
      <c r="B499" s="540"/>
      <c r="C499" s="522" t="s">
        <v>2516</v>
      </c>
      <c r="D499" s="531" t="s">
        <v>2725</v>
      </c>
      <c r="E499" s="532">
        <v>4111</v>
      </c>
      <c r="F499" s="533" t="s">
        <v>2734</v>
      </c>
      <c r="G499" s="542"/>
      <c r="H499" s="503" t="s">
        <v>1060</v>
      </c>
      <c r="I499" s="400" t="str">
        <f t="shared" si="47"/>
        <v>L22P-1</v>
      </c>
      <c r="J499" s="507">
        <v>1</v>
      </c>
      <c r="K499" s="542"/>
      <c r="L499" s="393"/>
      <c r="M499" s="542"/>
      <c r="N499" s="397"/>
      <c r="O499" s="395" cm="1">
        <f t="array" ref="O499">IFERROR(_xlfn.IFS(R499=1,1,Q499=1,1,P499=1,1,S499=1,1),0)</f>
        <v>1</v>
      </c>
      <c r="P499" s="526"/>
      <c r="Q499" s="526"/>
      <c r="R499" s="526">
        <v>1</v>
      </c>
      <c r="S499" s="526"/>
      <c r="T499" s="395" cm="1">
        <f t="array" ref="T499">IFERROR(_xlfn.IFS(W499=1,1,V499=1,1,U499=1,1,X499=1,1),0)</f>
        <v>0</v>
      </c>
      <c r="U499" s="526"/>
      <c r="V499" s="526"/>
      <c r="W499" s="526"/>
      <c r="X499" s="526"/>
      <c r="BE499" s="542">
        <v>1</v>
      </c>
    </row>
    <row r="500" spans="1:57" s="541" customFormat="1" ht="12.75" hidden="1" customHeight="1" outlineLevel="3">
      <c r="A500" s="542"/>
      <c r="B500" s="540"/>
      <c r="C500" s="522" t="s">
        <v>2516</v>
      </c>
      <c r="D500" s="531" t="s">
        <v>2725</v>
      </c>
      <c r="E500" s="532">
        <v>1015</v>
      </c>
      <c r="F500" s="533" t="s">
        <v>2735</v>
      </c>
      <c r="G500" s="542"/>
      <c r="H500" s="503" t="s">
        <v>1060</v>
      </c>
      <c r="I500" s="400" t="str">
        <f t="shared" si="47"/>
        <v>L22P-1</v>
      </c>
      <c r="J500" s="507">
        <v>1</v>
      </c>
      <c r="K500" s="542"/>
      <c r="L500" s="393"/>
      <c r="M500" s="542"/>
      <c r="N500" s="397"/>
      <c r="O500" s="395" cm="1">
        <f t="array" ref="O500">IFERROR(_xlfn.IFS(R500=1,1,Q500=1,1,P500=1,1,S500=1,1),0)</f>
        <v>1</v>
      </c>
      <c r="P500" s="526"/>
      <c r="Q500" s="526"/>
      <c r="R500" s="526">
        <v>1</v>
      </c>
      <c r="S500" s="526"/>
      <c r="T500" s="395" cm="1">
        <f t="array" ref="T500">IFERROR(_xlfn.IFS(W500=1,1,V500=1,1,U500=1,1,X500=1,1),0)</f>
        <v>0</v>
      </c>
      <c r="U500" s="526"/>
      <c r="V500" s="526"/>
      <c r="W500" s="526"/>
      <c r="X500" s="526"/>
      <c r="BE500" s="542">
        <v>1</v>
      </c>
    </row>
    <row r="501" spans="1:57" s="541" customFormat="1" ht="12.75" hidden="1" customHeight="1" outlineLevel="3">
      <c r="A501" s="542"/>
      <c r="B501" s="540"/>
      <c r="C501" s="522" t="s">
        <v>2516</v>
      </c>
      <c r="D501" s="531" t="s">
        <v>2725</v>
      </c>
      <c r="E501" s="532">
        <v>1017</v>
      </c>
      <c r="F501" s="533" t="s">
        <v>2736</v>
      </c>
      <c r="G501" s="542"/>
      <c r="H501" s="503" t="s">
        <v>1060</v>
      </c>
      <c r="I501" s="400" t="str">
        <f t="shared" si="47"/>
        <v>L22P-1</v>
      </c>
      <c r="J501" s="507">
        <v>1</v>
      </c>
      <c r="K501" s="542"/>
      <c r="L501" s="393"/>
      <c r="M501" s="542"/>
      <c r="N501" s="397"/>
      <c r="O501" s="395" cm="1">
        <f t="array" ref="O501">IFERROR(_xlfn.IFS(R501=1,1,Q501=1,1,P501=1,1,S501=1,1),0)</f>
        <v>1</v>
      </c>
      <c r="P501" s="526"/>
      <c r="Q501" s="526"/>
      <c r="R501" s="526">
        <v>1</v>
      </c>
      <c r="S501" s="526"/>
      <c r="T501" s="395" cm="1">
        <f t="array" ref="T501">IFERROR(_xlfn.IFS(W501=1,1,V501=1,1,U501=1,1,X501=1,1),0)</f>
        <v>0</v>
      </c>
      <c r="U501" s="526"/>
      <c r="V501" s="526"/>
      <c r="W501" s="526"/>
      <c r="X501" s="526"/>
      <c r="BE501" s="542">
        <v>1</v>
      </c>
    </row>
    <row r="502" spans="1:57" s="541" customFormat="1" ht="3" hidden="1" customHeight="1" outlineLevel="2">
      <c r="A502" s="542"/>
      <c r="B502" s="540"/>
      <c r="C502" s="537"/>
      <c r="D502" s="538"/>
      <c r="E502" s="532"/>
      <c r="F502" s="533"/>
      <c r="G502" s="542"/>
      <c r="H502" s="503"/>
      <c r="I502" s="400"/>
      <c r="J502" s="507"/>
      <c r="K502" s="542"/>
      <c r="L502" s="393"/>
      <c r="M502" s="542"/>
      <c r="N502" s="397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BE502" s="542"/>
    </row>
    <row r="503" spans="1:57" s="541" customFormat="1" ht="12.75" hidden="1" customHeight="1" outlineLevel="2">
      <c r="A503" s="542"/>
      <c r="B503" s="540"/>
      <c r="C503" s="537" t="s">
        <v>2549</v>
      </c>
      <c r="D503" s="538"/>
      <c r="E503" s="532"/>
      <c r="F503" s="533"/>
      <c r="G503" s="542"/>
      <c r="H503" s="503"/>
      <c r="I503" s="400"/>
      <c r="J503" s="507"/>
      <c r="K503" s="542"/>
      <c r="L503" s="393"/>
      <c r="M503" s="542"/>
      <c r="N503" s="397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BE503" s="542"/>
    </row>
    <row r="504" spans="1:57" s="535" customFormat="1" ht="12.75" hidden="1" customHeight="1" outlineLevel="3">
      <c r="A504" s="542"/>
      <c r="B504" s="540"/>
      <c r="C504" s="522" t="s">
        <v>2550</v>
      </c>
      <c r="D504" s="531" t="s">
        <v>2170</v>
      </c>
      <c r="E504" s="532">
        <v>1001</v>
      </c>
      <c r="F504" s="533" t="s">
        <v>2813</v>
      </c>
      <c r="G504" s="542"/>
      <c r="H504" s="503" t="s">
        <v>1060</v>
      </c>
      <c r="I504" s="400" t="str">
        <f t="shared" ref="I504:I505" si="48">CONCATENATE(H504,"-",J504)</f>
        <v>L22P-1</v>
      </c>
      <c r="J504" s="507">
        <v>1</v>
      </c>
      <c r="K504" s="542"/>
      <c r="L504" s="526"/>
      <c r="M504" s="542"/>
      <c r="N504" s="397"/>
      <c r="O504" s="395" cm="1">
        <f t="array" ref="O504">IFERROR(_xlfn.IFS(R504=1,1,Q504=1,1,P504=1,1,S504=1,1),0)</f>
        <v>1</v>
      </c>
      <c r="P504" s="541"/>
      <c r="Q504" s="541"/>
      <c r="R504" s="526">
        <v>1</v>
      </c>
      <c r="S504" s="526"/>
      <c r="T504" s="395" cm="1">
        <f t="array" ref="T504">IFERROR(_xlfn.IFS(W504=1,1,V504=1,1,U504=1,1,X504=1,1),0)</f>
        <v>0</v>
      </c>
      <c r="U504" s="526"/>
      <c r="V504" s="526"/>
      <c r="W504" s="526"/>
      <c r="X504" s="526"/>
      <c r="BE504" s="542">
        <v>1</v>
      </c>
    </row>
    <row r="505" spans="1:57" s="535" customFormat="1" ht="12.75" hidden="1" customHeight="1" outlineLevel="3">
      <c r="A505" s="542"/>
      <c r="B505" s="540"/>
      <c r="C505" s="522" t="s">
        <v>2550</v>
      </c>
      <c r="D505" s="531" t="s">
        <v>2170</v>
      </c>
      <c r="E505" s="532">
        <v>9001</v>
      </c>
      <c r="F505" s="533" t="s">
        <v>2814</v>
      </c>
      <c r="G505" s="542"/>
      <c r="H505" s="503" t="s">
        <v>1060</v>
      </c>
      <c r="I505" s="400" t="str">
        <f t="shared" si="48"/>
        <v>L22P-1</v>
      </c>
      <c r="J505" s="507">
        <v>1</v>
      </c>
      <c r="K505" s="542"/>
      <c r="L505" s="526"/>
      <c r="M505" s="542"/>
      <c r="N505" s="397"/>
      <c r="O505" s="395" cm="1">
        <f t="array" ref="O505">IFERROR(_xlfn.IFS(R505=1,1,Q505=1,1,P505=1,1,S505=1,1),0)</f>
        <v>1</v>
      </c>
      <c r="P505" s="541"/>
      <c r="Q505" s="541"/>
      <c r="R505" s="526">
        <v>1</v>
      </c>
      <c r="S505" s="526"/>
      <c r="T505" s="395" cm="1">
        <f t="array" ref="T505">IFERROR(_xlfn.IFS(W505=1,1,V505=1,1,U505=1,1,X505=1,1),0)</f>
        <v>0</v>
      </c>
      <c r="U505" s="526"/>
      <c r="V505" s="526"/>
      <c r="W505" s="526"/>
      <c r="X505" s="526"/>
      <c r="BE505" s="542">
        <v>1</v>
      </c>
    </row>
    <row r="506" spans="1:57" s="541" customFormat="1" ht="3" hidden="1" customHeight="1">
      <c r="A506" s="542"/>
      <c r="B506" s="540"/>
      <c r="C506" s="537"/>
      <c r="D506" s="538"/>
      <c r="E506" s="532"/>
      <c r="F506" s="533"/>
      <c r="G506" s="542"/>
      <c r="H506" s="503"/>
      <c r="I506" s="400"/>
      <c r="J506" s="507"/>
      <c r="K506" s="542"/>
      <c r="L506" s="393"/>
      <c r="M506" s="542"/>
      <c r="N506" s="397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BE506" s="542"/>
    </row>
    <row r="507" spans="1:57" s="536" customFormat="1" ht="12.75" hidden="1" customHeight="1">
      <c r="A507" s="392"/>
      <c r="B507" s="466" t="s">
        <v>25</v>
      </c>
      <c r="C507" s="491"/>
      <c r="D507" s="491"/>
      <c r="E507" s="528"/>
      <c r="F507" s="493"/>
      <c r="G507" s="392"/>
      <c r="H507" s="493"/>
      <c r="I507" s="493"/>
      <c r="J507" s="493"/>
      <c r="K507" s="392"/>
      <c r="L507" s="493"/>
      <c r="M507" s="392"/>
      <c r="N507" s="493"/>
      <c r="O507" s="493"/>
      <c r="P507" s="493"/>
      <c r="Q507" s="493"/>
      <c r="R507" s="493"/>
      <c r="S507" s="493"/>
      <c r="T507" s="493"/>
      <c r="U507" s="493"/>
      <c r="V507" s="493"/>
      <c r="W507" s="493"/>
      <c r="X507" s="493"/>
      <c r="BE507" s="392" t="s">
        <v>181</v>
      </c>
    </row>
    <row r="508" spans="1:57" s="536" customFormat="1" ht="3" hidden="1" customHeight="1" outlineLevel="1">
      <c r="A508" s="507"/>
      <c r="B508" s="540"/>
      <c r="C508" s="537"/>
      <c r="D508" s="538"/>
      <c r="E508" s="532"/>
      <c r="F508" s="533"/>
      <c r="G508" s="507"/>
      <c r="H508" s="503"/>
      <c r="I508" s="400"/>
      <c r="J508" s="507"/>
      <c r="K508" s="507"/>
      <c r="L508" s="525"/>
      <c r="M508" s="507"/>
      <c r="N508" s="397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BE508" s="507"/>
    </row>
    <row r="509" spans="1:57" s="536" customFormat="1" ht="12.75" hidden="1" customHeight="1" outlineLevel="1">
      <c r="A509" s="543"/>
      <c r="B509" s="460" t="s">
        <v>163</v>
      </c>
      <c r="C509" s="460" t="s">
        <v>25</v>
      </c>
      <c r="D509" s="460"/>
      <c r="E509" s="460"/>
      <c r="F509" s="460"/>
      <c r="G509" s="543"/>
      <c r="H509" s="503"/>
      <c r="I509" s="400"/>
      <c r="J509" s="507"/>
      <c r="K509" s="543"/>
      <c r="L509" s="525"/>
      <c r="M509" s="543"/>
      <c r="N509" s="397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BE509" s="507"/>
    </row>
    <row r="510" spans="1:57" s="536" customFormat="1" ht="12.75" hidden="1" customHeight="1" outlineLevel="2">
      <c r="A510" s="539"/>
      <c r="B510" s="523"/>
      <c r="C510" s="522" t="s">
        <v>2462</v>
      </c>
      <c r="D510" s="531" t="s">
        <v>2170</v>
      </c>
      <c r="E510" s="532">
        <v>1005</v>
      </c>
      <c r="F510" s="533" t="s">
        <v>2815</v>
      </c>
      <c r="G510" s="539"/>
      <c r="H510" s="503" t="s">
        <v>98</v>
      </c>
      <c r="I510" s="400" t="str">
        <f t="shared" ref="I510" si="49">CONCATENATE(H510,"-",J510)</f>
        <v>MP-1</v>
      </c>
      <c r="J510" s="507">
        <v>1</v>
      </c>
      <c r="K510" s="539"/>
      <c r="L510" s="393"/>
      <c r="M510" s="539"/>
      <c r="N510" s="397"/>
      <c r="O510" s="395" cm="1">
        <f t="array" ref="O510">IFERROR(_xlfn.IFS(R510=1,1,Q510=1,1,P510=1,1,S510=1,1),0)</f>
        <v>1</v>
      </c>
      <c r="Q510" s="526">
        <v>1</v>
      </c>
      <c r="R510" s="526"/>
      <c r="S510" s="526"/>
      <c r="T510" s="395" cm="1">
        <f t="array" ref="T510">IFERROR(_xlfn.IFS(W510=1,1,V510=1,1,U510=1,1,X510=1,1),0)</f>
        <v>0</v>
      </c>
      <c r="U510" s="526"/>
      <c r="V510" s="526"/>
      <c r="W510" s="526"/>
      <c r="X510" s="526"/>
      <c r="BE510" s="539"/>
    </row>
    <row r="511" spans="1:57" s="536" customFormat="1" ht="12.75" hidden="1" customHeight="1" outlineLevel="2">
      <c r="A511" s="507"/>
      <c r="B511" s="523"/>
      <c r="C511" s="522" t="s">
        <v>2239</v>
      </c>
      <c r="D511" s="531" t="s">
        <v>2170</v>
      </c>
      <c r="E511" s="532"/>
      <c r="F511" s="533" t="s">
        <v>2816</v>
      </c>
      <c r="G511" s="507"/>
      <c r="H511" s="503" t="s">
        <v>98</v>
      </c>
      <c r="I511" s="400" t="str">
        <f t="shared" ref="I511:I519" si="50">CONCATENATE(H511,"-",J511)</f>
        <v>MP-1</v>
      </c>
      <c r="J511" s="507">
        <v>1</v>
      </c>
      <c r="K511" s="507"/>
      <c r="L511" s="525"/>
      <c r="M511" s="507"/>
      <c r="N511" s="397"/>
      <c r="O511" s="395" cm="1">
        <f t="array" ref="O511">IFERROR(_xlfn.IFS(R511=1,1,Q511=1,1,P511=1,1,S511=1,1),0)</f>
        <v>1</v>
      </c>
      <c r="Q511" s="526">
        <v>1</v>
      </c>
      <c r="R511" s="526"/>
      <c r="S511" s="526"/>
      <c r="T511" s="395" cm="1">
        <f t="array" ref="T511">IFERROR(_xlfn.IFS(W511=1,1,V511=1,1,U511=1,1,X511=1,1),0)</f>
        <v>0</v>
      </c>
      <c r="U511" s="526"/>
      <c r="V511" s="526"/>
      <c r="W511" s="526"/>
      <c r="X511" s="526"/>
      <c r="BE511" s="507"/>
    </row>
    <row r="512" spans="1:57" s="536" customFormat="1" ht="12.75" hidden="1" customHeight="1" outlineLevel="2">
      <c r="A512" s="507"/>
      <c r="B512" s="523"/>
      <c r="C512" s="522" t="s">
        <v>2437</v>
      </c>
      <c r="D512" s="531" t="s">
        <v>2170</v>
      </c>
      <c r="E512" s="532"/>
      <c r="F512" s="533" t="s">
        <v>2817</v>
      </c>
      <c r="G512" s="507"/>
      <c r="H512" s="503" t="s">
        <v>98</v>
      </c>
      <c r="I512" s="400" t="str">
        <f t="shared" si="50"/>
        <v>MP-1</v>
      </c>
      <c r="J512" s="507">
        <v>1</v>
      </c>
      <c r="K512" s="507"/>
      <c r="L512" s="525"/>
      <c r="M512" s="507"/>
      <c r="N512" s="397"/>
      <c r="O512" s="395" cm="1">
        <f t="array" ref="O512">IFERROR(_xlfn.IFS(R512=1,1,Q512=1,1,P512=1,1,S512=1,1),0)</f>
        <v>1</v>
      </c>
      <c r="Q512" s="526">
        <v>1</v>
      </c>
      <c r="R512" s="526"/>
      <c r="S512" s="526"/>
      <c r="T512" s="395" cm="1">
        <f t="array" ref="T512">IFERROR(_xlfn.IFS(W512=1,1,V512=1,1,U512=1,1,X512=1,1),0)</f>
        <v>0</v>
      </c>
      <c r="U512" s="526"/>
      <c r="V512" s="526"/>
      <c r="W512" s="526"/>
      <c r="X512" s="526"/>
      <c r="BE512" s="507"/>
    </row>
    <row r="513" spans="1:57" s="536" customFormat="1" ht="12.75" hidden="1" customHeight="1" outlineLevel="2">
      <c r="A513" s="507"/>
      <c r="B513" s="523"/>
      <c r="C513" s="522" t="s">
        <v>2333</v>
      </c>
      <c r="D513" s="531" t="s">
        <v>2170</v>
      </c>
      <c r="E513" s="532" t="s">
        <v>2818</v>
      </c>
      <c r="F513" s="533" t="s">
        <v>2819</v>
      </c>
      <c r="G513" s="507"/>
      <c r="H513" s="503" t="s">
        <v>98</v>
      </c>
      <c r="I513" s="400" t="str">
        <f t="shared" si="50"/>
        <v>MP-1</v>
      </c>
      <c r="J513" s="507">
        <v>1</v>
      </c>
      <c r="K513" s="507"/>
      <c r="L513" s="525"/>
      <c r="M513" s="507"/>
      <c r="N513" s="397"/>
      <c r="O513" s="395" cm="1">
        <f t="array" ref="O513">IFERROR(_xlfn.IFS(R513=1,1,Q513=1,1,P513=1,1,S513=1,1),0)</f>
        <v>1</v>
      </c>
      <c r="Q513" s="526">
        <v>1</v>
      </c>
      <c r="R513" s="526"/>
      <c r="S513" s="526"/>
      <c r="T513" s="395" cm="1">
        <f t="array" ref="T513">IFERROR(_xlfn.IFS(W513=1,1,V513=1,1,U513=1,1,X513=1,1),0)</f>
        <v>0</v>
      </c>
      <c r="U513" s="526"/>
      <c r="V513" s="526"/>
      <c r="W513" s="526"/>
      <c r="X513" s="526"/>
      <c r="BE513" s="507"/>
    </row>
    <row r="514" spans="1:57" s="536" customFormat="1" ht="12.75" hidden="1" customHeight="1" outlineLevel="2">
      <c r="A514" s="507"/>
      <c r="B514" s="523"/>
      <c r="C514" s="522" t="s">
        <v>2333</v>
      </c>
      <c r="D514" s="531" t="s">
        <v>2170</v>
      </c>
      <c r="E514" s="532" t="s">
        <v>2820</v>
      </c>
      <c r="F514" s="533" t="s">
        <v>2821</v>
      </c>
      <c r="G514" s="507"/>
      <c r="H514" s="503" t="s">
        <v>98</v>
      </c>
      <c r="I514" s="400" t="str">
        <f t="shared" ref="I514" si="51">CONCATENATE(H514,"-",J514)</f>
        <v>MP-1</v>
      </c>
      <c r="J514" s="507">
        <v>1</v>
      </c>
      <c r="K514" s="507"/>
      <c r="L514" s="525"/>
      <c r="M514" s="507"/>
      <c r="N514" s="397"/>
      <c r="O514" s="395" cm="1">
        <f t="array" ref="O514">IFERROR(_xlfn.IFS(R514=1,1,Q514=1,1,P514=1,1,S514=1,1),0)</f>
        <v>1</v>
      </c>
      <c r="Q514" s="526">
        <v>1</v>
      </c>
      <c r="R514" s="526"/>
      <c r="S514" s="526"/>
      <c r="T514" s="395" cm="1">
        <f t="array" ref="T514">IFERROR(_xlfn.IFS(W514=1,1,V514=1,1,U514=1,1,X514=1,1),0)</f>
        <v>1</v>
      </c>
      <c r="U514" s="526"/>
      <c r="V514" s="526">
        <v>1</v>
      </c>
      <c r="W514" s="526"/>
      <c r="X514" s="526"/>
      <c r="BE514" s="507"/>
    </row>
    <row r="515" spans="1:57" s="536" customFormat="1" ht="12.75" hidden="1" customHeight="1" outlineLevel="2">
      <c r="A515" s="507"/>
      <c r="B515" s="523"/>
      <c r="C515" s="522" t="s">
        <v>2333</v>
      </c>
      <c r="D515" s="531" t="s">
        <v>2170</v>
      </c>
      <c r="E515" s="532" t="s">
        <v>2822</v>
      </c>
      <c r="F515" s="533" t="s">
        <v>2823</v>
      </c>
      <c r="G515" s="507"/>
      <c r="H515" s="503" t="s">
        <v>98</v>
      </c>
      <c r="I515" s="400" t="str">
        <f t="shared" si="50"/>
        <v>MP-1</v>
      </c>
      <c r="J515" s="507">
        <v>1</v>
      </c>
      <c r="K515" s="507"/>
      <c r="L515" s="525"/>
      <c r="M515" s="507"/>
      <c r="N515" s="397"/>
      <c r="O515" s="395" cm="1">
        <f t="array" ref="O515">IFERROR(_xlfn.IFS(R515=1,1,Q515=1,1,P515=1,1,S515=1,1),0)</f>
        <v>1</v>
      </c>
      <c r="Q515" s="526">
        <v>1</v>
      </c>
      <c r="R515" s="526"/>
      <c r="S515" s="526"/>
      <c r="T515" s="395" cm="1">
        <f t="array" ref="T515">IFERROR(_xlfn.IFS(W515=1,1,V515=1,1,U515=1,1,X515=1,1),0)</f>
        <v>0</v>
      </c>
      <c r="U515" s="526"/>
      <c r="V515" s="526"/>
      <c r="W515" s="526"/>
      <c r="X515" s="526"/>
      <c r="BE515" s="507"/>
    </row>
    <row r="516" spans="1:57" s="536" customFormat="1" ht="12.75" hidden="1" customHeight="1" outlineLevel="2">
      <c r="A516" s="507"/>
      <c r="B516" s="523"/>
      <c r="C516" s="522" t="s">
        <v>2333</v>
      </c>
      <c r="D516" s="531" t="s">
        <v>2170</v>
      </c>
      <c r="E516" s="532" t="s">
        <v>2824</v>
      </c>
      <c r="F516" s="533" t="s">
        <v>2825</v>
      </c>
      <c r="G516" s="507"/>
      <c r="H516" s="503" t="s">
        <v>98</v>
      </c>
      <c r="I516" s="400" t="str">
        <f t="shared" si="50"/>
        <v>MP-1</v>
      </c>
      <c r="J516" s="507">
        <v>1</v>
      </c>
      <c r="K516" s="507"/>
      <c r="L516" s="525"/>
      <c r="M516" s="507"/>
      <c r="N516" s="397"/>
      <c r="O516" s="395" cm="1">
        <f t="array" ref="O516">IFERROR(_xlfn.IFS(R516=1,1,Q516=1,1,P516=1,1,S516=1,1),0)</f>
        <v>1</v>
      </c>
      <c r="Q516" s="526">
        <v>1</v>
      </c>
      <c r="R516" s="526"/>
      <c r="S516" s="526"/>
      <c r="T516" s="395" cm="1">
        <f t="array" ref="T516">IFERROR(_xlfn.IFS(W516=1,1,V516=1,1,U516=1,1,X516=1,1),0)</f>
        <v>0</v>
      </c>
      <c r="U516" s="526"/>
      <c r="V516" s="526"/>
      <c r="W516" s="526"/>
      <c r="X516" s="526"/>
      <c r="BE516" s="507"/>
    </row>
    <row r="517" spans="1:57" s="536" customFormat="1" ht="12.75" hidden="1" customHeight="1" outlineLevel="2">
      <c r="A517" s="507"/>
      <c r="B517" s="523"/>
      <c r="C517" s="522" t="s">
        <v>2333</v>
      </c>
      <c r="D517" s="531" t="s">
        <v>2170</v>
      </c>
      <c r="E517" s="532" t="s">
        <v>2826</v>
      </c>
      <c r="F517" s="533" t="s">
        <v>2827</v>
      </c>
      <c r="G517" s="507"/>
      <c r="H517" s="503" t="s">
        <v>98</v>
      </c>
      <c r="I517" s="400" t="str">
        <f t="shared" si="50"/>
        <v>MP-1</v>
      </c>
      <c r="J517" s="507">
        <v>1</v>
      </c>
      <c r="K517" s="507"/>
      <c r="L517" s="525"/>
      <c r="M517" s="507"/>
      <c r="N517" s="397"/>
      <c r="O517" s="395" cm="1">
        <f t="array" ref="O517">IFERROR(_xlfn.IFS(R517=1,1,Q517=1,1,P517=1,1,S517=1,1),0)</f>
        <v>1</v>
      </c>
      <c r="Q517" s="526">
        <v>1</v>
      </c>
      <c r="R517" s="526"/>
      <c r="S517" s="526"/>
      <c r="T517" s="395" cm="1">
        <f t="array" ref="T517">IFERROR(_xlfn.IFS(W517=1,1,U517=1,1,V517=1,1,X517=1,1),0)</f>
        <v>1</v>
      </c>
      <c r="V517" s="526">
        <v>1</v>
      </c>
      <c r="W517" s="526"/>
      <c r="X517" s="526"/>
      <c r="BE517" s="507"/>
    </row>
    <row r="518" spans="1:57" s="536" customFormat="1" ht="12.75" hidden="1" customHeight="1" outlineLevel="2">
      <c r="A518" s="507"/>
      <c r="B518" s="523"/>
      <c r="C518" s="522" t="s">
        <v>2333</v>
      </c>
      <c r="D518" s="531" t="s">
        <v>2170</v>
      </c>
      <c r="E518" s="532" t="s">
        <v>2828</v>
      </c>
      <c r="F518" s="533" t="s">
        <v>2829</v>
      </c>
      <c r="G518" s="507"/>
      <c r="H518" s="503" t="s">
        <v>98</v>
      </c>
      <c r="I518" s="400" t="str">
        <f t="shared" si="50"/>
        <v>MP-1</v>
      </c>
      <c r="J518" s="507">
        <v>1</v>
      </c>
      <c r="K518" s="507"/>
      <c r="L518" s="525"/>
      <c r="M518" s="507"/>
      <c r="N518" s="397"/>
      <c r="O518" s="395" cm="1">
        <f t="array" ref="O518">IFERROR(_xlfn.IFS(R518=1,1,Q518=1,1,P518=1,1,S518=1,1),0)</f>
        <v>1</v>
      </c>
      <c r="Q518" s="526">
        <v>1</v>
      </c>
      <c r="R518" s="526"/>
      <c r="S518" s="526"/>
      <c r="T518" s="395" cm="1">
        <f t="array" ref="T518">IFERROR(_xlfn.IFS(W518=1,1,U518=1,1,V518=1,1,X518=1,1),0)</f>
        <v>1</v>
      </c>
      <c r="V518" s="526">
        <v>1</v>
      </c>
      <c r="W518" s="526"/>
      <c r="X518" s="526"/>
      <c r="BE518" s="507"/>
    </row>
    <row r="519" spans="1:57" s="536" customFormat="1" ht="12.75" hidden="1" customHeight="1" outlineLevel="2">
      <c r="A519" s="507"/>
      <c r="B519" s="523"/>
      <c r="C519" s="522" t="s">
        <v>2333</v>
      </c>
      <c r="D519" s="531" t="s">
        <v>2170</v>
      </c>
      <c r="E519" s="532" t="s">
        <v>2830</v>
      </c>
      <c r="F519" s="533" t="s">
        <v>2831</v>
      </c>
      <c r="G519" s="507"/>
      <c r="H519" s="503" t="s">
        <v>98</v>
      </c>
      <c r="I519" s="400" t="str">
        <f t="shared" si="50"/>
        <v>MP-1</v>
      </c>
      <c r="J519" s="507">
        <v>1</v>
      </c>
      <c r="K519" s="507"/>
      <c r="L519" s="525" t="s">
        <v>1167</v>
      </c>
      <c r="M519" s="507"/>
      <c r="N519" s="397"/>
      <c r="O519" s="395" cm="1">
        <f t="array" ref="O519">IFERROR(_xlfn.IFS(R519=1,1,Q519=1,1,P519=1,1,S519=1,1),0)</f>
        <v>1</v>
      </c>
      <c r="Q519" s="526">
        <v>1</v>
      </c>
      <c r="R519" s="526"/>
      <c r="S519" s="526"/>
      <c r="T519" s="395" cm="1">
        <f t="array" ref="T519">IFERROR(_xlfn.IFS(W519=1,1,U519=1,1,V519=1,1,X519=1,1),0)</f>
        <v>1</v>
      </c>
      <c r="V519" s="526">
        <v>1</v>
      </c>
      <c r="W519" s="526"/>
      <c r="X519" s="526"/>
      <c r="BE519" s="507"/>
    </row>
    <row r="520" spans="1:57" s="536" customFormat="1" ht="12.75" hidden="1" customHeight="1" outlineLevel="2">
      <c r="A520" s="507"/>
      <c r="B520" s="523"/>
      <c r="C520" s="522" t="s">
        <v>2333</v>
      </c>
      <c r="D520" s="531" t="s">
        <v>2170</v>
      </c>
      <c r="E520" s="532" t="s">
        <v>2832</v>
      </c>
      <c r="F520" s="533" t="s">
        <v>2833</v>
      </c>
      <c r="G520" s="507"/>
      <c r="H520" s="503" t="s">
        <v>98</v>
      </c>
      <c r="I520" s="400" t="str">
        <f t="shared" ref="I520:I523" si="52">CONCATENATE(H520,"-",J520)</f>
        <v>MP-1</v>
      </c>
      <c r="J520" s="507">
        <v>1</v>
      </c>
      <c r="K520" s="507"/>
      <c r="L520" s="525"/>
      <c r="M520" s="507"/>
      <c r="N520" s="397"/>
      <c r="O520" s="395" cm="1">
        <f t="array" ref="O520">IFERROR(_xlfn.IFS(R520=1,1,Q520=1,1,P520=1,1,S520=1,1),0)</f>
        <v>1</v>
      </c>
      <c r="Q520" s="526">
        <v>1</v>
      </c>
      <c r="R520" s="526"/>
      <c r="S520" s="526"/>
      <c r="T520" s="395" cm="1">
        <f t="array" ref="T520">IFERROR(_xlfn.IFS(W520=1,1,V520=1,1,U520=1,1,X520=1,1),0)</f>
        <v>0</v>
      </c>
      <c r="U520" s="526"/>
      <c r="V520" s="526"/>
      <c r="W520" s="526"/>
      <c r="X520" s="526"/>
      <c r="BE520" s="507"/>
    </row>
    <row r="521" spans="1:57" s="536" customFormat="1" ht="12.75" hidden="1" customHeight="1" outlineLevel="2">
      <c r="A521" s="507"/>
      <c r="B521" s="523"/>
      <c r="C521" s="522" t="s">
        <v>2239</v>
      </c>
      <c r="D521" s="531" t="s">
        <v>2170</v>
      </c>
      <c r="E521" s="532"/>
      <c r="F521" s="533" t="s">
        <v>2834</v>
      </c>
      <c r="G521" s="507"/>
      <c r="H521" s="503" t="s">
        <v>98</v>
      </c>
      <c r="I521" s="400" t="str">
        <f t="shared" si="52"/>
        <v>MP-1</v>
      </c>
      <c r="J521" s="507">
        <v>1</v>
      </c>
      <c r="K521" s="507"/>
      <c r="L521" s="525"/>
      <c r="M521" s="507"/>
      <c r="N521" s="397"/>
      <c r="O521" s="395" cm="1">
        <f t="array" ref="O521">IFERROR(_xlfn.IFS(R521=1,1,Q521=1,1,P521=1,1,S521=1,1),0)</f>
        <v>1</v>
      </c>
      <c r="P521" s="526"/>
      <c r="Q521" s="526">
        <v>1</v>
      </c>
      <c r="R521" s="526"/>
      <c r="S521" s="526"/>
      <c r="T521" s="395" cm="1">
        <f t="array" ref="T521">IFERROR(_xlfn.IFS(W521=1,1,V521=1,1,U521=1,1,X521=1,1),0)</f>
        <v>0</v>
      </c>
      <c r="U521" s="526"/>
      <c r="V521" s="526"/>
      <c r="W521" s="526"/>
      <c r="X521" s="526"/>
      <c r="BE521" s="507"/>
    </row>
    <row r="522" spans="1:57" s="536" customFormat="1" ht="12.75" hidden="1" customHeight="1" outlineLevel="2">
      <c r="A522" s="507"/>
      <c r="B522" s="523"/>
      <c r="C522" s="522" t="s">
        <v>2437</v>
      </c>
      <c r="D522" s="531" t="s">
        <v>2170</v>
      </c>
      <c r="E522" s="532"/>
      <c r="F522" s="533" t="s">
        <v>2835</v>
      </c>
      <c r="G522" s="507"/>
      <c r="H522" s="503" t="s">
        <v>98</v>
      </c>
      <c r="I522" s="400" t="str">
        <f t="shared" si="52"/>
        <v>MP-1</v>
      </c>
      <c r="J522" s="507">
        <v>1</v>
      </c>
      <c r="K522" s="507"/>
      <c r="L522" s="525"/>
      <c r="M522" s="507"/>
      <c r="N522" s="397"/>
      <c r="O522" s="395" cm="1">
        <f t="array" ref="O522">IFERROR(_xlfn.IFS(R522=1,1,Q522=1,1,P522=1,1,S522=1,1),0)</f>
        <v>1</v>
      </c>
      <c r="P522" s="526"/>
      <c r="Q522" s="526">
        <v>1</v>
      </c>
      <c r="R522" s="526"/>
      <c r="S522" s="526"/>
      <c r="T522" s="395" cm="1">
        <f t="array" ref="T522">IFERROR(_xlfn.IFS(W522=1,1,V522=1,1,U522=1,1,X522=1,1),0)</f>
        <v>0</v>
      </c>
      <c r="U522" s="526"/>
      <c r="V522" s="526"/>
      <c r="W522" s="526"/>
      <c r="X522" s="526"/>
      <c r="BE522" s="507"/>
    </row>
    <row r="523" spans="1:57" s="536" customFormat="1" ht="12.75" hidden="1" customHeight="1" outlineLevel="2">
      <c r="A523" s="507"/>
      <c r="B523" s="523"/>
      <c r="C523" s="522" t="s">
        <v>2239</v>
      </c>
      <c r="D523" s="531" t="s">
        <v>2170</v>
      </c>
      <c r="E523" s="532"/>
      <c r="F523" s="533" t="s">
        <v>2836</v>
      </c>
      <c r="G523" s="507"/>
      <c r="H523" s="503" t="s">
        <v>98</v>
      </c>
      <c r="I523" s="400" t="str">
        <f t="shared" si="52"/>
        <v>MP-1</v>
      </c>
      <c r="J523" s="507">
        <v>1</v>
      </c>
      <c r="K523" s="507"/>
      <c r="L523" s="525"/>
      <c r="M523" s="507"/>
      <c r="N523" s="397"/>
      <c r="O523" s="395" cm="1">
        <f t="array" ref="O523">IFERROR(_xlfn.IFS(R523=1,1,Q523=1,1,P523=1,1,S523=1,1),0)</f>
        <v>1</v>
      </c>
      <c r="P523" s="526"/>
      <c r="Q523" s="526">
        <v>1</v>
      </c>
      <c r="R523" s="526"/>
      <c r="S523" s="526"/>
      <c r="T523" s="395" cm="1">
        <f t="array" ref="T523">IFERROR(_xlfn.IFS(W523=1,1,V523=1,1,U523=1,1,X523=1,1),0)</f>
        <v>0</v>
      </c>
      <c r="U523" s="526"/>
      <c r="V523" s="526"/>
      <c r="W523" s="526"/>
      <c r="X523" s="526"/>
      <c r="BE523" s="507"/>
    </row>
    <row r="524" spans="1:57" s="536" customFormat="1" ht="3" hidden="1" customHeight="1" outlineLevel="1">
      <c r="A524" s="507"/>
      <c r="B524" s="540"/>
      <c r="C524" s="537"/>
      <c r="D524" s="538"/>
      <c r="E524" s="532"/>
      <c r="F524" s="533"/>
      <c r="G524" s="507"/>
      <c r="H524" s="503"/>
      <c r="I524" s="400"/>
      <c r="J524" s="507"/>
      <c r="K524" s="507"/>
      <c r="L524" s="525"/>
      <c r="M524" s="507"/>
      <c r="N524" s="397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BE524" s="507"/>
    </row>
    <row r="525" spans="1:57" s="536" customFormat="1" ht="12.75" hidden="1" customHeight="1" outlineLevel="1">
      <c r="A525" s="543"/>
      <c r="B525" s="460" t="s">
        <v>165</v>
      </c>
      <c r="C525" s="460" t="s">
        <v>104</v>
      </c>
      <c r="D525" s="460"/>
      <c r="E525" s="460"/>
      <c r="F525" s="460"/>
      <c r="G525" s="543"/>
      <c r="H525" s="503"/>
      <c r="I525" s="400"/>
      <c r="J525" s="507"/>
      <c r="K525" s="543"/>
      <c r="L525" s="525"/>
      <c r="M525" s="543"/>
      <c r="N525" s="397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BE525" s="507"/>
    </row>
    <row r="526" spans="1:57" s="536" customFormat="1" ht="12.75" customHeight="1" outlineLevel="2">
      <c r="A526" s="507"/>
      <c r="B526" s="540"/>
      <c r="C526" s="522" t="s">
        <v>2333</v>
      </c>
      <c r="D526" s="531" t="s">
        <v>2170</v>
      </c>
      <c r="E526" s="532" t="s">
        <v>2837</v>
      </c>
      <c r="F526" s="533" t="s">
        <v>2838</v>
      </c>
      <c r="G526" s="507"/>
      <c r="H526" s="503" t="s">
        <v>98</v>
      </c>
      <c r="I526" s="400" t="str">
        <f t="shared" ref="I526" si="53">CONCATENATE(H526,"-",J526)</f>
        <v>MP-3</v>
      </c>
      <c r="J526" s="507">
        <v>3</v>
      </c>
      <c r="K526" s="507"/>
      <c r="L526" s="525"/>
      <c r="M526" s="507"/>
      <c r="N526" s="397"/>
      <c r="O526" s="395" cm="1">
        <f t="array" ref="O526">IFERROR(_xlfn.IFS(R526=1,1,Q526=1,1,P526=1,1,S526=1,1),0)</f>
        <v>1</v>
      </c>
      <c r="P526" s="526"/>
      <c r="R526" s="526">
        <v>1</v>
      </c>
      <c r="S526" s="526"/>
      <c r="T526" s="395" cm="1">
        <f t="array" ref="T526">IFERROR(_xlfn.IFS(W526=1,1,V526=1,1,U526=1,1,X526=1,1),0)</f>
        <v>0</v>
      </c>
      <c r="U526" s="526"/>
      <c r="V526" s="526"/>
      <c r="W526" s="526"/>
      <c r="X526" s="526"/>
      <c r="BE526" s="507"/>
    </row>
    <row r="527" spans="1:57" s="536" customFormat="1" ht="12.75" customHeight="1" outlineLevel="2">
      <c r="A527" s="507"/>
      <c r="B527" s="540"/>
      <c r="C527" s="522" t="s">
        <v>2333</v>
      </c>
      <c r="D527" s="531" t="s">
        <v>2170</v>
      </c>
      <c r="E527" s="532" t="s">
        <v>2839</v>
      </c>
      <c r="F527" s="533" t="s">
        <v>2840</v>
      </c>
      <c r="G527" s="507"/>
      <c r="H527" s="503" t="s">
        <v>98</v>
      </c>
      <c r="I527" s="400" t="str">
        <f>CONCATENATE(H527,"-",J527)</f>
        <v>MP-3</v>
      </c>
      <c r="J527" s="507">
        <v>3</v>
      </c>
      <c r="K527" s="507"/>
      <c r="L527" s="525"/>
      <c r="M527" s="507"/>
      <c r="N527" s="397"/>
      <c r="O527" s="395" cm="1">
        <f t="array" ref="O527">IFERROR(_xlfn.IFS(R527=1,1,Q527=1,1,P527=1,1,S527=1,1),0)</f>
        <v>1</v>
      </c>
      <c r="P527" s="526"/>
      <c r="R527" s="526">
        <v>1</v>
      </c>
      <c r="S527" s="526"/>
      <c r="T527" s="395" cm="1">
        <f t="array" ref="T527">IFERROR(_xlfn.IFS(W527=1,1,V527=1,1,U527=1,1,X527=1,1),0)</f>
        <v>0</v>
      </c>
      <c r="U527" s="526"/>
      <c r="V527" s="526"/>
      <c r="W527" s="526"/>
      <c r="X527" s="526"/>
      <c r="BE527" s="507"/>
    </row>
    <row r="528" spans="1:57" s="536" customFormat="1" ht="12.75" customHeight="1" outlineLevel="2">
      <c r="A528" s="507"/>
      <c r="B528" s="540"/>
      <c r="C528" s="522" t="s">
        <v>2333</v>
      </c>
      <c r="D528" s="531" t="s">
        <v>2170</v>
      </c>
      <c r="E528" s="532" t="s">
        <v>2841</v>
      </c>
      <c r="F528" s="533" t="s">
        <v>2842</v>
      </c>
      <c r="G528" s="507"/>
      <c r="H528" s="503" t="s">
        <v>98</v>
      </c>
      <c r="I528" s="400" t="str">
        <f>CONCATENATE(H528,"-",J528)</f>
        <v>MP-3</v>
      </c>
      <c r="J528" s="507">
        <v>3</v>
      </c>
      <c r="K528" s="507"/>
      <c r="L528" s="525"/>
      <c r="M528" s="507"/>
      <c r="N528" s="397"/>
      <c r="O528" s="395" cm="1">
        <f t="array" ref="O528">IFERROR(_xlfn.IFS(R528=1,1,Q528=1,1,P528=1,1,S528=1,1),0)</f>
        <v>1</v>
      </c>
      <c r="P528" s="526"/>
      <c r="R528" s="526">
        <v>1</v>
      </c>
      <c r="S528" s="526"/>
      <c r="T528" s="395" cm="1">
        <f t="array" ref="T528">IFERROR(_xlfn.IFS(W528=1,1,V528=1,1,U528=1,1,X528=1,1),0)</f>
        <v>1</v>
      </c>
      <c r="U528" s="526"/>
      <c r="V528" s="526">
        <v>1</v>
      </c>
      <c r="W528" s="526"/>
      <c r="X528" s="526"/>
      <c r="BE528" s="507"/>
    </row>
    <row r="529" spans="1:57" s="536" customFormat="1" ht="12.75" customHeight="1" outlineLevel="2">
      <c r="A529" s="507"/>
      <c r="B529" s="540"/>
      <c r="C529" s="522" t="s">
        <v>2333</v>
      </c>
      <c r="D529" s="531" t="s">
        <v>2170</v>
      </c>
      <c r="E529" s="532" t="s">
        <v>2843</v>
      </c>
      <c r="F529" s="533" t="s">
        <v>2844</v>
      </c>
      <c r="G529" s="507"/>
      <c r="H529" s="503" t="s">
        <v>98</v>
      </c>
      <c r="I529" s="400" t="str">
        <f t="shared" ref="I529" si="54">CONCATENATE(H529,"-",J529)</f>
        <v>MP-3</v>
      </c>
      <c r="J529" s="507">
        <v>3</v>
      </c>
      <c r="K529" s="507"/>
      <c r="L529" s="525"/>
      <c r="M529" s="507"/>
      <c r="N529" s="397"/>
      <c r="O529" s="395" cm="1">
        <f t="array" ref="O529">IFERROR(_xlfn.IFS(R529=1,1,Q529=1,1,P529=1,1,S529=1,1),0)</f>
        <v>1</v>
      </c>
      <c r="P529" s="526"/>
      <c r="R529" s="526">
        <v>1</v>
      </c>
      <c r="S529" s="526"/>
      <c r="T529" s="395" cm="1">
        <f t="array" ref="T529">IFERROR(_xlfn.IFS(W529=1,1,V529=1,1,U529=1,1,X529=1,1),0)</f>
        <v>0</v>
      </c>
      <c r="U529" s="526"/>
      <c r="V529" s="526"/>
      <c r="W529" s="526"/>
      <c r="X529" s="526"/>
      <c r="BE529" s="507"/>
    </row>
    <row r="530" spans="1:57" s="535" customFormat="1" ht="12.75" customHeight="1" outlineLevel="2">
      <c r="A530" s="534"/>
      <c r="B530" s="523"/>
      <c r="C530" s="522" t="s">
        <v>2239</v>
      </c>
      <c r="D530" s="531" t="s">
        <v>2170</v>
      </c>
      <c r="E530" s="532"/>
      <c r="F530" s="533" t="s">
        <v>2845</v>
      </c>
      <c r="G530" s="534"/>
      <c r="H530" s="503" t="s">
        <v>98</v>
      </c>
      <c r="I530" s="400" t="str">
        <f t="shared" ref="I530" si="55">CONCATENATE(H530,"-",J530)</f>
        <v>MP-3</v>
      </c>
      <c r="J530" s="507">
        <v>3</v>
      </c>
      <c r="K530" s="534"/>
      <c r="L530" s="526"/>
      <c r="M530" s="534"/>
      <c r="N530" s="397"/>
      <c r="O530" s="395" cm="1">
        <f t="array" ref="O530">IFERROR(_xlfn.IFS(R530=1,1,Q530=1,1,P530=1,1,S530=1,1),0)</f>
        <v>1</v>
      </c>
      <c r="Q530" s="526"/>
      <c r="R530" s="526">
        <v>1</v>
      </c>
      <c r="S530" s="526"/>
      <c r="T530" s="395" cm="1">
        <f t="array" ref="T530">IFERROR(_xlfn.IFS(W530=1,1,V530=1,1,U530=1,1,X530=1,1),0)</f>
        <v>0</v>
      </c>
      <c r="U530" s="526"/>
      <c r="V530" s="526"/>
      <c r="W530" s="526"/>
      <c r="X530" s="526"/>
      <c r="BE530" s="534">
        <v>3</v>
      </c>
    </row>
    <row r="531" spans="1:57" s="535" customFormat="1" ht="12.75" customHeight="1" outlineLevel="2">
      <c r="A531" s="534"/>
      <c r="B531" s="523"/>
      <c r="C531" s="522" t="s">
        <v>2333</v>
      </c>
      <c r="D531" s="531" t="s">
        <v>2170</v>
      </c>
      <c r="E531" s="532">
        <v>1014</v>
      </c>
      <c r="F531" s="533" t="s">
        <v>2846</v>
      </c>
      <c r="G531" s="534"/>
      <c r="H531" s="503" t="s">
        <v>98</v>
      </c>
      <c r="I531" s="400" t="str">
        <f t="shared" ref="I531:I536" si="56">CONCATENATE(H531,"-",J531)</f>
        <v>MP-3</v>
      </c>
      <c r="J531" s="507">
        <v>3</v>
      </c>
      <c r="K531" s="534"/>
      <c r="L531" s="526"/>
      <c r="M531" s="534"/>
      <c r="N531" s="397"/>
      <c r="O531" s="395" cm="1">
        <f t="array" ref="O531">IFERROR(_xlfn.IFS(R531=1,1,Q531=1,1,P531=1,1,S531=1,1),0)</f>
        <v>1</v>
      </c>
      <c r="Q531" s="526"/>
      <c r="R531" s="526">
        <v>1</v>
      </c>
      <c r="S531" s="526"/>
      <c r="T531" s="395" cm="1">
        <f t="array" ref="T531">IFERROR(_xlfn.IFS(W531=1,1,V531=1,1,U531=1,1,X531=1,1),0)</f>
        <v>0</v>
      </c>
      <c r="U531" s="526"/>
      <c r="V531" s="526"/>
      <c r="W531" s="526"/>
      <c r="X531" s="526"/>
      <c r="BE531" s="534"/>
    </row>
    <row r="532" spans="1:57" s="535" customFormat="1" ht="12.75" customHeight="1" outlineLevel="2">
      <c r="A532" s="534"/>
      <c r="B532" s="523"/>
      <c r="C532" s="522" t="s">
        <v>2333</v>
      </c>
      <c r="D532" s="531" t="s">
        <v>2170</v>
      </c>
      <c r="E532" s="532">
        <v>1015</v>
      </c>
      <c r="F532" s="533" t="s">
        <v>2847</v>
      </c>
      <c r="G532" s="534"/>
      <c r="H532" s="503" t="s">
        <v>98</v>
      </c>
      <c r="I532" s="400" t="str">
        <f t="shared" si="56"/>
        <v>MP-3</v>
      </c>
      <c r="J532" s="507">
        <v>3</v>
      </c>
      <c r="K532" s="534"/>
      <c r="L532" s="526"/>
      <c r="M532" s="534"/>
      <c r="N532" s="397"/>
      <c r="O532" s="395" cm="1">
        <f t="array" ref="O532">IFERROR(_xlfn.IFS(R532=1,1,Q532=1,1,P532=1,1,S532=1,1),0)</f>
        <v>1</v>
      </c>
      <c r="Q532" s="526"/>
      <c r="R532" s="526">
        <v>1</v>
      </c>
      <c r="S532" s="526"/>
      <c r="T532" s="395" cm="1">
        <f t="array" ref="T532">IFERROR(_xlfn.IFS(W532=1,1,V532=1,1,U532=1,1,X532=1,1),0)</f>
        <v>0</v>
      </c>
      <c r="U532" s="526"/>
      <c r="V532" s="526"/>
      <c r="W532" s="526"/>
      <c r="X532" s="526"/>
      <c r="BE532" s="534"/>
    </row>
    <row r="533" spans="1:57" s="535" customFormat="1" ht="12.75" customHeight="1" outlineLevel="2">
      <c r="A533" s="534"/>
      <c r="B533" s="523"/>
      <c r="C533" s="522" t="s">
        <v>2462</v>
      </c>
      <c r="D533" s="531" t="s">
        <v>2170</v>
      </c>
      <c r="E533" s="532">
        <v>1014</v>
      </c>
      <c r="F533" s="533" t="s">
        <v>2848</v>
      </c>
      <c r="G533" s="534"/>
      <c r="H533" s="503" t="s">
        <v>98</v>
      </c>
      <c r="I533" s="400" t="str">
        <f t="shared" si="56"/>
        <v>MP-3</v>
      </c>
      <c r="J533" s="507">
        <v>3</v>
      </c>
      <c r="K533" s="534"/>
      <c r="L533" s="526"/>
      <c r="M533" s="534"/>
      <c r="N533" s="397"/>
      <c r="O533" s="395" cm="1">
        <f t="array" ref="O533">IFERROR(_xlfn.IFS(R533=1,1,Q533=1,1,P533=1,1,S533=1,1),0)</f>
        <v>1</v>
      </c>
      <c r="Q533" s="526"/>
      <c r="R533" s="526">
        <v>1</v>
      </c>
      <c r="S533" s="526"/>
      <c r="T533" s="395" cm="1">
        <f t="array" ref="T533">IFERROR(_xlfn.IFS(W533=1,1,V533=1,1,U533=1,1,X533=1,1),0)</f>
        <v>0</v>
      </c>
      <c r="U533" s="526"/>
      <c r="V533" s="526"/>
      <c r="W533" s="526"/>
      <c r="X533" s="526"/>
      <c r="BE533" s="534"/>
    </row>
    <row r="534" spans="1:57" s="535" customFormat="1" ht="12.75" customHeight="1" outlineLevel="2">
      <c r="A534" s="534"/>
      <c r="B534" s="523"/>
      <c r="C534" s="522" t="s">
        <v>2462</v>
      </c>
      <c r="D534" s="531" t="s">
        <v>2170</v>
      </c>
      <c r="E534" s="532">
        <v>1015</v>
      </c>
      <c r="F534" s="533" t="s">
        <v>2849</v>
      </c>
      <c r="G534" s="534"/>
      <c r="H534" s="503" t="s">
        <v>98</v>
      </c>
      <c r="I534" s="400" t="str">
        <f t="shared" si="56"/>
        <v>MP-3</v>
      </c>
      <c r="J534" s="507">
        <v>3</v>
      </c>
      <c r="K534" s="534"/>
      <c r="L534" s="526"/>
      <c r="M534" s="534"/>
      <c r="N534" s="397"/>
      <c r="O534" s="395" cm="1">
        <f t="array" ref="O534">IFERROR(_xlfn.IFS(R534=1,1,Q534=1,1,P534=1,1,S534=1,1),0)</f>
        <v>1</v>
      </c>
      <c r="Q534" s="526"/>
      <c r="R534" s="526">
        <v>1</v>
      </c>
      <c r="S534" s="526"/>
      <c r="T534" s="395" cm="1">
        <f t="array" ref="T534">IFERROR(_xlfn.IFS(W534=1,1,V534=1,1,U534=1,1,X534=1,1),0)</f>
        <v>0</v>
      </c>
      <c r="U534" s="526"/>
      <c r="V534" s="526"/>
      <c r="W534" s="526"/>
      <c r="X534" s="526"/>
      <c r="BE534" s="534"/>
    </row>
    <row r="535" spans="1:57" s="535" customFormat="1" ht="12.75" customHeight="1" outlineLevel="2">
      <c r="A535" s="534"/>
      <c r="B535" s="523"/>
      <c r="C535" s="522" t="s">
        <v>2462</v>
      </c>
      <c r="D535" s="531" t="s">
        <v>2170</v>
      </c>
      <c r="E535" s="532" t="s">
        <v>2850</v>
      </c>
      <c r="F535" s="533" t="s">
        <v>2851</v>
      </c>
      <c r="G535" s="534"/>
      <c r="H535" s="503" t="s">
        <v>98</v>
      </c>
      <c r="I535" s="400" t="str">
        <f t="shared" ref="I535" si="57">CONCATENATE(H535,"-",J535)</f>
        <v>MP-3</v>
      </c>
      <c r="J535" s="507">
        <v>3</v>
      </c>
      <c r="K535" s="534"/>
      <c r="L535" s="526"/>
      <c r="M535" s="534"/>
      <c r="N535" s="397"/>
      <c r="O535" s="395" cm="1">
        <f t="array" ref="O535">IFERROR(_xlfn.IFS(R535=1,1,Q535=1,1,P535=1,1,S535=1,1),0)</f>
        <v>1</v>
      </c>
      <c r="Q535" s="526"/>
      <c r="R535" s="526">
        <v>1</v>
      </c>
      <c r="S535" s="526"/>
      <c r="T535" s="395" cm="1">
        <f t="array" ref="T535">IFERROR(_xlfn.IFS(W535=1,1,V535=1,1,U535=1,1,X535=1,1),0)</f>
        <v>1</v>
      </c>
      <c r="U535" s="526"/>
      <c r="V535" s="526">
        <v>1</v>
      </c>
      <c r="W535" s="526"/>
      <c r="X535" s="526"/>
      <c r="BE535" s="534"/>
    </row>
    <row r="536" spans="1:57" s="535" customFormat="1" ht="12.75" customHeight="1" outlineLevel="2">
      <c r="A536" s="534"/>
      <c r="B536" s="523"/>
      <c r="C536" s="522" t="s">
        <v>2462</v>
      </c>
      <c r="D536" s="531" t="s">
        <v>2170</v>
      </c>
      <c r="E536" s="532" t="s">
        <v>2852</v>
      </c>
      <c r="F536" s="533" t="s">
        <v>2853</v>
      </c>
      <c r="G536" s="534"/>
      <c r="H536" s="503" t="s">
        <v>98</v>
      </c>
      <c r="I536" s="400" t="str">
        <f t="shared" si="56"/>
        <v>MP-3</v>
      </c>
      <c r="J536" s="507">
        <v>3</v>
      </c>
      <c r="K536" s="534"/>
      <c r="L536" s="526"/>
      <c r="M536" s="534"/>
      <c r="N536" s="397"/>
      <c r="O536" s="395" cm="1">
        <f t="array" ref="O536">IFERROR(_xlfn.IFS(R536=1,1,Q536=1,1,P536=1,1,S536=1,1),0)</f>
        <v>1</v>
      </c>
      <c r="Q536" s="526"/>
      <c r="R536" s="526">
        <v>1</v>
      </c>
      <c r="S536" s="526"/>
      <c r="T536" s="395" cm="1">
        <f t="array" ref="T536">IFERROR(_xlfn.IFS(W536=1,1,V536=1,1,U536=1,1,X536=1,1),0)</f>
        <v>1</v>
      </c>
      <c r="U536" s="526"/>
      <c r="V536" s="526">
        <v>1</v>
      </c>
      <c r="W536" s="526"/>
      <c r="X536" s="526"/>
      <c r="BE536" s="534"/>
    </row>
    <row r="537" spans="1:57" ht="3" hidden="1" customHeight="1">
      <c r="A537" s="507"/>
      <c r="B537" s="540"/>
      <c r="C537" s="537"/>
      <c r="D537" s="538"/>
      <c r="E537" s="532"/>
      <c r="F537" s="533"/>
      <c r="G537" s="507"/>
      <c r="H537" s="503"/>
      <c r="I537" s="400"/>
      <c r="J537" s="507"/>
      <c r="K537" s="507"/>
      <c r="M537" s="507"/>
      <c r="N537" s="397"/>
      <c r="BE537" s="507"/>
    </row>
    <row r="538" spans="1:57" s="536" customFormat="1" ht="12.75" hidden="1" customHeight="1" collapsed="1">
      <c r="A538" s="392"/>
      <c r="B538" s="466" t="s">
        <v>27</v>
      </c>
      <c r="C538" s="491"/>
      <c r="D538" s="491"/>
      <c r="E538" s="528"/>
      <c r="F538" s="493"/>
      <c r="G538" s="392"/>
      <c r="H538" s="493"/>
      <c r="I538" s="493"/>
      <c r="J538" s="493"/>
      <c r="K538" s="392"/>
      <c r="L538" s="493"/>
      <c r="M538" s="392"/>
      <c r="N538" s="493"/>
      <c r="O538" s="493"/>
      <c r="P538" s="493"/>
      <c r="Q538" s="493"/>
      <c r="R538" s="493"/>
      <c r="S538" s="493"/>
      <c r="T538" s="493"/>
      <c r="U538" s="493"/>
      <c r="V538" s="493"/>
      <c r="W538" s="493"/>
      <c r="X538" s="493"/>
      <c r="BE538" s="392" t="s">
        <v>181</v>
      </c>
    </row>
    <row r="539" spans="1:57" s="536" customFormat="1" ht="3" hidden="1" customHeight="1" outlineLevel="1">
      <c r="B539" s="540"/>
      <c r="C539" s="537"/>
      <c r="D539" s="538"/>
      <c r="E539" s="532"/>
      <c r="F539" s="533"/>
      <c r="H539" s="503"/>
      <c r="I539" s="400"/>
      <c r="J539" s="507"/>
      <c r="L539" s="393"/>
      <c r="N539" s="397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</row>
    <row r="540" spans="1:57" s="536" customFormat="1" ht="12.75" hidden="1" customHeight="1" outlineLevel="1">
      <c r="B540" s="460" t="s">
        <v>168</v>
      </c>
      <c r="C540" s="460" t="s">
        <v>112</v>
      </c>
      <c r="D540" s="460"/>
      <c r="E540" s="460"/>
      <c r="F540" s="460"/>
      <c r="H540" s="503"/>
      <c r="I540" s="400"/>
      <c r="J540" s="507"/>
      <c r="L540" s="525"/>
      <c r="N540" s="397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</row>
    <row r="541" spans="1:57" s="536" customFormat="1" ht="12.75" hidden="1" customHeight="1" outlineLevel="2">
      <c r="A541" s="507"/>
      <c r="B541" s="540"/>
      <c r="C541" s="522" t="s">
        <v>2239</v>
      </c>
      <c r="D541" s="531" t="s">
        <v>2854</v>
      </c>
      <c r="E541" s="532">
        <v>4011</v>
      </c>
      <c r="F541" s="533" t="s">
        <v>2855</v>
      </c>
      <c r="G541" s="507"/>
      <c r="H541" s="503" t="s">
        <v>107</v>
      </c>
      <c r="I541" s="400" t="str">
        <f t="shared" ref="I541:I547" si="58">CONCATENATE(H541,"-",J541)</f>
        <v>AM-2</v>
      </c>
      <c r="J541" s="507">
        <v>2</v>
      </c>
      <c r="K541" s="507"/>
      <c r="M541" s="507"/>
      <c r="N541" s="397"/>
      <c r="O541" s="395" cm="1">
        <f t="array" ref="O541">IFERROR(_xlfn.IFS(R541=1,1,Q541=1,1,P541=1,1,S541=1,1),0)</f>
        <v>1</v>
      </c>
      <c r="P541" s="526"/>
      <c r="Q541" s="526">
        <v>1</v>
      </c>
      <c r="R541" s="526"/>
      <c r="S541" s="526"/>
      <c r="T541" s="395" cm="1">
        <f t="array" ref="T541">IFERROR(_xlfn.IFS(W541=1,1,V541=1,1,U541=1,1,X541=1,1),0)</f>
        <v>0</v>
      </c>
      <c r="U541" s="526"/>
      <c r="V541" s="526"/>
      <c r="W541" s="526"/>
      <c r="X541" s="526"/>
      <c r="BE541" s="507">
        <v>2</v>
      </c>
    </row>
    <row r="542" spans="1:57" s="536" customFormat="1" ht="12.75" hidden="1" customHeight="1" outlineLevel="2">
      <c r="A542" s="507"/>
      <c r="B542" s="540"/>
      <c r="C542" s="522" t="s">
        <v>2239</v>
      </c>
      <c r="D542" s="531" t="s">
        <v>2854</v>
      </c>
      <c r="E542" s="532">
        <v>4021</v>
      </c>
      <c r="F542" s="533" t="s">
        <v>2856</v>
      </c>
      <c r="G542" s="507"/>
      <c r="H542" s="503" t="s">
        <v>107</v>
      </c>
      <c r="I542" s="400" t="str">
        <f t="shared" si="58"/>
        <v>AM-2</v>
      </c>
      <c r="J542" s="507">
        <v>2</v>
      </c>
      <c r="K542" s="507"/>
      <c r="M542" s="507"/>
      <c r="N542" s="397"/>
      <c r="O542" s="395" cm="1">
        <f t="array" ref="O542">IFERROR(_xlfn.IFS(R542=1,1,Q542=1,1,P542=1,1,S542=1,1),0)</f>
        <v>1</v>
      </c>
      <c r="P542" s="526"/>
      <c r="Q542" s="526">
        <v>1</v>
      </c>
      <c r="R542" s="526"/>
      <c r="S542" s="526"/>
      <c r="T542" s="395" cm="1">
        <f t="array" ref="T542">IFERROR(_xlfn.IFS(W542=1,1,V542=1,1,U542=1,1,X542=1,1),0)</f>
        <v>0</v>
      </c>
      <c r="U542" s="526"/>
      <c r="V542" s="526"/>
      <c r="W542" s="526"/>
      <c r="X542" s="526"/>
      <c r="BE542" s="507">
        <v>2</v>
      </c>
    </row>
    <row r="543" spans="1:57" s="536" customFormat="1" ht="12.75" hidden="1" customHeight="1" outlineLevel="2">
      <c r="A543" s="507"/>
      <c r="B543" s="540"/>
      <c r="C543" s="522" t="s">
        <v>2239</v>
      </c>
      <c r="D543" s="531" t="s">
        <v>2854</v>
      </c>
      <c r="E543" s="532">
        <v>4031</v>
      </c>
      <c r="F543" s="533" t="s">
        <v>2857</v>
      </c>
      <c r="G543" s="507"/>
      <c r="H543" s="503" t="s">
        <v>107</v>
      </c>
      <c r="I543" s="400" t="str">
        <f t="shared" si="58"/>
        <v>AM-2</v>
      </c>
      <c r="J543" s="507">
        <v>2</v>
      </c>
      <c r="K543" s="507"/>
      <c r="M543" s="507"/>
      <c r="N543" s="397"/>
      <c r="O543" s="395" cm="1">
        <f t="array" ref="O543">IFERROR(_xlfn.IFS(R543=1,1,Q543=1,1,P543=1,1,S543=1,1),0)</f>
        <v>1</v>
      </c>
      <c r="P543" s="526"/>
      <c r="Q543" s="526">
        <v>1</v>
      </c>
      <c r="R543" s="526"/>
      <c r="S543" s="526"/>
      <c r="T543" s="395" cm="1">
        <f t="array" ref="T543">IFERROR(_xlfn.IFS(W543=1,1,V543=1,1,U543=1,1,X543=1,1),0)</f>
        <v>0</v>
      </c>
      <c r="U543" s="526"/>
      <c r="V543" s="526"/>
      <c r="W543" s="526"/>
      <c r="X543" s="526"/>
      <c r="BE543" s="507">
        <v>2</v>
      </c>
    </row>
    <row r="544" spans="1:57" s="536" customFormat="1" ht="12.75" hidden="1" customHeight="1" outlineLevel="2">
      <c r="A544" s="507"/>
      <c r="B544" s="540"/>
      <c r="C544" s="522" t="s">
        <v>2239</v>
      </c>
      <c r="D544" s="531" t="s">
        <v>2854</v>
      </c>
      <c r="E544" s="532">
        <v>4041</v>
      </c>
      <c r="F544" s="533" t="s">
        <v>2858</v>
      </c>
      <c r="G544" s="507"/>
      <c r="H544" s="503" t="s">
        <v>107</v>
      </c>
      <c r="I544" s="400" t="str">
        <f t="shared" si="58"/>
        <v>AM-2</v>
      </c>
      <c r="J544" s="507">
        <v>2</v>
      </c>
      <c r="K544" s="507"/>
      <c r="M544" s="507"/>
      <c r="N544" s="397"/>
      <c r="O544" s="395" cm="1">
        <f t="array" ref="O544">IFERROR(_xlfn.IFS(R544=1,1,Q544=1,1,P544=1,1,S544=1,1),0)</f>
        <v>1</v>
      </c>
      <c r="P544" s="526"/>
      <c r="Q544" s="526">
        <v>1</v>
      </c>
      <c r="R544" s="526"/>
      <c r="S544" s="526"/>
      <c r="T544" s="395" cm="1">
        <f t="array" ref="T544">IFERROR(_xlfn.IFS(W544=1,1,V544=1,1,U544=1,1,X544=1,1),0)</f>
        <v>0</v>
      </c>
      <c r="U544" s="526"/>
      <c r="V544" s="526"/>
      <c r="W544" s="526"/>
      <c r="X544" s="526"/>
      <c r="BE544" s="507">
        <v>2</v>
      </c>
    </row>
    <row r="545" spans="1:57" s="536" customFormat="1" ht="12.75" hidden="1" customHeight="1" outlineLevel="2">
      <c r="A545" s="507"/>
      <c r="B545" s="540"/>
      <c r="C545" s="522" t="s">
        <v>2239</v>
      </c>
      <c r="D545" s="531" t="s">
        <v>2854</v>
      </c>
      <c r="E545" s="532">
        <v>4051</v>
      </c>
      <c r="F545" s="533" t="s">
        <v>2859</v>
      </c>
      <c r="G545" s="507"/>
      <c r="H545" s="503" t="s">
        <v>107</v>
      </c>
      <c r="I545" s="400" t="str">
        <f t="shared" si="58"/>
        <v>AM-2</v>
      </c>
      <c r="J545" s="507">
        <v>2</v>
      </c>
      <c r="K545" s="507"/>
      <c r="M545" s="507"/>
      <c r="N545" s="397"/>
      <c r="O545" s="395" cm="1">
        <f t="array" ref="O545">IFERROR(_xlfn.IFS(R545=1,1,Q545=1,1,P545=1,1,S545=1,1),0)</f>
        <v>1</v>
      </c>
      <c r="P545" s="526"/>
      <c r="Q545" s="526">
        <v>1</v>
      </c>
      <c r="R545" s="526"/>
      <c r="S545" s="526"/>
      <c r="T545" s="395" cm="1">
        <f t="array" ref="T545">IFERROR(_xlfn.IFS(W545=1,1,V545=1,1,U545=1,1,X545=1,1),0)</f>
        <v>0</v>
      </c>
      <c r="U545" s="526"/>
      <c r="V545" s="526"/>
      <c r="W545" s="526"/>
      <c r="X545" s="526"/>
      <c r="BE545" s="507">
        <v>2</v>
      </c>
    </row>
    <row r="546" spans="1:57" s="536" customFormat="1" ht="12.75" hidden="1" customHeight="1" outlineLevel="2">
      <c r="A546" s="507"/>
      <c r="B546" s="540"/>
      <c r="C546" s="522" t="s">
        <v>2239</v>
      </c>
      <c r="D546" s="531" t="s">
        <v>2854</v>
      </c>
      <c r="E546" s="532">
        <v>4061</v>
      </c>
      <c r="F546" s="533" t="s">
        <v>2860</v>
      </c>
      <c r="G546" s="507"/>
      <c r="H546" s="503" t="s">
        <v>107</v>
      </c>
      <c r="I546" s="400" t="str">
        <f t="shared" si="58"/>
        <v>AM-2</v>
      </c>
      <c r="J546" s="507">
        <v>2</v>
      </c>
      <c r="K546" s="507"/>
      <c r="M546" s="507"/>
      <c r="N546" s="397"/>
      <c r="O546" s="395" cm="1">
        <f t="array" ref="O546">IFERROR(_xlfn.IFS(R546=1,1,Q546=1,1,P546=1,1,S546=1,1),0)</f>
        <v>1</v>
      </c>
      <c r="P546" s="526"/>
      <c r="Q546" s="526">
        <v>1</v>
      </c>
      <c r="R546" s="526"/>
      <c r="S546" s="526"/>
      <c r="T546" s="395" cm="1">
        <f t="array" ref="T546">IFERROR(_xlfn.IFS(W546=1,1,V546=1,1,U546=1,1,X546=1,1),0)</f>
        <v>0</v>
      </c>
      <c r="U546" s="526"/>
      <c r="V546" s="526"/>
      <c r="W546" s="526"/>
      <c r="X546" s="526"/>
      <c r="BE546" s="507">
        <v>2</v>
      </c>
    </row>
    <row r="547" spans="1:57" s="536" customFormat="1" ht="12.75" hidden="1" customHeight="1" outlineLevel="2">
      <c r="A547" s="507"/>
      <c r="B547" s="540"/>
      <c r="C547" s="522" t="s">
        <v>2239</v>
      </c>
      <c r="D547" s="531" t="s">
        <v>2854</v>
      </c>
      <c r="E547" s="532">
        <v>4071</v>
      </c>
      <c r="F547" s="533" t="s">
        <v>2861</v>
      </c>
      <c r="G547" s="507"/>
      <c r="H547" s="503" t="s">
        <v>107</v>
      </c>
      <c r="I547" s="400" t="str">
        <f t="shared" si="58"/>
        <v>AM-2</v>
      </c>
      <c r="J547" s="507">
        <v>2</v>
      </c>
      <c r="K547" s="507"/>
      <c r="M547" s="507"/>
      <c r="N547" s="397"/>
      <c r="O547" s="395" cm="1">
        <f t="array" ref="O547">IFERROR(_xlfn.IFS(R547=1,1,Q547=1,1,P547=1,1,S547=1,1),0)</f>
        <v>1</v>
      </c>
      <c r="P547" s="526"/>
      <c r="Q547" s="526">
        <v>1</v>
      </c>
      <c r="R547" s="526"/>
      <c r="S547" s="526"/>
      <c r="T547" s="395" cm="1">
        <f t="array" ref="T547">IFERROR(_xlfn.IFS(W547=1,1,V547=1,1,U547=1,1,X547=1,1),0)</f>
        <v>0</v>
      </c>
      <c r="U547" s="526"/>
      <c r="V547" s="526"/>
      <c r="W547" s="526"/>
      <c r="X547" s="526"/>
      <c r="BE547" s="507">
        <v>2</v>
      </c>
    </row>
    <row r="548" spans="1:57" s="536" customFormat="1" ht="12.75" hidden="1" customHeight="1" outlineLevel="2">
      <c r="A548" s="539"/>
      <c r="B548" s="523"/>
      <c r="C548" s="522"/>
      <c r="D548" s="531"/>
      <c r="E548" s="573" t="s">
        <v>2862</v>
      </c>
      <c r="F548" s="533" t="s">
        <v>2863</v>
      </c>
      <c r="G548" s="539"/>
      <c r="H548" s="503" t="s">
        <v>107</v>
      </c>
      <c r="I548" s="400" t="str">
        <f t="shared" ref="I548" si="59">CONCATENATE(H548,"-",J548)</f>
        <v>AM-2</v>
      </c>
      <c r="J548" s="507">
        <v>2</v>
      </c>
      <c r="K548" s="539"/>
      <c r="L548" s="395">
        <v>1</v>
      </c>
      <c r="M548" s="539"/>
      <c r="N548" s="397" t="s">
        <v>193</v>
      </c>
      <c r="O548" s="395"/>
      <c r="Q548" s="526"/>
      <c r="R548" s="526"/>
      <c r="S548" s="526"/>
      <c r="T548" s="395"/>
      <c r="U548" s="526"/>
      <c r="V548" s="526"/>
      <c r="W548" s="526"/>
      <c r="X548" s="526"/>
    </row>
    <row r="549" spans="1:57" s="536" customFormat="1" ht="3" hidden="1" customHeight="1" outlineLevel="1"/>
    <row r="550" spans="1:57" s="536" customFormat="1" ht="12.75" hidden="1" customHeight="1" outlineLevel="1">
      <c r="A550" s="507"/>
      <c r="B550" s="460" t="s">
        <v>169</v>
      </c>
      <c r="C550" s="460" t="s">
        <v>114</v>
      </c>
      <c r="D550" s="460"/>
      <c r="E550" s="460"/>
      <c r="F550" s="460"/>
      <c r="G550" s="507"/>
      <c r="H550" s="503"/>
      <c r="I550" s="400"/>
      <c r="J550" s="507"/>
      <c r="K550" s="507"/>
      <c r="M550" s="507"/>
      <c r="N550" s="397"/>
      <c r="O550" s="395"/>
      <c r="P550" s="526"/>
      <c r="R550" s="526"/>
      <c r="S550" s="526"/>
      <c r="T550" s="395"/>
    </row>
    <row r="551" spans="1:57" ht="12.75" hidden="1" customHeight="1" outlineLevel="2">
      <c r="A551" s="507"/>
      <c r="B551" s="540"/>
      <c r="C551" s="537"/>
      <c r="D551" s="538"/>
      <c r="E551" s="532"/>
      <c r="F551" s="533" t="s">
        <v>114</v>
      </c>
      <c r="G551" s="507"/>
      <c r="H551" s="503" t="s">
        <v>107</v>
      </c>
      <c r="I551" s="400" t="str">
        <f t="shared" ref="I551" si="60">CONCATENATE(H551,"-",J551)</f>
        <v>AM-3</v>
      </c>
      <c r="J551" s="507">
        <v>3</v>
      </c>
      <c r="K551" s="507"/>
      <c r="M551" s="507"/>
      <c r="N551" s="397"/>
      <c r="O551" s="395" cm="1">
        <f t="array" ref="O551">IFERROR(_xlfn.IFS(R551=1,1,Q551=1,1,P551=1,1,S551=1,1),0)</f>
        <v>1</v>
      </c>
      <c r="Q551" s="527"/>
      <c r="R551" s="526">
        <v>1</v>
      </c>
      <c r="S551" s="529"/>
      <c r="T551" s="395" cm="1">
        <f t="array" ref="T551">IFERROR(_xlfn.IFS(W551=1,1,V551=1,1,U551=1,1,X551=1,1),0)</f>
        <v>0</v>
      </c>
    </row>
    <row r="552" spans="1:57" s="536" customFormat="1" ht="3" hidden="1" customHeight="1" outlineLevel="1">
      <c r="A552" s="507"/>
      <c r="B552" s="540"/>
      <c r="C552" s="522"/>
      <c r="D552" s="531"/>
      <c r="E552" s="532"/>
      <c r="F552" s="533"/>
      <c r="G552" s="507"/>
      <c r="H552" s="503"/>
      <c r="I552" s="400"/>
      <c r="J552" s="507"/>
      <c r="K552" s="507"/>
      <c r="M552" s="507"/>
      <c r="N552" s="397"/>
      <c r="O552" s="395"/>
      <c r="P552" s="526"/>
      <c r="Q552" s="526"/>
      <c r="R552" s="526"/>
      <c r="S552" s="526"/>
      <c r="T552" s="395"/>
    </row>
    <row r="553" spans="1:57" s="536" customFormat="1" ht="12.75" hidden="1" customHeight="1" outlineLevel="1">
      <c r="A553" s="507"/>
      <c r="B553" s="460" t="s">
        <v>171</v>
      </c>
      <c r="C553" s="460" t="s">
        <v>118</v>
      </c>
      <c r="D553" s="460"/>
      <c r="E553" s="460"/>
      <c r="F553" s="460"/>
      <c r="G553" s="507"/>
      <c r="H553" s="503"/>
      <c r="I553" s="400"/>
      <c r="J553" s="507"/>
      <c r="K553" s="507"/>
      <c r="M553" s="507"/>
      <c r="N553" s="397"/>
      <c r="O553" s="395"/>
      <c r="P553" s="526"/>
      <c r="Q553" s="526"/>
      <c r="R553" s="526"/>
      <c r="S553" s="526"/>
      <c r="T553" s="395"/>
    </row>
    <row r="554" spans="1:57" ht="12.75" hidden="1" customHeight="1" outlineLevel="2">
      <c r="A554" s="507"/>
      <c r="B554" s="540"/>
      <c r="C554" s="537"/>
      <c r="D554" s="538"/>
      <c r="E554" s="532"/>
      <c r="F554" s="533" t="s">
        <v>118</v>
      </c>
      <c r="G554" s="507"/>
      <c r="H554" s="503" t="s">
        <v>107</v>
      </c>
      <c r="I554" s="400" t="str">
        <f t="shared" ref="I554" si="61">CONCATENATE(H554,"-",J554)</f>
        <v>AM-NA</v>
      </c>
      <c r="J554" s="507" t="s">
        <v>1120</v>
      </c>
      <c r="K554" s="507"/>
      <c r="M554" s="507"/>
      <c r="N554" s="397"/>
      <c r="O554" s="395" cm="1">
        <f t="array" ref="O554">IFERROR(_xlfn.IFS(R554=1,1,Q554=1,1,P554=1,1,S554=1,1),0)</f>
        <v>0</v>
      </c>
      <c r="R554" s="527"/>
      <c r="T554" s="395" cm="1">
        <f t="array" ref="T554">IFERROR(_xlfn.IFS(W554=1,1,V554=1,1,U554=1,1,X554=1,1),0)</f>
        <v>0</v>
      </c>
    </row>
    <row r="555" spans="1:57" ht="12.75" hidden="1" customHeight="1"/>
    <row r="556" spans="1:57" ht="12.75" hidden="1" customHeight="1"/>
    <row r="557" spans="1:57" ht="12.75" hidden="1" customHeight="1"/>
    <row r="558" spans="1:57" ht="12.75" hidden="1" customHeight="1"/>
  </sheetData>
  <autoFilter ref="B7:X558" xr:uid="{7C3EEEF0-E660-428F-AD1E-E226572B89A7}">
    <filterColumn colId="7">
      <filters>
        <filter val="MP-3"/>
      </filters>
    </filterColumn>
  </autoFilter>
  <sortState xmlns:xlrd2="http://schemas.microsoft.com/office/spreadsheetml/2017/richdata2" ref="B52:BE58">
    <sortCondition ref="F52:F58"/>
  </sortState>
  <mergeCells count="9">
    <mergeCell ref="B5:F5"/>
    <mergeCell ref="O3:O5"/>
    <mergeCell ref="T3:T5"/>
    <mergeCell ref="B3:F3"/>
    <mergeCell ref="H3:H5"/>
    <mergeCell ref="I3:I5"/>
    <mergeCell ref="J3:J5"/>
    <mergeCell ref="L3:L5"/>
    <mergeCell ref="N3:N5"/>
  </mergeCells>
  <phoneticPr fontId="44" type="noConversion"/>
  <conditionalFormatting sqref="B13:F13 H13:J13 B16:F42 H16:J42 B45:F49 H45:J49 B52:F59 H52:J59 C61:F61 B63:F75 B129:F143 B145:F160 B162:F162 B326:F362 B364:F392 B394:F430 B432:F468 B470:F506 B508:F508 B539:F539 H539:J560 B541:F549 B551:F552 B554:F560 B526:F537 B224:F273 B275:F324 B77:F127 B164:F222 H162:J506 H61:J160 H508:J537 B510:F524">
    <cfRule type="expression" dxfId="50" priority="134285">
      <formula>AND($O13=1,$T13&lt;&gt;1)</formula>
    </cfRule>
    <cfRule type="expression" dxfId="49" priority="134286">
      <formula>OR($L13=1,$T13=1)</formula>
    </cfRule>
    <cfRule type="expression" dxfId="48" priority="134287">
      <formula>($J13="NA")</formula>
    </cfRule>
  </conditionalFormatting>
  <conditionalFormatting sqref="L220:L221 L199 L202:L217 L166:L187">
    <cfRule type="iconSet" priority="134391">
      <iconSet iconSet="3Symbols2" showValue="0">
        <cfvo type="percent" val="0"/>
        <cfvo type="num" val="0"/>
        <cfvo type="num" val="1"/>
      </iconSet>
    </cfRule>
  </conditionalFormatting>
  <conditionalFormatting sqref="L271:L272">
    <cfRule type="iconSet" priority="134399">
      <iconSet iconSet="3Symbols2" showValue="0">
        <cfvo type="percent" val="0"/>
        <cfvo type="num" val="0"/>
        <cfvo type="num" val="1"/>
      </iconSet>
    </cfRule>
  </conditionalFormatting>
  <conditionalFormatting sqref="L291:L292">
    <cfRule type="iconSet" priority="134400">
      <iconSet iconSet="3Symbols2" showValue="0">
        <cfvo type="percent" val="0"/>
        <cfvo type="num" val="0"/>
        <cfvo type="num" val="1"/>
      </iconSet>
    </cfRule>
  </conditionalFormatting>
  <conditionalFormatting sqref="L337:L338">
    <cfRule type="iconSet" priority="134405">
      <iconSet iconSet="3Symbols2" showValue="0">
        <cfvo type="percent" val="0"/>
        <cfvo type="num" val="0"/>
        <cfvo type="num" val="1"/>
      </iconSet>
    </cfRule>
  </conditionalFormatting>
  <conditionalFormatting sqref="L360:L361">
    <cfRule type="iconSet" priority="134406">
      <iconSet iconSet="3Symbols2" showValue="0">
        <cfvo type="percent" val="0"/>
        <cfvo type="num" val="0"/>
        <cfvo type="num" val="1"/>
      </iconSet>
    </cfRule>
  </conditionalFormatting>
  <conditionalFormatting sqref="L375:L376">
    <cfRule type="iconSet" priority="134407">
      <iconSet iconSet="3Symbols2" showValue="0">
        <cfvo type="percent" val="0"/>
        <cfvo type="num" val="0"/>
        <cfvo type="num" val="1"/>
      </iconSet>
    </cfRule>
  </conditionalFormatting>
  <conditionalFormatting sqref="L390:L391 L384:L387 L381 L367:L374">
    <cfRule type="iconSet" priority="134408">
      <iconSet iconSet="3Symbols2" showValue="0">
        <cfvo type="percent" val="0"/>
        <cfvo type="num" val="0"/>
        <cfvo type="num" val="1"/>
      </iconSet>
    </cfRule>
  </conditionalFormatting>
  <conditionalFormatting sqref="L405:L406">
    <cfRule type="iconSet" priority="134412">
      <iconSet iconSet="3Symbols2" showValue="0">
        <cfvo type="percent" val="0"/>
        <cfvo type="num" val="0"/>
        <cfvo type="num" val="1"/>
      </iconSet>
    </cfRule>
  </conditionalFormatting>
  <conditionalFormatting sqref="L428:L429">
    <cfRule type="iconSet" priority="134413">
      <iconSet iconSet="3Symbols2" showValue="0">
        <cfvo type="percent" val="0"/>
        <cfvo type="num" val="0"/>
        <cfvo type="num" val="1"/>
      </iconSet>
    </cfRule>
  </conditionalFormatting>
  <conditionalFormatting sqref="L443:L444">
    <cfRule type="iconSet" priority="134414">
      <iconSet iconSet="3Symbols2" showValue="0">
        <cfvo type="percent" val="0"/>
        <cfvo type="num" val="0"/>
        <cfvo type="num" val="1"/>
      </iconSet>
    </cfRule>
  </conditionalFormatting>
  <conditionalFormatting sqref="L466:L467">
    <cfRule type="iconSet" priority="134415">
      <iconSet iconSet="3Symbols2" showValue="0">
        <cfvo type="percent" val="0"/>
        <cfvo type="num" val="0"/>
        <cfvo type="num" val="1"/>
      </iconSet>
    </cfRule>
  </conditionalFormatting>
  <conditionalFormatting sqref="L481:L482">
    <cfRule type="iconSet" priority="134416">
      <iconSet iconSet="3Symbols2" showValue="0">
        <cfvo type="percent" val="0"/>
        <cfvo type="num" val="0"/>
        <cfvo type="num" val="1"/>
      </iconSet>
    </cfRule>
  </conditionalFormatting>
  <conditionalFormatting sqref="L504:L505">
    <cfRule type="iconSet" priority="134456">
      <iconSet iconSet="3Symbols2" showValue="0">
        <cfvo type="percent" val="0"/>
        <cfvo type="num" val="0"/>
        <cfvo type="num" val="1"/>
      </iconSet>
    </cfRule>
  </conditionalFormatting>
  <conditionalFormatting sqref="O303:O304 O293 T274:T277 O274:O277 O295:O296 T293 T295:T296 T303:T304 L293:L296 L288:L290 L274:L285 L303:L317">
    <cfRule type="iconSet" priority="122204">
      <iconSet iconSet="3Symbols2" showValue="0">
        <cfvo type="percent" val="0"/>
        <cfvo type="num" val="0"/>
        <cfvo type="num" val="1"/>
      </iconSet>
    </cfRule>
  </conditionalFormatting>
  <conditionalFormatting sqref="O339 O341:O342 O345:O346 T339 T341:T342 T345:T346">
    <cfRule type="iconSet" priority="118">
      <iconSet iconSet="3Symbols2" showValue="0">
        <cfvo type="percent" val="0"/>
        <cfvo type="num" val="0"/>
        <cfvo type="num" val="1"/>
      </iconSet>
    </cfRule>
  </conditionalFormatting>
  <conditionalFormatting sqref="O407 L393:L404 T393:T396 O393:O396 O409:O410 O413:O414 O426 T407 T409:T410 T413:T414 T426 L407:L426">
    <cfRule type="iconSet" priority="596">
      <iconSet iconSet="3Symbols2" showValue="0">
        <cfvo type="percent" val="0"/>
        <cfvo type="num" val="0"/>
        <cfvo type="num" val="1"/>
      </iconSet>
    </cfRule>
  </conditionalFormatting>
  <conditionalFormatting sqref="O445 L431:L442 T431:T434 O431:O434 O447:O448 O451:O452 O464 T445 T447:T448 T451:T452 T464 L445:L464">
    <cfRule type="iconSet" priority="595">
      <iconSet iconSet="3Symbols2" showValue="0">
        <cfvo type="percent" val="0"/>
        <cfvo type="num" val="0"/>
        <cfvo type="num" val="1"/>
      </iconSet>
    </cfRule>
  </conditionalFormatting>
  <conditionalFormatting sqref="O483 L469:L480 T469:T472 O469:O472 O485:O486 O489:O490 T483 T485:T486 T489:T490 L483:L501">
    <cfRule type="iconSet" priority="594">
      <iconSet iconSet="3Symbols2" showValue="0">
        <cfvo type="percent" val="0"/>
        <cfvo type="num" val="0"/>
        <cfvo type="num" val="1"/>
      </iconSet>
    </cfRule>
  </conditionalFormatting>
  <conditionalFormatting sqref="O43:X44 L43:L44">
    <cfRule type="iconSet" priority="603">
      <iconSet iconSet="3Symbols2" showValue="0">
        <cfvo type="percent" val="0"/>
        <cfvo type="num" val="0"/>
        <cfvo type="num" val="1"/>
      </iconSet>
    </cfRule>
  </conditionalFormatting>
  <conditionalFormatting sqref="L502 O162:X175 O188:X188 O190:X198 P189:S189 O200:X201 P199:S199 O218:X219 P202:S217 O222:X222 P220:S221 U189:X189 U199:X199 U202:X217 U220:X221 L358 O392:X392 U378:W378 U381:W381 U384:W387 U390:W391 T379:W380 T377:W377 P367:P374 L377:L392 L363:L374 O363:X366 P381 P384:P387 P390:P391 U367:X374 X377:X391 U358:X358 R390:R391 R384:R387 R381 R367:R374 O377:S380 O382:W383 O388:W389 O502:X502 P176:S187 U176:X187 L162:L222">
    <cfRule type="iconSet" priority="587">
      <iconSet iconSet="3Symbols2" showValue="0">
        <cfvo type="percent" val="0"/>
        <cfvo type="num" val="0"/>
        <cfvo type="num" val="1"/>
      </iconSet>
    </cfRule>
  </conditionalFormatting>
  <conditionalFormatting sqref="L270:L273 O273:X273 S271:S272 U271:X272 O270:X270">
    <cfRule type="iconSet" priority="225">
      <iconSet iconSet="3Symbols2" showValue="0">
        <cfvo type="percent" val="0"/>
        <cfvo type="num" val="0"/>
        <cfvo type="num" val="1"/>
      </iconSet>
    </cfRule>
  </conditionalFormatting>
  <conditionalFormatting sqref="O324:X324 O318:X319 V297:X302 V320:X323 S297:S302 S320:S323 L297:L302 L318:L324">
    <cfRule type="iconSet" priority="213">
      <iconSet iconSet="3Symbols2" showValue="0">
        <cfvo type="percent" val="0"/>
        <cfvo type="num" val="0"/>
        <cfvo type="num" val="1"/>
      </iconSet>
    </cfRule>
  </conditionalFormatting>
  <conditionalFormatting sqref="O362:X362 U360:W361 L359:L362 U359:X359">
    <cfRule type="iconSet" priority="197">
      <iconSet iconSet="3Symbols2" showValue="0">
        <cfvo type="percent" val="0"/>
        <cfvo type="num" val="0"/>
        <cfvo type="num" val="1"/>
      </iconSet>
    </cfRule>
  </conditionalFormatting>
  <conditionalFormatting sqref="O430:X430 S428:S429 U428:X429 L427:L430 O427:Q427 S427:X427">
    <cfRule type="iconSet" priority="181">
      <iconSet iconSet="3Symbols2" showValue="0">
        <cfvo type="percent" val="0"/>
        <cfvo type="num" val="0"/>
        <cfvo type="num" val="1"/>
      </iconSet>
    </cfRule>
  </conditionalFormatting>
  <conditionalFormatting sqref="O468:X468 S466:S467 U466:X467 L465:L468 O465:Q465 S465:X465">
    <cfRule type="iconSet" priority="165">
      <iconSet iconSet="3Symbols2" showValue="0">
        <cfvo type="percent" val="0"/>
        <cfvo type="num" val="0"/>
        <cfvo type="num" val="1"/>
      </iconSet>
    </cfRule>
  </conditionalFormatting>
  <conditionalFormatting sqref="O506:X506 S504:S505 U504:X505 L503:L506 O503:Q503 S503:X503 R503:R505">
    <cfRule type="iconSet" priority="149">
      <iconSet iconSet="3Symbols2" showValue="0">
        <cfvo type="percent" val="0"/>
        <cfvo type="num" val="0"/>
        <cfvo type="num" val="1"/>
      </iconSet>
    </cfRule>
  </conditionalFormatting>
  <conditionalFormatting sqref="P10:P12">
    <cfRule type="iconSet" priority="586">
      <iconSet iconSet="3Symbols2" showValue="0">
        <cfvo type="percent" val="0"/>
        <cfvo type="num" val="0"/>
        <cfvo type="num" val="1"/>
      </iconSet>
    </cfRule>
  </conditionalFormatting>
  <conditionalFormatting sqref="P407:P426 P393:P404">
    <cfRule type="iconSet" priority="584">
      <iconSet iconSet="3Symbols2" showValue="0">
        <cfvo type="percent" val="0"/>
        <cfvo type="num" val="0"/>
        <cfvo type="num" val="1"/>
      </iconSet>
    </cfRule>
  </conditionalFormatting>
  <conditionalFormatting sqref="P445:P464 P431:P442">
    <cfRule type="iconSet" priority="583">
      <iconSet iconSet="3Symbols2" showValue="0">
        <cfvo type="percent" val="0"/>
        <cfvo type="num" val="0"/>
        <cfvo type="num" val="1"/>
      </iconSet>
    </cfRule>
  </conditionalFormatting>
  <conditionalFormatting sqref="P469:P480 P483:P501">
    <cfRule type="iconSet" priority="122090">
      <iconSet iconSet="3Symbols2" showValue="0">
        <cfvo type="percent" val="0"/>
        <cfvo type="num" val="0"/>
        <cfvo type="num" val="1"/>
      </iconSet>
    </cfRule>
  </conditionalFormatting>
  <conditionalFormatting sqref="P541:P547 P549:P550 P146:P159 R511:R520">
    <cfRule type="iconSet" priority="551">
      <iconSet iconSet="3Symbols2" showValue="0">
        <cfvo type="percent" val="0"/>
        <cfvo type="num" val="0"/>
        <cfvo type="num" val="1"/>
      </iconSet>
    </cfRule>
    <cfRule type="iconSet" priority="552">
      <iconSet iconSet="3Symbols2" showValue="0">
        <cfvo type="percent" val="0"/>
        <cfvo type="num" val="0"/>
        <cfvo type="num" val="1"/>
      </iconSet>
    </cfRule>
  </conditionalFormatting>
  <conditionalFormatting sqref="P552">
    <cfRule type="iconSet" priority="580">
      <iconSet iconSet="3Symbols2" showValue="0">
        <cfvo type="percent" val="0"/>
        <cfvo type="num" val="0"/>
        <cfvo type="num" val="1"/>
      </iconSet>
    </cfRule>
    <cfRule type="iconSet" priority="581">
      <iconSet iconSet="3Symbols2" showValue="0">
        <cfvo type="percent" val="0"/>
        <cfvo type="num" val="0"/>
        <cfvo type="num" val="1"/>
      </iconSet>
    </cfRule>
  </conditionalFormatting>
  <conditionalFormatting sqref="P553">
    <cfRule type="iconSet" priority="578">
      <iconSet iconSet="3Symbols2" showValue="0">
        <cfvo type="percent" val="0"/>
        <cfvo type="num" val="0"/>
        <cfvo type="num" val="1"/>
      </iconSet>
    </cfRule>
    <cfRule type="iconSet" priority="579">
      <iconSet iconSet="3Symbols2" showValue="0">
        <cfvo type="percent" val="0"/>
        <cfvo type="num" val="0"/>
        <cfvo type="num" val="1"/>
      </iconSet>
    </cfRule>
  </conditionalFormatting>
  <conditionalFormatting sqref="Q10:Q12">
    <cfRule type="iconSet" priority="577">
      <iconSet iconSet="3Symbols2" showValue="0">
        <cfvo type="percent" val="0"/>
        <cfvo type="num" val="0"/>
        <cfvo type="num" val="1"/>
      </iconSet>
    </cfRule>
  </conditionalFormatting>
  <conditionalFormatting sqref="Q303:Q317 Q293:Q296 Q288:Q290 Q274:Q285">
    <cfRule type="iconSet" priority="122578">
      <iconSet iconSet="3Symbols2" showValue="0">
        <cfvo type="percent" val="0"/>
        <cfvo type="num" val="0"/>
        <cfvo type="num" val="1"/>
      </iconSet>
    </cfRule>
  </conditionalFormatting>
  <conditionalFormatting sqref="Q325:Q328">
    <cfRule type="iconSet" priority="573">
      <iconSet iconSet="3Symbols2" showValue="0">
        <cfvo type="percent" val="0"/>
        <cfvo type="num" val="0"/>
        <cfvo type="num" val="1"/>
      </iconSet>
    </cfRule>
  </conditionalFormatting>
  <conditionalFormatting sqref="Q426 Q393:Q396">
    <cfRule type="iconSet" priority="570">
      <iconSet iconSet="3Symbols2" showValue="0">
        <cfvo type="percent" val="0"/>
        <cfvo type="num" val="0"/>
        <cfvo type="num" val="1"/>
      </iconSet>
    </cfRule>
  </conditionalFormatting>
  <conditionalFormatting sqref="Q445:Q464 Q431:Q442">
    <cfRule type="iconSet" priority="569">
      <iconSet iconSet="3Symbols2" showValue="0">
        <cfvo type="percent" val="0"/>
        <cfvo type="num" val="0"/>
        <cfvo type="num" val="1"/>
      </iconSet>
    </cfRule>
  </conditionalFormatting>
  <conditionalFormatting sqref="Q469:Q472">
    <cfRule type="iconSet" priority="568">
      <iconSet iconSet="3Symbols2" showValue="0">
        <cfvo type="percent" val="0"/>
        <cfvo type="num" val="0"/>
        <cfvo type="num" val="1"/>
      </iconSet>
    </cfRule>
  </conditionalFormatting>
  <conditionalFormatting sqref="Q473:Q480 R469:R472 Q483:Q501">
    <cfRule type="iconSet" priority="122092">
      <iconSet iconSet="3Symbols2" showValue="0">
        <cfvo type="percent" val="0"/>
        <cfvo type="num" val="0"/>
        <cfvo type="num" val="1"/>
      </iconSet>
    </cfRule>
  </conditionalFormatting>
  <conditionalFormatting sqref="Q487:Q488 Q473:Q480 Q491:Q501">
    <cfRule type="iconSet" priority="566">
      <iconSet iconSet="3Symbols2" showValue="0">
        <cfvo type="percent" val="0"/>
        <cfvo type="num" val="0"/>
        <cfvo type="num" val="1"/>
      </iconSet>
    </cfRule>
  </conditionalFormatting>
  <conditionalFormatting sqref="Q530">
    <cfRule type="iconSet" priority="576">
      <iconSet iconSet="3Symbols2" showValue="0">
        <cfvo type="percent" val="0"/>
        <cfvo type="num" val="0"/>
        <cfvo type="num" val="1"/>
      </iconSet>
    </cfRule>
  </conditionalFormatting>
  <conditionalFormatting sqref="Q552">
    <cfRule type="iconSet" priority="564">
      <iconSet iconSet="3Symbols2" showValue="0">
        <cfvo type="percent" val="0"/>
        <cfvo type="num" val="0"/>
        <cfvo type="num" val="1"/>
      </iconSet>
    </cfRule>
    <cfRule type="iconSet" priority="565">
      <iconSet iconSet="3Symbols2" showValue="0">
        <cfvo type="percent" val="0"/>
        <cfvo type="num" val="0"/>
        <cfvo type="num" val="1"/>
      </iconSet>
    </cfRule>
  </conditionalFormatting>
  <conditionalFormatting sqref="Q553">
    <cfRule type="iconSet" priority="562">
      <iconSet iconSet="3Symbols2" showValue="0">
        <cfvo type="percent" val="0"/>
        <cfvo type="num" val="0"/>
        <cfvo type="num" val="1"/>
      </iconSet>
    </cfRule>
    <cfRule type="iconSet" priority="563">
      <iconSet iconSet="3Symbols2" showValue="0">
        <cfvo type="percent" val="0"/>
        <cfvo type="num" val="0"/>
        <cfvo type="num" val="1"/>
      </iconSet>
    </cfRule>
  </conditionalFormatting>
  <conditionalFormatting sqref="Q531:Q536 U531:X536 S531:S536">
    <cfRule type="iconSet" priority="561">
      <iconSet iconSet="3Symbols2" showValue="0">
        <cfvo type="percent" val="0"/>
        <cfvo type="num" val="0"/>
        <cfvo type="num" val="1"/>
      </iconSet>
    </cfRule>
  </conditionalFormatting>
  <conditionalFormatting sqref="R10:R12">
    <cfRule type="iconSet" priority="560">
      <iconSet iconSet="3Symbols2" showValue="0">
        <cfvo type="percent" val="0"/>
        <cfvo type="num" val="0"/>
        <cfvo type="num" val="1"/>
      </iconSet>
    </cfRule>
  </conditionalFormatting>
  <conditionalFormatting sqref="R271:R272">
    <cfRule type="iconSet" priority="215">
      <iconSet iconSet="3Symbols2" showValue="0">
        <cfvo type="percent" val="0"/>
        <cfvo type="num" val="0"/>
        <cfvo type="num" val="1"/>
      </iconSet>
    </cfRule>
  </conditionalFormatting>
  <conditionalFormatting sqref="R291:R292">
    <cfRule type="iconSet" priority="331">
      <iconSet iconSet="3Symbols2" showValue="0">
        <cfvo type="percent" val="0"/>
        <cfvo type="num" val="0"/>
        <cfvo type="num" val="1"/>
      </iconSet>
    </cfRule>
  </conditionalFormatting>
  <conditionalFormatting sqref="R303:R317 R293:R296 R288:R290 R274:R285">
    <cfRule type="iconSet" priority="122592">
      <iconSet iconSet="3Symbols2" showValue="0">
        <cfvo type="percent" val="0"/>
        <cfvo type="num" val="0"/>
        <cfvo type="num" val="1"/>
      </iconSet>
    </cfRule>
  </conditionalFormatting>
  <conditionalFormatting sqref="R325:R328">
    <cfRule type="iconSet" priority="556">
      <iconSet iconSet="3Symbols2" showValue="0">
        <cfvo type="percent" val="0"/>
        <cfvo type="num" val="0"/>
        <cfvo type="num" val="1"/>
      </iconSet>
    </cfRule>
  </conditionalFormatting>
  <conditionalFormatting sqref="R337:R338">
    <cfRule type="iconSet" priority="115">
      <iconSet iconSet="3Symbols2" showValue="0">
        <cfvo type="percent" val="0"/>
        <cfvo type="num" val="0"/>
        <cfvo type="num" val="1"/>
      </iconSet>
    </cfRule>
  </conditionalFormatting>
  <conditionalFormatting sqref="R339:R357 R329:R336">
    <cfRule type="iconSet" priority="114">
      <iconSet iconSet="3Symbols2" showValue="0">
        <cfvo type="percent" val="0"/>
        <cfvo type="num" val="0"/>
        <cfvo type="num" val="1"/>
      </iconSet>
    </cfRule>
  </conditionalFormatting>
  <conditionalFormatting sqref="R360:R361">
    <cfRule type="iconSet" priority="113">
      <iconSet iconSet="3Symbols2" showValue="0">
        <cfvo type="percent" val="0"/>
        <cfvo type="num" val="0"/>
        <cfvo type="num" val="1"/>
      </iconSet>
    </cfRule>
  </conditionalFormatting>
  <conditionalFormatting sqref="R375:R376">
    <cfRule type="iconSet" priority="297">
      <iconSet iconSet="3Symbols2" showValue="0">
        <cfvo type="percent" val="0"/>
        <cfvo type="num" val="0"/>
        <cfvo type="num" val="1"/>
      </iconSet>
    </cfRule>
  </conditionalFormatting>
  <conditionalFormatting sqref="R393:R396">
    <cfRule type="iconSet" priority="554">
      <iconSet iconSet="3Symbols2" showValue="0">
        <cfvo type="percent" val="0"/>
        <cfvo type="num" val="0"/>
        <cfvo type="num" val="1"/>
      </iconSet>
    </cfRule>
  </conditionalFormatting>
  <conditionalFormatting sqref="R431:R434">
    <cfRule type="iconSet" priority="553">
      <iconSet iconSet="3Symbols2" showValue="0">
        <cfvo type="percent" val="0"/>
        <cfvo type="num" val="0"/>
        <cfvo type="num" val="1"/>
      </iconSet>
    </cfRule>
  </conditionalFormatting>
  <conditionalFormatting sqref="R541:R547 R549:R550">
    <cfRule type="iconSet" priority="549">
      <iconSet iconSet="3Symbols2" showValue="0">
        <cfvo type="percent" val="0"/>
        <cfvo type="num" val="0"/>
        <cfvo type="num" val="1"/>
      </iconSet>
    </cfRule>
    <cfRule type="iconSet" priority="550">
      <iconSet iconSet="3Symbols2" showValue="0">
        <cfvo type="percent" val="0"/>
        <cfvo type="num" val="0"/>
        <cfvo type="num" val="1"/>
      </iconSet>
    </cfRule>
  </conditionalFormatting>
  <conditionalFormatting sqref="R551 Q554:S554">
    <cfRule type="iconSet" priority="547">
      <iconSet iconSet="3Symbols2" showValue="0">
        <cfvo type="percent" val="0"/>
        <cfvo type="num" val="0"/>
        <cfvo type="num" val="1"/>
      </iconSet>
    </cfRule>
    <cfRule type="iconSet" priority="548">
      <iconSet iconSet="3Symbols2" showValue="0">
        <cfvo type="percent" val="0"/>
        <cfvo type="num" val="0"/>
        <cfvo type="num" val="1"/>
      </iconSet>
    </cfRule>
  </conditionalFormatting>
  <conditionalFormatting sqref="R552:S552">
    <cfRule type="iconSet" priority="546">
      <iconSet iconSet="3Symbols2" showValue="0">
        <cfvo type="percent" val="0"/>
        <cfvo type="num" val="0"/>
        <cfvo type="num" val="1"/>
      </iconSet>
    </cfRule>
  </conditionalFormatting>
  <conditionalFormatting sqref="R553:S553">
    <cfRule type="iconSet" priority="545">
      <iconSet iconSet="3Symbols2" showValue="0">
        <cfvo type="percent" val="0"/>
        <cfvo type="num" val="0"/>
        <cfvo type="num" val="1"/>
      </iconSet>
    </cfRule>
  </conditionalFormatting>
  <conditionalFormatting sqref="S291:S292">
    <cfRule type="iconSet" priority="330">
      <iconSet iconSet="3Symbols2" showValue="0">
        <cfvo type="percent" val="0"/>
        <cfvo type="num" val="0"/>
        <cfvo type="num" val="1"/>
      </iconSet>
    </cfRule>
  </conditionalFormatting>
  <conditionalFormatting sqref="S303:S317 S293:S296 S288:S290 S274:S285">
    <cfRule type="iconSet" priority="122605">
      <iconSet iconSet="3Symbols2" showValue="0">
        <cfvo type="percent" val="0"/>
        <cfvo type="num" val="0"/>
        <cfvo type="num" val="1"/>
      </iconSet>
    </cfRule>
  </conditionalFormatting>
  <conditionalFormatting sqref="S325:S328">
    <cfRule type="iconSet" priority="540">
      <iconSet iconSet="3Symbols2" showValue="0">
        <cfvo type="percent" val="0"/>
        <cfvo type="num" val="0"/>
        <cfvo type="num" val="1"/>
      </iconSet>
    </cfRule>
  </conditionalFormatting>
  <conditionalFormatting sqref="S337:S338">
    <cfRule type="iconSet" priority="112">
      <iconSet iconSet="3Symbols2" showValue="0">
        <cfvo type="percent" val="0"/>
        <cfvo type="num" val="0"/>
        <cfvo type="num" val="1"/>
      </iconSet>
    </cfRule>
  </conditionalFormatting>
  <conditionalFormatting sqref="S339:S357 S329:S336">
    <cfRule type="iconSet" priority="111">
      <iconSet iconSet="3Symbols2" showValue="0">
        <cfvo type="percent" val="0"/>
        <cfvo type="num" val="0"/>
        <cfvo type="num" val="1"/>
      </iconSet>
    </cfRule>
  </conditionalFormatting>
  <conditionalFormatting sqref="S360:S361 O358:T359">
    <cfRule type="iconSet" priority="117">
      <iconSet iconSet="3Symbols2" showValue="0">
        <cfvo type="percent" val="0"/>
        <cfvo type="num" val="0"/>
        <cfvo type="num" val="1"/>
      </iconSet>
    </cfRule>
  </conditionalFormatting>
  <conditionalFormatting sqref="S367:S376">
    <cfRule type="iconSet" priority="106">
      <iconSet iconSet="3Symbols2" showValue="0">
        <cfvo type="percent" val="0"/>
        <cfvo type="num" val="0"/>
        <cfvo type="num" val="1"/>
      </iconSet>
    </cfRule>
  </conditionalFormatting>
  <conditionalFormatting sqref="S381">
    <cfRule type="iconSet" priority="104">
      <iconSet iconSet="3Symbols2" showValue="0">
        <cfvo type="percent" val="0"/>
        <cfvo type="num" val="0"/>
        <cfvo type="num" val="1"/>
      </iconSet>
    </cfRule>
    <cfRule type="iconSet" priority="105">
      <iconSet iconSet="3Symbols2" showValue="0">
        <cfvo type="percent" val="0"/>
        <cfvo type="num" val="0"/>
        <cfvo type="num" val="1"/>
      </iconSet>
    </cfRule>
  </conditionalFormatting>
  <conditionalFormatting sqref="S384:S387">
    <cfRule type="iconSet" priority="102">
      <iconSet iconSet="3Symbols2" showValue="0">
        <cfvo type="percent" val="0"/>
        <cfvo type="num" val="0"/>
        <cfvo type="num" val="1"/>
      </iconSet>
    </cfRule>
    <cfRule type="iconSet" priority="103">
      <iconSet iconSet="3Symbols2" showValue="0">
        <cfvo type="percent" val="0"/>
        <cfvo type="num" val="0"/>
        <cfvo type="num" val="1"/>
      </iconSet>
    </cfRule>
  </conditionalFormatting>
  <conditionalFormatting sqref="S390:S391">
    <cfRule type="iconSet" priority="100">
      <iconSet iconSet="3Symbols2" showValue="0">
        <cfvo type="percent" val="0"/>
        <cfvo type="num" val="0"/>
        <cfvo type="num" val="1"/>
      </iconSet>
    </cfRule>
    <cfRule type="iconSet" priority="101">
      <iconSet iconSet="3Symbols2" showValue="0">
        <cfvo type="percent" val="0"/>
        <cfvo type="num" val="0"/>
        <cfvo type="num" val="1"/>
      </iconSet>
    </cfRule>
  </conditionalFormatting>
  <conditionalFormatting sqref="S393:S396">
    <cfRule type="iconSet" priority="538">
      <iconSet iconSet="3Symbols2" showValue="0">
        <cfvo type="percent" val="0"/>
        <cfvo type="num" val="0"/>
        <cfvo type="num" val="1"/>
      </iconSet>
    </cfRule>
  </conditionalFormatting>
  <conditionalFormatting sqref="S405:S406">
    <cfRule type="iconSet" priority="130">
      <iconSet iconSet="3Symbols2" showValue="0">
        <cfvo type="percent" val="0"/>
        <cfvo type="num" val="0"/>
        <cfvo type="num" val="1"/>
      </iconSet>
    </cfRule>
    <cfRule type="iconSet" priority="277">
      <iconSet iconSet="3Symbols2" showValue="0">
        <cfvo type="percent" val="0"/>
        <cfvo type="num" val="0"/>
        <cfvo type="num" val="1"/>
      </iconSet>
    </cfRule>
  </conditionalFormatting>
  <conditionalFormatting sqref="S407:S426 S397:S404">
    <cfRule type="iconSet" priority="537">
      <iconSet iconSet="3Symbols2" showValue="0">
        <cfvo type="percent" val="0"/>
        <cfvo type="num" val="0"/>
        <cfvo type="num" val="1"/>
      </iconSet>
    </cfRule>
  </conditionalFormatting>
  <conditionalFormatting sqref="S428:S429">
    <cfRule type="iconSet" priority="133">
      <iconSet iconSet="3Symbols2" showValue="0">
        <cfvo type="percent" val="0"/>
        <cfvo type="num" val="0"/>
        <cfvo type="num" val="1"/>
      </iconSet>
    </cfRule>
  </conditionalFormatting>
  <conditionalFormatting sqref="S443:S444">
    <cfRule type="iconSet" priority="134">
      <iconSet iconSet="3Symbols2" showValue="0">
        <cfvo type="percent" val="0"/>
        <cfvo type="num" val="0"/>
        <cfvo type="num" val="1"/>
      </iconSet>
    </cfRule>
    <cfRule type="iconSet" priority="258">
      <iconSet iconSet="3Symbols2" showValue="0">
        <cfvo type="percent" val="0"/>
        <cfvo type="num" val="0"/>
        <cfvo type="num" val="1"/>
      </iconSet>
    </cfRule>
  </conditionalFormatting>
  <conditionalFormatting sqref="S445:S464 S431:S442">
    <cfRule type="iconSet" priority="536">
      <iconSet iconSet="3Symbols2" showValue="0">
        <cfvo type="percent" val="0"/>
        <cfvo type="num" val="0"/>
        <cfvo type="num" val="1"/>
      </iconSet>
    </cfRule>
  </conditionalFormatting>
  <conditionalFormatting sqref="S466:S467">
    <cfRule type="iconSet" priority="136">
      <iconSet iconSet="3Symbols2" showValue="0">
        <cfvo type="percent" val="0"/>
        <cfvo type="num" val="0"/>
        <cfvo type="num" val="1"/>
      </iconSet>
    </cfRule>
  </conditionalFormatting>
  <conditionalFormatting sqref="S469:S480 S483:S501">
    <cfRule type="iconSet" priority="122106">
      <iconSet iconSet="3Symbols2" showValue="0">
        <cfvo type="percent" val="0"/>
        <cfvo type="num" val="0"/>
        <cfvo type="num" val="1"/>
      </iconSet>
    </cfRule>
  </conditionalFormatting>
  <conditionalFormatting sqref="S481:S482">
    <cfRule type="iconSet" priority="137">
      <iconSet iconSet="3Symbols2" showValue="0">
        <cfvo type="percent" val="0"/>
        <cfvo type="num" val="0"/>
        <cfvo type="num" val="1"/>
      </iconSet>
    </cfRule>
    <cfRule type="iconSet" priority="239">
      <iconSet iconSet="3Symbols2" showValue="0">
        <cfvo type="percent" val="0"/>
        <cfvo type="num" val="0"/>
        <cfvo type="num" val="1"/>
      </iconSet>
    </cfRule>
  </conditionalFormatting>
  <conditionalFormatting sqref="S504:S505">
    <cfRule type="iconSet" priority="138">
      <iconSet iconSet="3Symbols2" showValue="0">
        <cfvo type="percent" val="0"/>
        <cfvo type="num" val="0"/>
        <cfvo type="num" val="1"/>
      </iconSet>
    </cfRule>
  </conditionalFormatting>
  <conditionalFormatting sqref="S526:S529 S521:S523">
    <cfRule type="iconSet" priority="123035">
      <iconSet iconSet="3Symbols2" showValue="0">
        <cfvo type="percent" val="0"/>
        <cfvo type="num" val="0"/>
        <cfvo type="num" val="1"/>
      </iconSet>
    </cfRule>
    <cfRule type="iconSet" priority="123036">
      <iconSet iconSet="3Symbols2" showValue="0">
        <cfvo type="percent" val="0"/>
        <cfvo type="num" val="0"/>
        <cfvo type="num" val="1"/>
      </iconSet>
    </cfRule>
  </conditionalFormatting>
  <conditionalFormatting sqref="S530">
    <cfRule type="iconSet" priority="543">
      <iconSet iconSet="3Symbols2" showValue="0">
        <cfvo type="percent" val="0"/>
        <cfvo type="num" val="0"/>
        <cfvo type="num" val="1"/>
      </iconSet>
    </cfRule>
  </conditionalFormatting>
  <conditionalFormatting sqref="T10:T11">
    <cfRule type="iconSet" priority="532">
      <iconSet iconSet="3Symbols2" showValue="0">
        <cfvo type="percent" val="0"/>
        <cfvo type="num" val="0"/>
        <cfvo type="num" val="1"/>
      </iconSet>
    </cfRule>
  </conditionalFormatting>
  <conditionalFormatting sqref="T325:T328 L325:L336 O325:O328 L339:L357">
    <cfRule type="iconSet" priority="598">
      <iconSet iconSet="3Symbols2" showValue="0">
        <cfvo type="percent" val="0"/>
        <cfvo type="num" val="0"/>
        <cfvo type="num" val="1"/>
      </iconSet>
    </cfRule>
  </conditionalFormatting>
  <conditionalFormatting sqref="U10:U11">
    <cfRule type="iconSet" priority="529">
      <iconSet iconSet="3Symbols2" showValue="0">
        <cfvo type="percent" val="0"/>
        <cfvo type="num" val="0"/>
        <cfvo type="num" val="1"/>
      </iconSet>
    </cfRule>
  </conditionalFormatting>
  <conditionalFormatting sqref="U539:U1048576 U7:U8 U377:U396 U293:U296 U339:U374 U426:U442 U445:U480 U483:U506 U14:U59 U270:U277 U303:U304 U318:U319 U324:U336 U520:U537 V517:V519 U61:U67 U162:U224 U72:U160 U508:U516">
    <cfRule type="iconSet" priority="521">
      <iconSet iconSet="3Symbols2" showValue="0">
        <cfvo type="percent" val="0"/>
        <cfvo type="num" val="0"/>
        <cfvo type="num" val="1"/>
      </iconSet>
    </cfRule>
  </conditionalFormatting>
  <conditionalFormatting sqref="U303:U304 U293:U296 U274:U277">
    <cfRule type="iconSet" priority="122659">
      <iconSet iconSet="3Symbols2" showValue="0">
        <cfvo type="percent" val="0"/>
        <cfvo type="num" val="0"/>
        <cfvo type="num" val="1"/>
      </iconSet>
    </cfRule>
  </conditionalFormatting>
  <conditionalFormatting sqref="U337:U338">
    <cfRule type="iconSet" priority="314">
      <iconSet iconSet="3Symbols2" showValue="0">
        <cfvo type="percent" val="0"/>
        <cfvo type="num" val="0"/>
        <cfvo type="num" val="1"/>
      </iconSet>
    </cfRule>
  </conditionalFormatting>
  <conditionalFormatting sqref="U339:U357 U325:U336">
    <cfRule type="iconSet" priority="524">
      <iconSet iconSet="3Symbols2" showValue="0">
        <cfvo type="percent" val="0"/>
        <cfvo type="num" val="0"/>
        <cfvo type="num" val="1"/>
      </iconSet>
    </cfRule>
  </conditionalFormatting>
  <conditionalFormatting sqref="U375:U376">
    <cfRule type="iconSet" priority="295">
      <iconSet iconSet="3Symbols2" showValue="0">
        <cfvo type="percent" val="0"/>
        <cfvo type="num" val="0"/>
        <cfvo type="num" val="1"/>
      </iconSet>
    </cfRule>
  </conditionalFormatting>
  <conditionalFormatting sqref="U405:U406">
    <cfRule type="iconSet" priority="276">
      <iconSet iconSet="3Symbols2" showValue="0">
        <cfvo type="percent" val="0"/>
        <cfvo type="num" val="0"/>
        <cfvo type="num" val="1"/>
      </iconSet>
    </cfRule>
  </conditionalFormatting>
  <conditionalFormatting sqref="U407:U425 U397:U404">
    <cfRule type="iconSet" priority="523">
      <iconSet iconSet="3Symbols2" showValue="0">
        <cfvo type="percent" val="0"/>
        <cfvo type="num" val="0"/>
        <cfvo type="num" val="1"/>
      </iconSet>
    </cfRule>
  </conditionalFormatting>
  <conditionalFormatting sqref="U426 U393:U396">
    <cfRule type="iconSet" priority="522">
      <iconSet iconSet="3Symbols2" showValue="0">
        <cfvo type="percent" val="0"/>
        <cfvo type="num" val="0"/>
        <cfvo type="num" val="1"/>
      </iconSet>
    </cfRule>
  </conditionalFormatting>
  <conditionalFormatting sqref="U443:U444">
    <cfRule type="iconSet" priority="257">
      <iconSet iconSet="3Symbols2" showValue="0">
        <cfvo type="percent" val="0"/>
        <cfvo type="num" val="0"/>
        <cfvo type="num" val="1"/>
      </iconSet>
    </cfRule>
  </conditionalFormatting>
  <conditionalFormatting sqref="U445:U464 U431:U442">
    <cfRule type="iconSet" priority="520">
      <iconSet iconSet="3Symbols2" showValue="0">
        <cfvo type="percent" val="0"/>
        <cfvo type="num" val="0"/>
        <cfvo type="num" val="1"/>
      </iconSet>
    </cfRule>
  </conditionalFormatting>
  <conditionalFormatting sqref="U469:U480 U483:U501">
    <cfRule type="iconSet" priority="122152">
      <iconSet iconSet="3Symbols2" showValue="0">
        <cfvo type="percent" val="0"/>
        <cfvo type="num" val="0"/>
        <cfvo type="num" val="1"/>
      </iconSet>
    </cfRule>
  </conditionalFormatting>
  <conditionalFormatting sqref="U481:U482">
    <cfRule type="iconSet" priority="238">
      <iconSet iconSet="3Symbols2" showValue="0">
        <cfvo type="percent" val="0"/>
        <cfvo type="num" val="0"/>
        <cfvo type="num" val="1"/>
      </iconSet>
    </cfRule>
  </conditionalFormatting>
  <conditionalFormatting sqref="U530">
    <cfRule type="iconSet" priority="528">
      <iconSet iconSet="3Symbols2" showValue="0">
        <cfvo type="percent" val="0"/>
        <cfvo type="num" val="0"/>
        <cfvo type="num" val="1"/>
      </iconSet>
    </cfRule>
  </conditionalFormatting>
  <conditionalFormatting sqref="V10:V12">
    <cfRule type="iconSet" priority="518">
      <iconSet iconSet="3Symbols2" showValue="0">
        <cfvo type="percent" val="0"/>
        <cfvo type="num" val="0"/>
        <cfvo type="num" val="1"/>
      </iconSet>
    </cfRule>
  </conditionalFormatting>
  <conditionalFormatting sqref="V539:V1048576 V7:V8 V377:V396 V339:V374 V426:V442 V445:V480 V483:V506 V13:V59 V288:V290 V270:V285 V293:V336 V520:V537 V162:V224 V61:V160 V508:V516">
    <cfRule type="iconSet" priority="512">
      <iconSet iconSet="3Symbols2" showValue="0">
        <cfvo type="percent" val="0"/>
        <cfvo type="num" val="0"/>
        <cfvo type="num" val="1"/>
      </iconSet>
    </cfRule>
  </conditionalFormatting>
  <conditionalFormatting sqref="V303:V317 V293:V296 V288:V290 V274:V285">
    <cfRule type="iconSet" priority="122678">
      <iconSet iconSet="3Symbols2" showValue="0">
        <cfvo type="percent" val="0"/>
        <cfvo type="num" val="0"/>
        <cfvo type="num" val="1"/>
      </iconSet>
    </cfRule>
  </conditionalFormatting>
  <conditionalFormatting sqref="V339:V357 V325:V336">
    <cfRule type="iconSet" priority="514">
      <iconSet iconSet="3Symbols2" showValue="0">
        <cfvo type="percent" val="0"/>
        <cfvo type="num" val="0"/>
        <cfvo type="num" val="1"/>
      </iconSet>
    </cfRule>
  </conditionalFormatting>
  <conditionalFormatting sqref="V426 V393:V396">
    <cfRule type="iconSet" priority="513">
      <iconSet iconSet="3Symbols2" showValue="0">
        <cfvo type="percent" val="0"/>
        <cfvo type="num" val="0"/>
        <cfvo type="num" val="1"/>
      </iconSet>
    </cfRule>
  </conditionalFormatting>
  <conditionalFormatting sqref="V445:V464 V431:V442">
    <cfRule type="iconSet" priority="511">
      <iconSet iconSet="3Symbols2" showValue="0">
        <cfvo type="percent" val="0"/>
        <cfvo type="num" val="0"/>
        <cfvo type="num" val="1"/>
      </iconSet>
    </cfRule>
  </conditionalFormatting>
  <conditionalFormatting sqref="V469:V480 V483:V501">
    <cfRule type="iconSet" priority="122166">
      <iconSet iconSet="3Symbols2" showValue="0">
        <cfvo type="percent" val="0"/>
        <cfvo type="num" val="0"/>
        <cfvo type="num" val="1"/>
      </iconSet>
    </cfRule>
  </conditionalFormatting>
  <conditionalFormatting sqref="V530">
    <cfRule type="iconSet" priority="517">
      <iconSet iconSet="3Symbols2" showValue="0">
        <cfvo type="percent" val="0"/>
        <cfvo type="num" val="0"/>
        <cfvo type="num" val="1"/>
      </iconSet>
    </cfRule>
  </conditionalFormatting>
  <conditionalFormatting sqref="W10:W12">
    <cfRule type="iconSet" priority="509">
      <iconSet iconSet="3Symbols2" showValue="0">
        <cfvo type="percent" val="0"/>
        <cfvo type="num" val="0"/>
        <cfvo type="num" val="1"/>
      </iconSet>
    </cfRule>
  </conditionalFormatting>
  <conditionalFormatting sqref="W16:W42">
    <cfRule type="iconSet" priority="146489">
      <iconSet iconSet="3Symbols2" showValue="0">
        <cfvo type="percent" val="0"/>
        <cfvo type="num" val="0"/>
        <cfvo type="num" val="1"/>
      </iconSet>
    </cfRule>
  </conditionalFormatting>
  <conditionalFormatting sqref="W45:W49">
    <cfRule type="iconSet" priority="146865">
      <iconSet iconSet="3Symbols2" showValue="0">
        <cfvo type="percent" val="0"/>
        <cfvo type="num" val="0"/>
        <cfvo type="num" val="1"/>
      </iconSet>
    </cfRule>
  </conditionalFormatting>
  <conditionalFormatting sqref="W52:W58">
    <cfRule type="iconSet" priority="147246">
      <iconSet iconSet="3Symbols2" showValue="0">
        <cfvo type="percent" val="0"/>
        <cfvo type="num" val="0"/>
        <cfvo type="num" val="1"/>
      </iconSet>
    </cfRule>
  </conditionalFormatting>
  <conditionalFormatting sqref="W63:W73">
    <cfRule type="iconSet" priority="95">
      <iconSet iconSet="3Symbols2" showValue="0">
        <cfvo type="percent" val="0"/>
        <cfvo type="num" val="0"/>
        <cfvo type="num" val="1"/>
      </iconSet>
    </cfRule>
  </conditionalFormatting>
  <conditionalFormatting sqref="W77:W79">
    <cfRule type="iconSet" priority="149621">
      <iconSet iconSet="3Symbols2" showValue="0">
        <cfvo type="percent" val="0"/>
        <cfvo type="num" val="0"/>
        <cfvo type="num" val="1"/>
      </iconSet>
    </cfRule>
  </conditionalFormatting>
  <conditionalFormatting sqref="W539:W1048576 W7:W8 W377:W396 W339:W374 W426:W442 W445:W480 W483:W506 W13:W59 W288:W290 W270:W285 W293:W336 W162:W224 W61:W160 W508:W537">
    <cfRule type="iconSet" priority="499">
      <iconSet iconSet="3Symbols2" showValue="0">
        <cfvo type="percent" val="0"/>
        <cfvo type="num" val="0"/>
        <cfvo type="num" val="1"/>
      </iconSet>
    </cfRule>
  </conditionalFormatting>
  <conditionalFormatting sqref="W291:W292">
    <cfRule type="iconSet" priority="327">
      <iconSet iconSet="3Symbols2" showValue="0">
        <cfvo type="percent" val="0"/>
        <cfvo type="num" val="0"/>
        <cfvo type="num" val="1"/>
      </iconSet>
    </cfRule>
    <cfRule type="iconSet" priority="328">
      <iconSet iconSet="3Symbols2" showValue="0">
        <cfvo type="percent" val="0"/>
        <cfvo type="num" val="0"/>
        <cfvo type="num" val="1"/>
      </iconSet>
    </cfRule>
  </conditionalFormatting>
  <conditionalFormatting sqref="W303:W317 W293:W296 W288:W290 W274:W285">
    <cfRule type="iconSet" priority="122696">
      <iconSet iconSet="3Symbols2" showValue="0">
        <cfvo type="percent" val="0"/>
        <cfvo type="num" val="0"/>
        <cfvo type="num" val="1"/>
      </iconSet>
    </cfRule>
  </conditionalFormatting>
  <conditionalFormatting sqref="W337:W338">
    <cfRule type="iconSet" priority="312">
      <iconSet iconSet="3Symbols2" showValue="0">
        <cfvo type="percent" val="0"/>
        <cfvo type="num" val="0"/>
        <cfvo type="num" val="1"/>
      </iconSet>
    </cfRule>
    <cfRule type="iconSet" priority="313">
      <iconSet iconSet="3Symbols2" showValue="0">
        <cfvo type="percent" val="0"/>
        <cfvo type="num" val="0"/>
        <cfvo type="num" val="1"/>
      </iconSet>
    </cfRule>
  </conditionalFormatting>
  <conditionalFormatting sqref="W339:W357 W325:W336">
    <cfRule type="iconSet" priority="503">
      <iconSet iconSet="3Symbols2" showValue="0">
        <cfvo type="percent" val="0"/>
        <cfvo type="num" val="0"/>
        <cfvo type="num" val="1"/>
      </iconSet>
    </cfRule>
  </conditionalFormatting>
  <conditionalFormatting sqref="W375:W376">
    <cfRule type="iconSet" priority="293">
      <iconSet iconSet="3Symbols2" showValue="0">
        <cfvo type="percent" val="0"/>
        <cfvo type="num" val="0"/>
        <cfvo type="num" val="1"/>
      </iconSet>
    </cfRule>
    <cfRule type="iconSet" priority="294">
      <iconSet iconSet="3Symbols2" showValue="0">
        <cfvo type="percent" val="0"/>
        <cfvo type="num" val="0"/>
        <cfvo type="num" val="1"/>
      </iconSet>
    </cfRule>
  </conditionalFormatting>
  <conditionalFormatting sqref="W405:W406">
    <cfRule type="iconSet" priority="274">
      <iconSet iconSet="3Symbols2" showValue="0">
        <cfvo type="percent" val="0"/>
        <cfvo type="num" val="0"/>
        <cfvo type="num" val="1"/>
      </iconSet>
    </cfRule>
    <cfRule type="iconSet" priority="275">
      <iconSet iconSet="3Symbols2" showValue="0">
        <cfvo type="percent" val="0"/>
        <cfvo type="num" val="0"/>
        <cfvo type="num" val="1"/>
      </iconSet>
    </cfRule>
  </conditionalFormatting>
  <conditionalFormatting sqref="W407:W425 W397:W404">
    <cfRule type="iconSet" priority="502">
      <iconSet iconSet="3Symbols2" showValue="0">
        <cfvo type="percent" val="0"/>
        <cfvo type="num" val="0"/>
        <cfvo type="num" val="1"/>
      </iconSet>
    </cfRule>
  </conditionalFormatting>
  <conditionalFormatting sqref="W411:W412 W397:W404 W415:W425">
    <cfRule type="iconSet" priority="501">
      <iconSet iconSet="3Symbols2" showValue="0">
        <cfvo type="percent" val="0"/>
        <cfvo type="num" val="0"/>
        <cfvo type="num" val="1"/>
      </iconSet>
    </cfRule>
  </conditionalFormatting>
  <conditionalFormatting sqref="W426 W393:W396">
    <cfRule type="iconSet" priority="500">
      <iconSet iconSet="3Symbols2" showValue="0">
        <cfvo type="percent" val="0"/>
        <cfvo type="num" val="0"/>
        <cfvo type="num" val="1"/>
      </iconSet>
    </cfRule>
  </conditionalFormatting>
  <conditionalFormatting sqref="W443:W444">
    <cfRule type="iconSet" priority="255">
      <iconSet iconSet="3Symbols2" showValue="0">
        <cfvo type="percent" val="0"/>
        <cfvo type="num" val="0"/>
        <cfvo type="num" val="1"/>
      </iconSet>
    </cfRule>
    <cfRule type="iconSet" priority="256">
      <iconSet iconSet="3Symbols2" showValue="0">
        <cfvo type="percent" val="0"/>
        <cfvo type="num" val="0"/>
        <cfvo type="num" val="1"/>
      </iconSet>
    </cfRule>
  </conditionalFormatting>
  <conditionalFormatting sqref="W445:W464 W431:W442">
    <cfRule type="iconSet" priority="498">
      <iconSet iconSet="3Symbols2" showValue="0">
        <cfvo type="percent" val="0"/>
        <cfvo type="num" val="0"/>
        <cfvo type="num" val="1"/>
      </iconSet>
    </cfRule>
  </conditionalFormatting>
  <conditionalFormatting sqref="W469:W480 W483:W501">
    <cfRule type="iconSet" priority="122180">
      <iconSet iconSet="3Symbols2" showValue="0">
        <cfvo type="percent" val="0"/>
        <cfvo type="num" val="0"/>
        <cfvo type="num" val="1"/>
      </iconSet>
    </cfRule>
  </conditionalFormatting>
  <conditionalFormatting sqref="W481:W482">
    <cfRule type="iconSet" priority="236">
      <iconSet iconSet="3Symbols2" showValue="0">
        <cfvo type="percent" val="0"/>
        <cfvo type="num" val="0"/>
        <cfvo type="num" val="1"/>
      </iconSet>
    </cfRule>
    <cfRule type="iconSet" priority="237">
      <iconSet iconSet="3Symbols2" showValue="0">
        <cfvo type="percent" val="0"/>
        <cfvo type="num" val="0"/>
        <cfvo type="num" val="1"/>
      </iconSet>
    </cfRule>
  </conditionalFormatting>
  <conditionalFormatting sqref="W530">
    <cfRule type="iconSet" priority="508">
      <iconSet iconSet="3Symbols2" showValue="0">
        <cfvo type="percent" val="0"/>
        <cfvo type="num" val="0"/>
        <cfvo type="num" val="1"/>
      </iconSet>
    </cfRule>
  </conditionalFormatting>
  <conditionalFormatting sqref="X80:X100">
    <cfRule type="iconSet" priority="92">
      <iconSet iconSet="3Symbols2" showValue="0">
        <cfvo type="percent" val="0"/>
        <cfvo type="num" val="0"/>
        <cfvo type="num" val="1"/>
      </iconSet>
    </cfRule>
    <cfRule type="iconSet" priority="93">
      <iconSet iconSet="3Symbols2" showValue="0">
        <cfvo type="percent" val="0"/>
        <cfvo type="num" val="0"/>
        <cfvo type="num" val="1"/>
      </iconSet>
    </cfRule>
  </conditionalFormatting>
  <conditionalFormatting sqref="X116">
    <cfRule type="iconSet" priority="88">
      <iconSet iconSet="3Symbols2" showValue="0">
        <cfvo type="percent" val="0"/>
        <cfvo type="num" val="0"/>
        <cfvo type="num" val="1"/>
      </iconSet>
    </cfRule>
    <cfRule type="iconSet" priority="89">
      <iconSet iconSet="3Symbols2" showValue="0">
        <cfvo type="percent" val="0"/>
        <cfvo type="num" val="0"/>
        <cfvo type="num" val="1"/>
      </iconSet>
    </cfRule>
  </conditionalFormatting>
  <conditionalFormatting sqref="X117:X126">
    <cfRule type="iconSet" priority="153360">
      <iconSet iconSet="3Symbols2" showValue="0">
        <cfvo type="percent" val="0"/>
        <cfvo type="num" val="0"/>
        <cfvo type="num" val="1"/>
      </iconSet>
    </cfRule>
  </conditionalFormatting>
  <conditionalFormatting sqref="X220:X221 X202:X217 X199 X176:X187">
    <cfRule type="iconSet" priority="493">
      <iconSet iconSet="3Symbols2" showValue="0">
        <cfvo type="percent" val="0"/>
        <cfvo type="num" val="0"/>
        <cfvo type="num" val="1"/>
      </iconSet>
    </cfRule>
  </conditionalFormatting>
  <conditionalFormatting sqref="X271:X272">
    <cfRule type="iconSet" priority="224">
      <iconSet iconSet="3Symbols2" showValue="0">
        <cfvo type="percent" val="0"/>
        <cfvo type="num" val="0"/>
        <cfvo type="num" val="1"/>
      </iconSet>
    </cfRule>
  </conditionalFormatting>
  <conditionalFormatting sqref="X291:X292">
    <cfRule type="iconSet" priority="326">
      <iconSet iconSet="3Symbols2" showValue="0">
        <cfvo type="percent" val="0"/>
        <cfvo type="num" val="0"/>
        <cfvo type="num" val="1"/>
      </iconSet>
    </cfRule>
  </conditionalFormatting>
  <conditionalFormatting sqref="X303:X317 X293:X296 X288:X290 X274:X285">
    <cfRule type="iconSet" priority="122717">
      <iconSet iconSet="3Symbols2" showValue="0">
        <cfvo type="percent" val="0"/>
        <cfvo type="num" val="0"/>
        <cfvo type="num" val="1"/>
      </iconSet>
    </cfRule>
  </conditionalFormatting>
  <conditionalFormatting sqref="X325:X328">
    <cfRule type="iconSet" priority="490">
      <iconSet iconSet="3Symbols2" showValue="0">
        <cfvo type="percent" val="0"/>
        <cfvo type="num" val="0"/>
        <cfvo type="num" val="1"/>
      </iconSet>
    </cfRule>
  </conditionalFormatting>
  <conditionalFormatting sqref="X329:X361">
    <cfRule type="iconSet" priority="122">
      <iconSet iconSet="3Symbols2" showValue="0">
        <cfvo type="percent" val="0"/>
        <cfvo type="num" val="0"/>
        <cfvo type="num" val="1"/>
      </iconSet>
    </cfRule>
  </conditionalFormatting>
  <conditionalFormatting sqref="X337:X338">
    <cfRule type="iconSet" priority="121">
      <iconSet iconSet="3Symbols2" showValue="0">
        <cfvo type="percent" val="0"/>
        <cfvo type="num" val="0"/>
        <cfvo type="num" val="1"/>
      </iconSet>
    </cfRule>
  </conditionalFormatting>
  <conditionalFormatting sqref="X339:X357 X329:X336">
    <cfRule type="iconSet" priority="120">
      <iconSet iconSet="3Symbols2" showValue="0">
        <cfvo type="percent" val="0"/>
        <cfvo type="num" val="0"/>
        <cfvo type="num" val="1"/>
      </iconSet>
    </cfRule>
  </conditionalFormatting>
  <conditionalFormatting sqref="X360:X361">
    <cfRule type="iconSet" priority="119">
      <iconSet iconSet="3Symbols2" showValue="0">
        <cfvo type="percent" val="0"/>
        <cfvo type="num" val="0"/>
        <cfvo type="num" val="1"/>
      </iconSet>
    </cfRule>
  </conditionalFormatting>
  <conditionalFormatting sqref="X375:X376">
    <cfRule type="iconSet" priority="124">
      <iconSet iconSet="3Symbols2" showValue="0">
        <cfvo type="percent" val="0"/>
        <cfvo type="num" val="0"/>
        <cfvo type="num" val="1"/>
      </iconSet>
    </cfRule>
    <cfRule type="iconSet" priority="125">
      <iconSet iconSet="3Symbols2" showValue="0">
        <cfvo type="percent" val="0"/>
        <cfvo type="num" val="0"/>
        <cfvo type="num" val="1"/>
      </iconSet>
    </cfRule>
    <cfRule type="iconSet" priority="126">
      <iconSet iconSet="3Symbols2" showValue="0">
        <cfvo type="percent" val="0"/>
        <cfvo type="num" val="0"/>
        <cfvo type="num" val="1"/>
      </iconSet>
    </cfRule>
  </conditionalFormatting>
  <conditionalFormatting sqref="X390:X391 X384:X387 X381 X367:X374">
    <cfRule type="iconSet" priority="123">
      <iconSet iconSet="3Symbols2" showValue="0">
        <cfvo type="percent" val="0"/>
        <cfvo type="num" val="0"/>
        <cfvo type="num" val="1"/>
      </iconSet>
    </cfRule>
  </conditionalFormatting>
  <conditionalFormatting sqref="X405:X406">
    <cfRule type="iconSet" priority="273">
      <iconSet iconSet="3Symbols2" showValue="0">
        <cfvo type="percent" val="0"/>
        <cfvo type="num" val="0"/>
        <cfvo type="num" val="1"/>
      </iconSet>
    </cfRule>
  </conditionalFormatting>
  <conditionalFormatting sqref="X407:X426 X393:X404">
    <cfRule type="iconSet" priority="488">
      <iconSet iconSet="3Symbols2" showValue="0">
        <cfvo type="percent" val="0"/>
        <cfvo type="num" val="0"/>
        <cfvo type="num" val="1"/>
      </iconSet>
    </cfRule>
  </conditionalFormatting>
  <conditionalFormatting sqref="X428:X429">
    <cfRule type="iconSet" priority="180">
      <iconSet iconSet="3Symbols2" showValue="0">
        <cfvo type="percent" val="0"/>
        <cfvo type="num" val="0"/>
        <cfvo type="num" val="1"/>
      </iconSet>
    </cfRule>
  </conditionalFormatting>
  <conditionalFormatting sqref="X443:X444">
    <cfRule type="iconSet" priority="254">
      <iconSet iconSet="3Symbols2" showValue="0">
        <cfvo type="percent" val="0"/>
        <cfvo type="num" val="0"/>
        <cfvo type="num" val="1"/>
      </iconSet>
    </cfRule>
  </conditionalFormatting>
  <conditionalFormatting sqref="X445:X464 X431:X442">
    <cfRule type="iconSet" priority="487">
      <iconSet iconSet="3Symbols2" showValue="0">
        <cfvo type="percent" val="0"/>
        <cfvo type="num" val="0"/>
        <cfvo type="num" val="1"/>
      </iconSet>
    </cfRule>
  </conditionalFormatting>
  <conditionalFormatting sqref="X466:X467">
    <cfRule type="iconSet" priority="164">
      <iconSet iconSet="3Symbols2" showValue="0">
        <cfvo type="percent" val="0"/>
        <cfvo type="num" val="0"/>
        <cfvo type="num" val="1"/>
      </iconSet>
    </cfRule>
  </conditionalFormatting>
  <conditionalFormatting sqref="X469:X480 X483:X501">
    <cfRule type="iconSet" priority="122194">
      <iconSet iconSet="3Symbols2" showValue="0">
        <cfvo type="percent" val="0"/>
        <cfvo type="num" val="0"/>
        <cfvo type="num" val="1"/>
      </iconSet>
    </cfRule>
  </conditionalFormatting>
  <conditionalFormatting sqref="X481:X482">
    <cfRule type="iconSet" priority="235">
      <iconSet iconSet="3Symbols2" showValue="0">
        <cfvo type="percent" val="0"/>
        <cfvo type="num" val="0"/>
        <cfvo type="num" val="1"/>
      </iconSet>
    </cfRule>
  </conditionalFormatting>
  <conditionalFormatting sqref="X504:X505">
    <cfRule type="iconSet" priority="148">
      <iconSet iconSet="3Symbols2" showValue="0">
        <cfvo type="percent" val="0"/>
        <cfvo type="num" val="0"/>
        <cfvo type="num" val="1"/>
      </iconSet>
    </cfRule>
  </conditionalFormatting>
  <conditionalFormatting sqref="X539:X1048576 X7:X8 X13:X59 X392:X506 X362:X366 X162:X328 X61:X160 X508:X537">
    <cfRule type="iconSet" priority="494">
      <iconSet iconSet="3Symbols2" showValue="0">
        <cfvo type="percent" val="0"/>
        <cfvo type="num" val="0"/>
        <cfvo type="num" val="1"/>
      </iconSet>
    </cfRule>
  </conditionalFormatting>
  <conditionalFormatting sqref="X530">
    <cfRule type="iconSet" priority="495">
      <iconSet iconSet="3Symbols2" showValue="0">
        <cfvo type="percent" val="0"/>
        <cfvo type="num" val="0"/>
        <cfvo type="num" val="1"/>
      </iconSet>
    </cfRule>
  </conditionalFormatting>
  <conditionalFormatting sqref="X548 X101:X115">
    <cfRule type="iconSet" priority="152255">
      <iconSet iconSet="3Symbols2" showValue="0">
        <cfvo type="percent" val="0"/>
        <cfvo type="num" val="0"/>
        <cfvo type="num" val="1"/>
      </iconSet>
    </cfRule>
  </conditionalFormatting>
  <conditionalFormatting sqref="W126">
    <cfRule type="iconSet" priority="86">
      <iconSet iconSet="3Symbols2" showValue="0">
        <cfvo type="percent" val="0"/>
        <cfvo type="num" val="0"/>
        <cfvo type="num" val="1"/>
      </iconSet>
    </cfRule>
  </conditionalFormatting>
  <conditionalFormatting sqref="O556:Q556 R146:S159 R13:S13 O263 O7:T8 O274:O277 Q274:T277 O555:T555 O557:T1048576 S556:T556 R263:U263 O524:T525 L59 L13 O188:T188 O190:T198 O200:T201 O218:T219 O222:T224 O265:O266 O293 Q293:T293 O295:O296 Q295:T296 O303:O304 Q303:T304 O325:O328 Q325:T328 O537:T537 S541:S547 S549:S550 R265:U266 U264 R269:U269 Q45:S49 Q52:S58 P189:S189 P199:S199 P202:S217 P220:S221 R264:S264 Q294:S294 Q305:S313 P551 P526:P529 P521:P523 P137:P142 O407:P407 O483:Q483 T483 O392:T396 O409:P410 O413:P414 O445:Q445 O447:Q448 O451:Q452 O485:Q486 O489:Q490 U408 U411:U412 U415:U425 T485:T486 T489:T490 P367:P374 P397:P404 P408 P411:P412 P415:P425 P435:Q442 P446:Q446 P449:Q450 P453:Q463 P473:Q480 P484:Q484 P487:Q488 P491:Q501 T388:T389 T382:T383 T379:T380 T377 T413:U414 T409:U410 T464 T451:T452 T447:T448 T445 T407:U407 T426 O14:O15 Q14:T15 O50:O51 Q50:T51 O59:T59 O61:T62 O75:O76 Q75:T76 O127:T128 O143:P145 R143:T145 O160:T160 O162:T175 O508:T509 O539:T540 P554 O43:T44 W291:W292 R291:S292 W337:W338 U337:U338 P377:P391 W375:W376 U375:U376 W397:W425 U397:U406 W443:W444 U443:U444 W481:W482 U481:U482 O269:O270 O273:T273 R271:S272 O324:T324 O318:O319 O362:T366 T431:T434 O431:R434 O430:T430 O426:Q427 T469:T472 O469:R472 O468:T468 O464:Q465 O506:T506 O502:Q503 S504:S505 S469:S501 S466:S467 S431:S464 S428:S429 S397:S426 O339 R339:T339 O341:O342 R341:T342 O345:O346 R345:T346 R340:S340 R343:S344 R347:S357 R329:S338 R360:S361 O358:P359 S367:S376 Q16:S42 Q548:S548 Q270:T270 Q318:T319 Q129:S142 Q510:S510 R367:R391 Q367:Q376 R358:T359 Q329:Q361 S502:T503 R473:R505 S465:T465 R435:R467 S427:T427 R397:R429 R225:S262 U225:U262 W225:W269 R267:S268 P225:P272 U267:U268 R297:S302 R320:S323 P278:S282 Q288:S290 Q283:S285 W286:W287 R286:S287 P283:P313 U278:U292 P316:P323 Q316:S317 P314:S315 L530:L536 Q530:Q536 S530:S536 Q77:S126 P176:S187 Q63:S74 S511:S520">
    <cfRule type="iconSet" priority="153361">
      <iconSet iconSet="3Symbols2" showValue="0">
        <cfvo type="percent" val="0"/>
        <cfvo type="num" val="0"/>
        <cfvo type="num" val="1"/>
      </iconSet>
    </cfRule>
  </conditionalFormatting>
  <conditionalFormatting sqref="O556:Q556 U146:X159 L551 O7:X8 O508:X509 O555:X555 O557:X1048576 P6:S6 S556:X556 U6:X6 O524:X525 L6:L8 O61:X62 O75:O76 Q75:X76 O127:X128 O143:P145 R143:X145 O160:X160 Q45:S49 Q52:S58 O537:X537 S541:S547 S549:S550 U129:X142 U526:X529 U520:X523 V517:X519 P526:P529 R146:S159 P137:P142 O14:O15 Q14:X15 O50:O51 Q50:X51 O539:X540 L539:L540 L554:L1048576 R552:S553 L537 L50:L51 U45:X49 U52:X58 U63:X67 L14:L15 Q16:S42 U16:X42 Q548:S548 U541:X554 L61:L62 L75:L76 L127:L160 Q129:S142 Q510:S510 Q77:S126 U77:X126 U72:X74 Q63:S74 V68:X71 U510:X516 S511:S520 L508:L529">
    <cfRule type="iconSet" priority="153546">
      <iconSet iconSet="3Symbols2" showValue="0">
        <cfvo type="percent" val="0"/>
        <cfvo type="num" val="0"/>
        <cfvo type="num" val="1"/>
      </iconSet>
    </cfRule>
  </conditionalFormatting>
  <conditionalFormatting sqref="P13">
    <cfRule type="iconSet" priority="83">
      <iconSet iconSet="3Symbols2" showValue="0">
        <cfvo type="percent" val="0"/>
        <cfvo type="num" val="0"/>
        <cfvo type="num" val="1"/>
      </iconSet>
    </cfRule>
  </conditionalFormatting>
  <conditionalFormatting sqref="P271:P272">
    <cfRule type="iconSet" priority="82">
      <iconSet iconSet="3Symbols2" showValue="0">
        <cfvo type="percent" val="0"/>
        <cfvo type="num" val="0"/>
        <cfvo type="num" val="1"/>
      </iconSet>
    </cfRule>
  </conditionalFormatting>
  <conditionalFormatting sqref="P291:P292">
    <cfRule type="iconSet" priority="81">
      <iconSet iconSet="3Symbols2" showValue="0">
        <cfvo type="percent" val="0"/>
        <cfvo type="num" val="0"/>
        <cfvo type="num" val="1"/>
      </iconSet>
    </cfRule>
  </conditionalFormatting>
  <conditionalFormatting sqref="P303:P317 P293:P296 P288:P290 P278:P285">
    <cfRule type="iconSet" priority="80">
      <iconSet iconSet="3Symbols2" showValue="0">
        <cfvo type="percent" val="0"/>
        <cfvo type="num" val="0"/>
        <cfvo type="num" val="1"/>
      </iconSet>
    </cfRule>
  </conditionalFormatting>
  <conditionalFormatting sqref="Q146:Q159">
    <cfRule type="iconSet" priority="78">
      <iconSet iconSet="3Symbols2" showValue="0">
        <cfvo type="percent" val="0"/>
        <cfvo type="num" val="0"/>
        <cfvo type="num" val="1"/>
      </iconSet>
    </cfRule>
  </conditionalFormatting>
  <conditionalFormatting sqref="Q146:Q159">
    <cfRule type="iconSet" priority="77">
      <iconSet iconSet="3Symbols2" showValue="0">
        <cfvo type="percent" val="0"/>
        <cfvo type="num" val="0"/>
        <cfvo type="num" val="1"/>
      </iconSet>
    </cfRule>
  </conditionalFormatting>
  <conditionalFormatting sqref="R521:R523">
    <cfRule type="iconSet" priority="75">
      <iconSet iconSet="3Symbols2" showValue="0">
        <cfvo type="percent" val="0"/>
        <cfvo type="num" val="0"/>
        <cfvo type="num" val="1"/>
      </iconSet>
    </cfRule>
    <cfRule type="iconSet" priority="76">
      <iconSet iconSet="3Symbols2" showValue="0">
        <cfvo type="percent" val="0"/>
        <cfvo type="num" val="0"/>
        <cfvo type="num" val="1"/>
      </iconSet>
    </cfRule>
  </conditionalFormatting>
  <conditionalFormatting sqref="Q541:Q547">
    <cfRule type="iconSet" priority="73">
      <iconSet iconSet="3Symbols2" showValue="0">
        <cfvo type="percent" val="0"/>
        <cfvo type="num" val="0"/>
        <cfvo type="num" val="1"/>
      </iconSet>
    </cfRule>
    <cfRule type="iconSet" priority="74">
      <iconSet iconSet="3Symbols2" showValue="0">
        <cfvo type="percent" val="0"/>
        <cfvo type="num" val="0"/>
        <cfvo type="num" val="1"/>
      </iconSet>
    </cfRule>
  </conditionalFormatting>
  <conditionalFormatting sqref="Q511:Q520">
    <cfRule type="iconSet" priority="71">
      <iconSet iconSet="3Symbols2" showValue="0">
        <cfvo type="percent" val="0"/>
        <cfvo type="num" val="0"/>
        <cfvo type="num" val="1"/>
      </iconSet>
    </cfRule>
    <cfRule type="iconSet" priority="72">
      <iconSet iconSet="3Symbols2" showValue="0">
        <cfvo type="percent" val="0"/>
        <cfvo type="num" val="0"/>
        <cfvo type="num" val="1"/>
      </iconSet>
    </cfRule>
  </conditionalFormatting>
  <conditionalFormatting sqref="Q521:Q523">
    <cfRule type="iconSet" priority="69">
      <iconSet iconSet="3Symbols2" showValue="0">
        <cfvo type="percent" val="0"/>
        <cfvo type="num" val="0"/>
        <cfvo type="num" val="1"/>
      </iconSet>
    </cfRule>
    <cfRule type="iconSet" priority="70">
      <iconSet iconSet="3Symbols2" showValue="0">
        <cfvo type="percent" val="0"/>
        <cfvo type="num" val="0"/>
        <cfvo type="num" val="1"/>
      </iconSet>
    </cfRule>
  </conditionalFormatting>
  <conditionalFormatting sqref="R526:R536">
    <cfRule type="iconSet" priority="67">
      <iconSet iconSet="3Symbols2" showValue="0">
        <cfvo type="percent" val="0"/>
        <cfvo type="num" val="0"/>
        <cfvo type="num" val="1"/>
      </iconSet>
    </cfRule>
    <cfRule type="iconSet" priority="68">
      <iconSet iconSet="3Symbols2" showValue="0">
        <cfvo type="percent" val="0"/>
        <cfvo type="num" val="0"/>
        <cfvo type="num" val="1"/>
      </iconSet>
    </cfRule>
  </conditionalFormatting>
  <conditionalFormatting sqref="Q367:Q376">
    <cfRule type="iconSet" priority="66">
      <iconSet iconSet="3Symbols2" showValue="0">
        <cfvo type="percent" val="0"/>
        <cfvo type="num" val="0"/>
        <cfvo type="num" val="1"/>
      </iconSet>
    </cfRule>
  </conditionalFormatting>
  <conditionalFormatting sqref="Q381">
    <cfRule type="iconSet" priority="64">
      <iconSet iconSet="3Symbols2" showValue="0">
        <cfvo type="percent" val="0"/>
        <cfvo type="num" val="0"/>
        <cfvo type="num" val="1"/>
      </iconSet>
    </cfRule>
    <cfRule type="iconSet" priority="65">
      <iconSet iconSet="3Symbols2" showValue="0">
        <cfvo type="percent" val="0"/>
        <cfvo type="num" val="0"/>
        <cfvo type="num" val="1"/>
      </iconSet>
    </cfRule>
  </conditionalFormatting>
  <conditionalFormatting sqref="Q384:Q387">
    <cfRule type="iconSet" priority="62">
      <iconSet iconSet="3Symbols2" showValue="0">
        <cfvo type="percent" val="0"/>
        <cfvo type="num" val="0"/>
        <cfvo type="num" val="1"/>
      </iconSet>
    </cfRule>
    <cfRule type="iconSet" priority="63">
      <iconSet iconSet="3Symbols2" showValue="0">
        <cfvo type="percent" val="0"/>
        <cfvo type="num" val="0"/>
        <cfvo type="num" val="1"/>
      </iconSet>
    </cfRule>
  </conditionalFormatting>
  <conditionalFormatting sqref="Q390:Q391">
    <cfRule type="iconSet" priority="60">
      <iconSet iconSet="3Symbols2" showValue="0">
        <cfvo type="percent" val="0"/>
        <cfvo type="num" val="0"/>
        <cfvo type="num" val="1"/>
      </iconSet>
    </cfRule>
    <cfRule type="iconSet" priority="61">
      <iconSet iconSet="3Symbols2" showValue="0">
        <cfvo type="percent" val="0"/>
        <cfvo type="num" val="0"/>
        <cfvo type="num" val="1"/>
      </iconSet>
    </cfRule>
  </conditionalFormatting>
  <conditionalFormatting sqref="Q337:Q338">
    <cfRule type="iconSet" priority="59">
      <iconSet iconSet="3Symbols2" showValue="0">
        <cfvo type="percent" val="0"/>
        <cfvo type="num" val="0"/>
        <cfvo type="num" val="1"/>
      </iconSet>
    </cfRule>
  </conditionalFormatting>
  <conditionalFormatting sqref="Q339:Q357 Q329:Q336">
    <cfRule type="iconSet" priority="58">
      <iconSet iconSet="3Symbols2" showValue="0">
        <cfvo type="percent" val="0"/>
        <cfvo type="num" val="0"/>
        <cfvo type="num" val="1"/>
      </iconSet>
    </cfRule>
  </conditionalFormatting>
  <conditionalFormatting sqref="Q360:Q361">
    <cfRule type="iconSet" priority="57">
      <iconSet iconSet="3Symbols2" showValue="0">
        <cfvo type="percent" val="0"/>
        <cfvo type="num" val="0"/>
        <cfvo type="num" val="1"/>
      </iconSet>
    </cfRule>
  </conditionalFormatting>
  <conditionalFormatting sqref="R473:R480 R483:R501">
    <cfRule type="iconSet" priority="56">
      <iconSet iconSet="3Symbols2" showValue="0">
        <cfvo type="percent" val="0"/>
        <cfvo type="num" val="0"/>
        <cfvo type="num" val="1"/>
      </iconSet>
    </cfRule>
  </conditionalFormatting>
  <conditionalFormatting sqref="R481:R482">
    <cfRule type="iconSet" priority="54">
      <iconSet iconSet="3Symbols2" showValue="0">
        <cfvo type="percent" val="0"/>
        <cfvo type="num" val="0"/>
        <cfvo type="num" val="1"/>
      </iconSet>
    </cfRule>
    <cfRule type="iconSet" priority="55">
      <iconSet iconSet="3Symbols2" showValue="0">
        <cfvo type="percent" val="0"/>
        <cfvo type="num" val="0"/>
        <cfvo type="num" val="1"/>
      </iconSet>
    </cfRule>
  </conditionalFormatting>
  <conditionalFormatting sqref="R504:R505">
    <cfRule type="iconSet" priority="53">
      <iconSet iconSet="3Symbols2" showValue="0">
        <cfvo type="percent" val="0"/>
        <cfvo type="num" val="0"/>
        <cfvo type="num" val="1"/>
      </iconSet>
    </cfRule>
  </conditionalFormatting>
  <conditionalFormatting sqref="R464">
    <cfRule type="iconSet" priority="52">
      <iconSet iconSet="3Symbols2" showValue="0">
        <cfvo type="percent" val="0"/>
        <cfvo type="num" val="0"/>
        <cfvo type="num" val="1"/>
      </iconSet>
    </cfRule>
  </conditionalFormatting>
  <conditionalFormatting sqref="R465:R467">
    <cfRule type="iconSet" priority="51">
      <iconSet iconSet="3Symbols2" showValue="0">
        <cfvo type="percent" val="0"/>
        <cfvo type="num" val="0"/>
        <cfvo type="num" val="1"/>
      </iconSet>
    </cfRule>
  </conditionalFormatting>
  <conditionalFormatting sqref="R435:R442 R445:R463">
    <cfRule type="iconSet" priority="50">
      <iconSet iconSet="3Symbols2" showValue="0">
        <cfvo type="percent" val="0"/>
        <cfvo type="num" val="0"/>
        <cfvo type="num" val="1"/>
      </iconSet>
    </cfRule>
  </conditionalFormatting>
  <conditionalFormatting sqref="R443:R444">
    <cfRule type="iconSet" priority="48">
      <iconSet iconSet="3Symbols2" showValue="0">
        <cfvo type="percent" val="0"/>
        <cfvo type="num" val="0"/>
        <cfvo type="num" val="1"/>
      </iconSet>
    </cfRule>
    <cfRule type="iconSet" priority="49">
      <iconSet iconSet="3Symbols2" showValue="0">
        <cfvo type="percent" val="0"/>
        <cfvo type="num" val="0"/>
        <cfvo type="num" val="1"/>
      </iconSet>
    </cfRule>
  </conditionalFormatting>
  <conditionalFormatting sqref="R466:R467">
    <cfRule type="iconSet" priority="47">
      <iconSet iconSet="3Symbols2" showValue="0">
        <cfvo type="percent" val="0"/>
        <cfvo type="num" val="0"/>
        <cfvo type="num" val="1"/>
      </iconSet>
    </cfRule>
  </conditionalFormatting>
  <conditionalFormatting sqref="R426">
    <cfRule type="iconSet" priority="46">
      <iconSet iconSet="3Symbols2" showValue="0">
        <cfvo type="percent" val="0"/>
        <cfvo type="num" val="0"/>
        <cfvo type="num" val="1"/>
      </iconSet>
    </cfRule>
  </conditionalFormatting>
  <conditionalFormatting sqref="R427:R429">
    <cfRule type="iconSet" priority="45">
      <iconSet iconSet="3Symbols2" showValue="0">
        <cfvo type="percent" val="0"/>
        <cfvo type="num" val="0"/>
        <cfvo type="num" val="1"/>
      </iconSet>
    </cfRule>
  </conditionalFormatting>
  <conditionalFormatting sqref="R397:R404 R407:R425">
    <cfRule type="iconSet" priority="44">
      <iconSet iconSet="3Symbols2" showValue="0">
        <cfvo type="percent" val="0"/>
        <cfvo type="num" val="0"/>
        <cfvo type="num" val="1"/>
      </iconSet>
    </cfRule>
  </conditionalFormatting>
  <conditionalFormatting sqref="R405:R406">
    <cfRule type="iconSet" priority="42">
      <iconSet iconSet="3Symbols2" showValue="0">
        <cfvo type="percent" val="0"/>
        <cfvo type="num" val="0"/>
        <cfvo type="num" val="1"/>
      </iconSet>
    </cfRule>
    <cfRule type="iconSet" priority="43">
      <iconSet iconSet="3Symbols2" showValue="0">
        <cfvo type="percent" val="0"/>
        <cfvo type="num" val="0"/>
        <cfvo type="num" val="1"/>
      </iconSet>
    </cfRule>
  </conditionalFormatting>
  <conditionalFormatting sqref="R428:R429">
    <cfRule type="iconSet" priority="41">
      <iconSet iconSet="3Symbols2" showValue="0">
        <cfvo type="percent" val="0"/>
        <cfvo type="num" val="0"/>
        <cfvo type="num" val="1"/>
      </iconSet>
    </cfRule>
  </conditionalFormatting>
  <conditionalFormatting sqref="U225:U262">
    <cfRule type="iconSet" priority="154219">
      <iconSet iconSet="3Symbols2" showValue="0">
        <cfvo type="percent" val="0"/>
        <cfvo type="num" val="0"/>
        <cfvo type="num" val="1"/>
      </iconSet>
    </cfRule>
  </conditionalFormatting>
  <conditionalFormatting sqref="W225:W262">
    <cfRule type="iconSet" priority="154220">
      <iconSet iconSet="3Symbols2" showValue="0">
        <cfvo type="percent" val="0"/>
        <cfvo type="num" val="0"/>
        <cfvo type="num" val="1"/>
      </iconSet>
    </cfRule>
  </conditionalFormatting>
  <conditionalFormatting sqref="U225:U262">
    <cfRule type="iconSet" priority="35">
      <iconSet iconSet="3Symbols2" showValue="0">
        <cfvo type="percent" val="0"/>
        <cfvo type="num" val="0"/>
        <cfvo type="num" val="1"/>
      </iconSet>
    </cfRule>
  </conditionalFormatting>
  <conditionalFormatting sqref="Q223:Q224">
    <cfRule type="iconSet" priority="154367">
      <iconSet iconSet="3Symbols2" showValue="0">
        <cfvo type="percent" val="0"/>
        <cfvo type="num" val="0"/>
        <cfvo type="num" val="1"/>
      </iconSet>
    </cfRule>
  </conditionalFormatting>
  <conditionalFormatting sqref="R223:R224">
    <cfRule type="iconSet" priority="154377">
      <iconSet iconSet="3Symbols2" showValue="0">
        <cfvo type="percent" val="0"/>
        <cfvo type="num" val="0"/>
        <cfvo type="num" val="1"/>
      </iconSet>
    </cfRule>
  </conditionalFormatting>
  <conditionalFormatting sqref="U223:U224">
    <cfRule type="iconSet" priority="154416">
      <iconSet iconSet="3Symbols2" showValue="0">
        <cfvo type="percent" val="0"/>
        <cfvo type="num" val="0"/>
        <cfvo type="num" val="1"/>
      </iconSet>
    </cfRule>
  </conditionalFormatting>
  <conditionalFormatting sqref="V223:V224">
    <cfRule type="iconSet" priority="154436">
      <iconSet iconSet="3Symbols2" showValue="0">
        <cfvo type="percent" val="0"/>
        <cfvo type="num" val="0"/>
        <cfvo type="num" val="1"/>
      </iconSet>
    </cfRule>
  </conditionalFormatting>
  <conditionalFormatting sqref="W223:W224">
    <cfRule type="iconSet" priority="154454">
      <iconSet iconSet="3Symbols2" showValue="0">
        <cfvo type="percent" val="0"/>
        <cfvo type="num" val="0"/>
        <cfvo type="num" val="1"/>
      </iconSet>
    </cfRule>
  </conditionalFormatting>
  <conditionalFormatting sqref="O269 O263 T223:T224 O223:O224 O265:O266 T263 T265:T266 T269 L223:L269">
    <cfRule type="iconSet" priority="155005">
      <iconSet iconSet="3Symbols2" showValue="0">
        <cfvo type="percent" val="0"/>
        <cfvo type="num" val="0"/>
        <cfvo type="num" val="1"/>
      </iconSet>
    </cfRule>
  </conditionalFormatting>
  <conditionalFormatting sqref="U269 U263:U266">
    <cfRule type="iconSet" priority="155445">
      <iconSet iconSet="3Symbols2" showValue="0">
        <cfvo type="percent" val="0"/>
        <cfvo type="num" val="0"/>
        <cfvo type="num" val="1"/>
      </iconSet>
    </cfRule>
  </conditionalFormatting>
  <conditionalFormatting sqref="W269 W263:W266">
    <cfRule type="iconSet" priority="155446">
      <iconSet iconSet="3Symbols2" showValue="0">
        <cfvo type="percent" val="0"/>
        <cfvo type="num" val="0"/>
        <cfvo type="num" val="1"/>
      </iconSet>
    </cfRule>
  </conditionalFormatting>
  <conditionalFormatting sqref="U267:U268">
    <cfRule type="iconSet" priority="34">
      <iconSet iconSet="3Symbols2" showValue="0">
        <cfvo type="percent" val="0"/>
        <cfvo type="num" val="0"/>
        <cfvo type="num" val="1"/>
      </iconSet>
    </cfRule>
  </conditionalFormatting>
  <conditionalFormatting sqref="W267:W268">
    <cfRule type="iconSet" priority="33">
      <iconSet iconSet="3Symbols2" showValue="0">
        <cfvo type="percent" val="0"/>
        <cfvo type="num" val="0"/>
        <cfvo type="num" val="1"/>
      </iconSet>
    </cfRule>
  </conditionalFormatting>
  <conditionalFormatting sqref="U267:U268">
    <cfRule type="iconSet" priority="32">
      <iconSet iconSet="3Symbols2" showValue="0">
        <cfvo type="percent" val="0"/>
        <cfvo type="num" val="0"/>
        <cfvo type="num" val="1"/>
      </iconSet>
    </cfRule>
  </conditionalFormatting>
  <conditionalFormatting sqref="U297:U302 U320:U323">
    <cfRule type="iconSet" priority="29">
      <iconSet iconSet="3Symbols2" showValue="0">
        <cfvo type="percent" val="0"/>
        <cfvo type="num" val="0"/>
        <cfvo type="num" val="1"/>
      </iconSet>
    </cfRule>
  </conditionalFormatting>
  <conditionalFormatting sqref="L286:L287">
    <cfRule type="iconSet" priority="26">
      <iconSet iconSet="3Symbols2" showValue="0">
        <cfvo type="percent" val="0"/>
        <cfvo type="num" val="0"/>
        <cfvo type="num" val="1"/>
      </iconSet>
    </cfRule>
  </conditionalFormatting>
  <conditionalFormatting sqref="R286:R287">
    <cfRule type="iconSet" priority="25">
      <iconSet iconSet="3Symbols2" showValue="0">
        <cfvo type="percent" val="0"/>
        <cfvo type="num" val="0"/>
        <cfvo type="num" val="1"/>
      </iconSet>
    </cfRule>
  </conditionalFormatting>
  <conditionalFormatting sqref="S286:S287">
    <cfRule type="iconSet" priority="24">
      <iconSet iconSet="3Symbols2" showValue="0">
        <cfvo type="percent" val="0"/>
        <cfvo type="num" val="0"/>
        <cfvo type="num" val="1"/>
      </iconSet>
    </cfRule>
  </conditionalFormatting>
  <conditionalFormatting sqref="W286:W287">
    <cfRule type="iconSet" priority="21">
      <iconSet iconSet="3Symbols2" showValue="0">
        <cfvo type="percent" val="0"/>
        <cfvo type="num" val="0"/>
        <cfvo type="num" val="1"/>
      </iconSet>
    </cfRule>
    <cfRule type="iconSet" priority="22">
      <iconSet iconSet="3Symbols2" showValue="0">
        <cfvo type="percent" val="0"/>
        <cfvo type="num" val="0"/>
        <cfvo type="num" val="1"/>
      </iconSet>
    </cfRule>
  </conditionalFormatting>
  <conditionalFormatting sqref="X286:X287">
    <cfRule type="iconSet" priority="20">
      <iconSet iconSet="3Symbols2" showValue="0">
        <cfvo type="percent" val="0"/>
        <cfvo type="num" val="0"/>
        <cfvo type="num" val="1"/>
      </iconSet>
    </cfRule>
  </conditionalFormatting>
  <conditionalFormatting sqref="P286:P287">
    <cfRule type="iconSet" priority="19">
      <iconSet iconSet="3Symbols2" showValue="0">
        <cfvo type="percent" val="0"/>
        <cfvo type="num" val="0"/>
        <cfvo type="num" val="1"/>
      </iconSet>
    </cfRule>
  </conditionalFormatting>
  <conditionalFormatting sqref="U291:U292">
    <cfRule type="iconSet" priority="18">
      <iconSet iconSet="3Symbols2" showValue="0">
        <cfvo type="percent" val="0"/>
        <cfvo type="num" val="0"/>
        <cfvo type="num" val="1"/>
      </iconSet>
    </cfRule>
  </conditionalFormatting>
  <conditionalFormatting sqref="U288:U290 U278:U285">
    <cfRule type="iconSet" priority="17">
      <iconSet iconSet="3Symbols2" showValue="0">
        <cfvo type="percent" val="0"/>
        <cfvo type="num" val="0"/>
        <cfvo type="num" val="1"/>
      </iconSet>
    </cfRule>
  </conditionalFormatting>
  <conditionalFormatting sqref="U286:U287">
    <cfRule type="iconSet" priority="15">
      <iconSet iconSet="3Symbols2" showValue="0">
        <cfvo type="percent" val="0"/>
        <cfvo type="num" val="0"/>
        <cfvo type="num" val="1"/>
      </iconSet>
    </cfRule>
  </conditionalFormatting>
  <conditionalFormatting sqref="U305:U317">
    <cfRule type="iconSet" priority="14">
      <iconSet iconSet="3Symbols2" showValue="0">
        <cfvo type="percent" val="0"/>
        <cfvo type="num" val="0"/>
        <cfvo type="num" val="1"/>
      </iconSet>
    </cfRule>
  </conditionalFormatting>
  <conditionalFormatting sqref="U305:U317">
    <cfRule type="iconSet" priority="13">
      <iconSet iconSet="3Symbols2" showValue="0">
        <cfvo type="percent" val="0"/>
        <cfvo type="num" val="0"/>
        <cfvo type="num" val="1"/>
      </iconSet>
    </cfRule>
  </conditionalFormatting>
  <conditionalFormatting sqref="R225:R269 P223:P269">
    <cfRule type="iconSet" priority="156044">
      <iconSet iconSet="3Symbols2" showValue="0">
        <cfvo type="percent" val="0"/>
        <cfvo type="num" val="0"/>
        <cfvo type="num" val="1"/>
      </iconSet>
    </cfRule>
  </conditionalFormatting>
  <conditionalFormatting sqref="S223:S269">
    <cfRule type="iconSet" priority="156050">
      <iconSet iconSet="3Symbols2" showValue="0">
        <cfvo type="percent" val="0"/>
        <cfvo type="num" val="0"/>
        <cfvo type="num" val="1"/>
      </iconSet>
    </cfRule>
  </conditionalFormatting>
  <conditionalFormatting sqref="X223:X269">
    <cfRule type="iconSet" priority="156052">
      <iconSet iconSet="3Symbols2" showValue="0">
        <cfvo type="percent" val="0"/>
        <cfvo type="num" val="0"/>
        <cfvo type="num" val="1"/>
      </iconSet>
    </cfRule>
  </conditionalFormatting>
  <conditionalFormatting sqref="L297:L302 L320:L323">
    <cfRule type="iconSet" priority="156065">
      <iconSet iconSet="3Symbols2" showValue="0">
        <cfvo type="percent" val="0"/>
        <cfvo type="num" val="0"/>
        <cfvo type="num" val="1"/>
      </iconSet>
    </cfRule>
  </conditionalFormatting>
  <conditionalFormatting sqref="R297:R302 R320:R323">
    <cfRule type="iconSet" priority="156193">
      <iconSet iconSet="3Symbols2" showValue="0">
        <cfvo type="percent" val="0"/>
        <cfvo type="num" val="0"/>
        <cfvo type="num" val="1"/>
      </iconSet>
    </cfRule>
  </conditionalFormatting>
  <conditionalFormatting sqref="X297:X302 X320:X323">
    <cfRule type="iconSet" priority="156269">
      <iconSet iconSet="3Symbols2" showValue="0">
        <cfvo type="percent" val="0"/>
        <cfvo type="num" val="0"/>
        <cfvo type="num" val="1"/>
      </iconSet>
    </cfRule>
  </conditionalFormatting>
  <conditionalFormatting sqref="P297:P302 P320:P323">
    <cfRule type="iconSet" priority="156537">
      <iconSet iconSet="3Symbols2" showValue="0">
        <cfvo type="percent" val="0"/>
        <cfvo type="num" val="0"/>
        <cfvo type="num" val="1"/>
      </iconSet>
    </cfRule>
  </conditionalFormatting>
  <conditionalFormatting sqref="U12:U13">
    <cfRule type="iconSet" priority="8">
      <iconSet iconSet="3Symbols2" showValue="0">
        <cfvo type="percent" val="0"/>
        <cfvo type="num" val="0"/>
        <cfvo type="num" val="1"/>
      </iconSet>
    </cfRule>
  </conditionalFormatting>
  <conditionalFormatting sqref="B12:F12">
    <cfRule type="expression" dxfId="47" priority="4">
      <formula>AND($O12=1,$T12&lt;&gt;1)</formula>
    </cfRule>
    <cfRule type="expression" dxfId="46" priority="5">
      <formula>OR($L12=1,$T12=1)</formula>
    </cfRule>
    <cfRule type="expression" dxfId="45" priority="6">
      <formula>($J12="NA")</formula>
    </cfRule>
  </conditionalFormatting>
  <conditionalFormatting sqref="H12:J12">
    <cfRule type="expression" dxfId="44" priority="1">
      <formula>AND($O12=1,$T12&lt;&gt;1)</formula>
    </cfRule>
    <cfRule type="expression" dxfId="43" priority="2">
      <formula>OR($L12=1,$T12=1)</formula>
    </cfRule>
    <cfRule type="expression" dxfId="42" priority="3">
      <formula>($J12="NA")</formula>
    </cfRule>
  </conditionalFormatting>
  <pageMargins left="0.7" right="0.7" top="0.75" bottom="0.75" header="0.3" footer="0.3"/>
  <pageSetup scale="51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06" id="{B4A64242-03E8-48FD-B9CC-0ACF1D6484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K9:K12</xm:sqref>
        </x14:conditionalFormatting>
        <x14:conditionalFormatting xmlns:xm="http://schemas.microsoft.com/office/excel/2006/main">
          <x14:cfRule type="iconSet" priority="134387" id="{6AEFA674-E0A2-4A98-9E03-2DE7AB67CE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 L3</xm:sqref>
        </x14:conditionalFormatting>
        <x14:conditionalFormatting xmlns:xm="http://schemas.microsoft.com/office/excel/2006/main">
          <x14:cfRule type="iconSet" priority="134389" id="{45762F74-0316-4FB5-B985-74356AF7413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L10:L12</xm:sqref>
        </x14:conditionalFormatting>
        <x14:conditionalFormatting xmlns:xm="http://schemas.microsoft.com/office/excel/2006/main">
          <x14:cfRule type="iconSet" priority="593" id="{330A1F6A-870B-44DE-A9E2-9C792C7521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N539:N1048576 N1 N6:N8 N13:N59 N162:N506 N61:N160 N508:N537</xm:sqref>
        </x14:conditionalFormatting>
        <x14:conditionalFormatting xmlns:xm="http://schemas.microsoft.com/office/excel/2006/main">
          <x14:cfRule type="iconSet" priority="110" id="{829010AF-9FED-4F61-8031-728E1D09C2F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O367:O376</xm:sqref>
        </x14:conditionalFormatting>
        <x14:conditionalFormatting xmlns:xm="http://schemas.microsoft.com/office/excel/2006/main">
          <x14:cfRule type="iconSet" priority="109" id="{9C999373-0EDD-4861-9A65-E3820867720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O381</xm:sqref>
        </x14:conditionalFormatting>
        <x14:conditionalFormatting xmlns:xm="http://schemas.microsoft.com/office/excel/2006/main">
          <x14:cfRule type="iconSet" priority="108" id="{4C2AA1D2-FD6A-43C3-8B0F-9B6C2B54071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O384:O387</xm:sqref>
        </x14:conditionalFormatting>
        <x14:conditionalFormatting xmlns:xm="http://schemas.microsoft.com/office/excel/2006/main">
          <x14:cfRule type="iconSet" priority="107" id="{F952BB75-CBB8-4809-9E60-117F7ACBC3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O390:O391</xm:sqref>
        </x14:conditionalFormatting>
        <x14:conditionalFormatting xmlns:xm="http://schemas.microsoft.com/office/excel/2006/main">
          <x14:cfRule type="iconSet" priority="591" id="{55199681-4781-421C-98FE-5DD7F83E1AA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O484 O408 O446</xm:sqref>
        </x14:conditionalFormatting>
        <x14:conditionalFormatting xmlns:xm="http://schemas.microsoft.com/office/excel/2006/main">
          <x14:cfRule type="iconSet" priority="129" id="{0E0C77F6-7C58-44A2-BD52-7324245D21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O504:O505 O491:O501 O487:O488 O473:O482 O466:O467 O453:O463 O449:O450 O435:O444 O428:O429 O415:O425 O411:O412 O397:O406</xm:sqref>
        </x14:conditionalFormatting>
        <x14:conditionalFormatting xmlns:xm="http://schemas.microsoft.com/office/excel/2006/main">
          <x14:cfRule type="iconSet" priority="122741" id="{F55460D4-A45D-4218-9C78-E253DA9EAB0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O294 O264 O220:O221 O202:O217 O199 O189 O13 O45:O49 O52:O58 O129:O142 O146:O159 O271:O272 O340 O329:O338 O343:O344 O347:O357 O360:O361 O16:O42 O541:O554 O297:O302 O320:O323 O278:O292 O305:O317 O526:O536 O77:O126 O176:O187 O63:O74 O510:O523</xm:sqref>
        </x14:conditionalFormatting>
        <x14:conditionalFormatting xmlns:xm="http://schemas.microsoft.com/office/excel/2006/main">
          <x14:cfRule type="iconSet" priority="544" id="{F2A278C9-6A08-4225-A4E1-2D02F84943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S10:S12</xm:sqref>
        </x14:conditionalFormatting>
        <x14:conditionalFormatting xmlns:xm="http://schemas.microsoft.com/office/excel/2006/main">
          <x14:cfRule type="iconSet" priority="531" id="{78455254-C3BF-485C-8946-CBEE13F072C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T484 T446 T408 T378</xm:sqref>
        </x14:conditionalFormatting>
        <x14:conditionalFormatting xmlns:xm="http://schemas.microsoft.com/office/excel/2006/main">
          <x14:cfRule type="iconSet" priority="119896" id="{FD98410D-A4C8-4B9B-BBCC-AF93D515E71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T549:T550 T294 T264 T220:T221 T202:T217 T199 T189 T552:T553 T340 T176:T187</xm:sqref>
        </x14:conditionalFormatting>
        <x14:conditionalFormatting xmlns:xm="http://schemas.microsoft.com/office/excel/2006/main">
          <x14:cfRule type="iconSet" priority="123049" id="{E91FF738-FC86-4154-9BD7-035667BA9D8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T554 T551 T504:T505 T491:T501 T487:T488 T473:T482 T466:T467 T453:T463 T449:T450 T435:T444 T428:T429 T415:T425 T411:T412 T397:T406 T390:T391 T384:T387 T381 T367:T376 T271:T272 T146:T159 T129:T142 T45:T49 T52:T58 T360:T361 T347:T357 T343:T344 T329:T338 T63:T67 T16:T42 T541:T548 T526:T536 T77:T126 T72:T74 T510:T523</xm:sqref>
        </x14:conditionalFormatting>
        <x14:conditionalFormatting xmlns:xm="http://schemas.microsoft.com/office/excel/2006/main">
          <x14:cfRule type="iconSet" priority="496" id="{E5AD7BFE-0548-4543-B856-CCE49970FBF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X10:X12</xm:sqref>
        </x14:conditionalFormatting>
        <x14:conditionalFormatting xmlns:xm="http://schemas.microsoft.com/office/excel/2006/main">
          <x14:cfRule type="iconSet" priority="84" id="{83F246C4-20FE-4986-9ED2-D8385A85A14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L548 L16:L42 L45:L49 L52:L58 L77:L126 L63:L74</xm:sqref>
        </x14:conditionalFormatting>
        <x14:conditionalFormatting xmlns:xm="http://schemas.microsoft.com/office/excel/2006/main">
          <x14:cfRule type="iconSet" priority="154222" id="{C3B108DB-796C-4C15-9542-756CD25FA32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O225:O262</xm:sqref>
        </x14:conditionalFormatting>
        <x14:conditionalFormatting xmlns:xm="http://schemas.microsoft.com/office/excel/2006/main">
          <x14:cfRule type="iconSet" priority="154223" id="{A22464DC-323F-40B3-A94F-71DCCFF6C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T225:T262</xm:sqref>
        </x14:conditionalFormatting>
        <x14:conditionalFormatting xmlns:xm="http://schemas.microsoft.com/office/excel/2006/main">
          <x14:cfRule type="iconSet" priority="31" id="{EAE7E121-6B9D-4D4A-8E70-8CD3688494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O267:O268</xm:sqref>
        </x14:conditionalFormatting>
        <x14:conditionalFormatting xmlns:xm="http://schemas.microsoft.com/office/excel/2006/main">
          <x14:cfRule type="iconSet" priority="30" id="{062E512D-BFCD-4A00-9A26-F849593071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T267:T268</xm:sqref>
        </x14:conditionalFormatting>
        <x14:conditionalFormatting xmlns:xm="http://schemas.microsoft.com/office/excel/2006/main">
          <x14:cfRule type="iconSet" priority="27" id="{81126775-7172-4993-ACF3-3E98B0CE2A3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T297:T302 T320:T323</xm:sqref>
        </x14:conditionalFormatting>
        <x14:conditionalFormatting xmlns:xm="http://schemas.microsoft.com/office/excel/2006/main">
          <x14:cfRule type="iconSet" priority="16" id="{6D0B81C2-5ED8-4564-97A8-73BFD28088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T278:T292</xm:sqref>
        </x14:conditionalFormatting>
        <x14:conditionalFormatting xmlns:xm="http://schemas.microsoft.com/office/excel/2006/main">
          <x14:cfRule type="iconSet" priority="12" id="{E70327C6-1A0E-400F-8A59-EECA89C5715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T305:T317</xm:sqref>
        </x14:conditionalFormatting>
        <x14:conditionalFormatting xmlns:xm="http://schemas.microsoft.com/office/excel/2006/main">
          <x14:cfRule type="iconSet" priority="11" id="{F57B162C-6514-46C5-BF23-11CC520E2AA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P68:P71</xm:sqref>
        </x14:conditionalFormatting>
        <x14:conditionalFormatting xmlns:xm="http://schemas.microsoft.com/office/excel/2006/main">
          <x14:cfRule type="iconSet" priority="10" id="{DDC34F2E-FCB8-4ADB-BD84-B40FD4CD6C2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U68:U71</xm:sqref>
        </x14:conditionalFormatting>
        <x14:conditionalFormatting xmlns:xm="http://schemas.microsoft.com/office/excel/2006/main">
          <x14:cfRule type="iconSet" priority="9" id="{C43396DB-FBD6-441A-BECD-2BA6E700AD4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T68:T71</xm:sqref>
        </x14:conditionalFormatting>
        <x14:conditionalFormatting xmlns:xm="http://schemas.microsoft.com/office/excel/2006/main">
          <x14:cfRule type="iconSet" priority="7" id="{61A65E40-1239-451D-808A-0AD849D2B5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T12:T13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2B11-4BAB-4254-AEE3-27C251028F79}">
  <sheetPr codeName="Sheet5" filterMode="1">
    <outlinePr summaryBelow="0" summaryRight="0"/>
  </sheetPr>
  <dimension ref="A1:AT134"/>
  <sheetViews>
    <sheetView zoomScale="110" zoomScaleNormal="110" workbookViewId="0">
      <pane xSplit="9" ySplit="8" topLeftCell="J113" activePane="bottomRight" state="frozen"/>
      <selection pane="topRight" activeCell="J1" sqref="J1"/>
      <selection pane="bottomLeft" activeCell="A7" sqref="A7"/>
      <selection pane="bottomRight" activeCell="E114" sqref="E113:E117"/>
    </sheetView>
  </sheetViews>
  <sheetFormatPr defaultColWidth="8.5546875" defaultRowHeight="13.2" outlineLevelRow="2" outlineLevelCol="1"/>
  <cols>
    <col min="1" max="1" width="10.44140625" style="391" customWidth="1"/>
    <col min="2" max="2" width="3.44140625" style="387" bestFit="1" customWidth="1"/>
    <col min="3" max="3" width="9" style="387" customWidth="1"/>
    <col min="4" max="4" width="9.33203125" style="432" customWidth="1"/>
    <col min="5" max="5" width="50.44140625" style="391" bestFit="1" customWidth="1"/>
    <col min="6" max="6" width="0.5546875" style="391" customWidth="1"/>
    <col min="7" max="7" width="8.44140625" style="391" bestFit="1" customWidth="1"/>
    <col min="8" max="8" width="11.44140625" style="391" bestFit="1" customWidth="1"/>
    <col min="9" max="9" width="5.5546875" style="430" bestFit="1" customWidth="1"/>
    <col min="10" max="10" width="0.5546875" style="391" customWidth="1"/>
    <col min="11" max="11" width="10.5546875" style="427" bestFit="1" customWidth="1"/>
    <col min="12" max="12" width="9.5546875" style="409" customWidth="1"/>
    <col min="13" max="13" width="10.44140625" style="427" bestFit="1" customWidth="1"/>
    <col min="14" max="17" width="10.44140625" style="427" customWidth="1" outlineLevel="1"/>
    <col min="18" max="18" width="10.44140625" style="427" bestFit="1" customWidth="1"/>
    <col min="19" max="22" width="10.44140625" style="427" customWidth="1" outlineLevel="1"/>
    <col min="23" max="16384" width="8.5546875" style="391"/>
  </cols>
  <sheetData>
    <row r="1" spans="1:46" s="268" customFormat="1" ht="21" customHeight="1">
      <c r="A1" s="369"/>
      <c r="B1" s="370"/>
      <c r="C1" s="371"/>
      <c r="D1" s="410"/>
      <c r="E1" s="370"/>
      <c r="F1" s="411"/>
      <c r="G1" s="374"/>
      <c r="H1" s="374"/>
      <c r="I1" s="375"/>
      <c r="J1" s="411"/>
      <c r="K1" s="478" t="s">
        <v>145</v>
      </c>
      <c r="L1" s="479"/>
      <c r="M1" s="480" t="s">
        <v>146</v>
      </c>
      <c r="N1" s="481">
        <v>1</v>
      </c>
      <c r="O1" s="481">
        <v>2</v>
      </c>
      <c r="P1" s="481">
        <v>3</v>
      </c>
      <c r="Q1" s="481">
        <v>4</v>
      </c>
      <c r="R1" s="481" t="s">
        <v>147</v>
      </c>
      <c r="S1" s="481">
        <v>5</v>
      </c>
      <c r="T1" s="481">
        <v>6</v>
      </c>
      <c r="U1" s="481">
        <v>7</v>
      </c>
      <c r="V1" s="481">
        <v>8</v>
      </c>
    </row>
    <row r="2" spans="1:46" s="268" customFormat="1" ht="3" customHeight="1">
      <c r="A2" s="369"/>
      <c r="B2" s="370"/>
      <c r="C2" s="371"/>
      <c r="D2" s="410"/>
      <c r="E2" s="370"/>
      <c r="F2" s="411"/>
      <c r="G2" s="374"/>
      <c r="H2" s="374"/>
      <c r="I2" s="375"/>
      <c r="J2" s="411"/>
      <c r="K2" s="376"/>
      <c r="L2" s="376"/>
      <c r="M2" s="377"/>
      <c r="N2" s="381"/>
      <c r="O2" s="380"/>
      <c r="P2" s="380"/>
      <c r="Q2" s="380"/>
      <c r="R2" s="374"/>
      <c r="S2" s="380"/>
      <c r="T2" s="380"/>
      <c r="U2" s="380"/>
      <c r="V2" s="380"/>
    </row>
    <row r="3" spans="1:46" s="268" customFormat="1" ht="23.25" customHeight="1">
      <c r="A3" s="593" t="s">
        <v>178</v>
      </c>
      <c r="B3" s="594"/>
      <c r="C3" s="594"/>
      <c r="D3" s="594"/>
      <c r="E3" s="595"/>
      <c r="F3" s="411"/>
      <c r="G3" s="597" t="s">
        <v>179</v>
      </c>
      <c r="H3" s="597" t="s">
        <v>180</v>
      </c>
      <c r="I3" s="598" t="s">
        <v>181</v>
      </c>
      <c r="J3" s="411"/>
      <c r="K3" s="592" t="s">
        <v>2864</v>
      </c>
      <c r="L3" s="592" t="s">
        <v>183</v>
      </c>
      <c r="M3" s="596" t="s">
        <v>2865</v>
      </c>
      <c r="N3" s="381"/>
      <c r="O3" s="380"/>
      <c r="P3" s="380"/>
      <c r="Q3" s="380"/>
      <c r="R3" s="596" t="s">
        <v>2866</v>
      </c>
      <c r="S3" s="380"/>
      <c r="T3" s="380"/>
      <c r="U3" s="380"/>
      <c r="V3" s="380"/>
    </row>
    <row r="4" spans="1:46" s="268" customFormat="1" ht="3" customHeight="1">
      <c r="A4" s="369"/>
      <c r="B4" s="370"/>
      <c r="C4" s="371"/>
      <c r="D4" s="410"/>
      <c r="E4" s="370"/>
      <c r="F4" s="411"/>
      <c r="G4" s="597"/>
      <c r="H4" s="597"/>
      <c r="I4" s="598"/>
      <c r="J4" s="411"/>
      <c r="K4" s="592"/>
      <c r="L4" s="592"/>
      <c r="M4" s="596"/>
      <c r="N4" s="381"/>
      <c r="O4" s="380"/>
      <c r="P4" s="380"/>
      <c r="Q4" s="380"/>
      <c r="R4" s="596"/>
      <c r="S4" s="380"/>
      <c r="T4" s="380"/>
      <c r="U4" s="380"/>
      <c r="V4" s="380"/>
    </row>
    <row r="5" spans="1:46" s="268" customFormat="1" ht="17.399999999999999">
      <c r="A5" s="593" t="s">
        <v>2867</v>
      </c>
      <c r="B5" s="594"/>
      <c r="C5" s="594"/>
      <c r="D5" s="594"/>
      <c r="E5" s="595"/>
      <c r="F5" s="411"/>
      <c r="G5" s="597"/>
      <c r="H5" s="597"/>
      <c r="I5" s="598"/>
      <c r="J5" s="411"/>
      <c r="K5" s="592"/>
      <c r="L5" s="592"/>
      <c r="M5" s="596"/>
      <c r="N5" s="381" t="s">
        <v>8</v>
      </c>
      <c r="O5" s="380" t="s">
        <v>9</v>
      </c>
      <c r="P5" s="380" t="s">
        <v>10</v>
      </c>
      <c r="Q5" s="380" t="s">
        <v>11</v>
      </c>
      <c r="R5" s="596"/>
      <c r="S5" s="380" t="s">
        <v>8</v>
      </c>
      <c r="T5" s="380" t="s">
        <v>9</v>
      </c>
      <c r="U5" s="380" t="s">
        <v>10</v>
      </c>
      <c r="V5" s="380" t="s">
        <v>11</v>
      </c>
    </row>
    <row r="6" spans="1:46" s="268" customFormat="1" ht="3" customHeight="1">
      <c r="A6" s="369"/>
      <c r="B6" s="370"/>
      <c r="C6" s="371"/>
      <c r="D6" s="410"/>
      <c r="E6" s="370"/>
      <c r="F6" s="411"/>
      <c r="G6" s="378"/>
      <c r="H6" s="378"/>
      <c r="I6" s="379"/>
      <c r="J6" s="411"/>
      <c r="K6" s="470"/>
      <c r="L6" s="470"/>
      <c r="M6" s="380"/>
      <c r="N6" s="381"/>
      <c r="O6" s="380"/>
      <c r="P6" s="380"/>
      <c r="Q6" s="380"/>
      <c r="R6" s="380"/>
      <c r="S6" s="380"/>
      <c r="T6" s="380"/>
      <c r="U6" s="380"/>
      <c r="V6" s="380"/>
    </row>
    <row r="7" spans="1:46" s="268" customFormat="1" ht="17.399999999999999">
      <c r="A7" s="426">
        <v>0.8222222222222223</v>
      </c>
      <c r="B7" s="370"/>
      <c r="C7" s="374"/>
      <c r="D7" s="410"/>
      <c r="E7" s="370"/>
      <c r="F7" s="411"/>
      <c r="G7" s="378"/>
      <c r="H7" s="378"/>
      <c r="I7" s="385"/>
      <c r="J7" s="411"/>
      <c r="K7" s="385"/>
      <c r="L7" s="376"/>
      <c r="M7" s="380"/>
      <c r="N7" s="380"/>
      <c r="O7" s="380"/>
      <c r="P7" s="380"/>
      <c r="Q7" s="380"/>
      <c r="R7" s="380"/>
      <c r="S7" s="380"/>
      <c r="T7" s="380"/>
      <c r="U7" s="380"/>
      <c r="V7" s="380"/>
    </row>
    <row r="8" spans="1:46" s="268" customFormat="1" ht="3" hidden="1" customHeight="1">
      <c r="A8" s="369"/>
      <c r="B8" s="370"/>
      <c r="C8" s="371"/>
      <c r="D8" s="410"/>
      <c r="E8" s="370"/>
      <c r="F8" s="411"/>
      <c r="G8" s="370"/>
      <c r="H8" s="374"/>
      <c r="I8" s="374"/>
      <c r="J8" s="411"/>
      <c r="K8" s="372"/>
      <c r="L8" s="376"/>
      <c r="M8" s="376"/>
      <c r="N8" s="376"/>
      <c r="O8" s="376"/>
      <c r="P8" s="376"/>
      <c r="Q8" s="376"/>
      <c r="S8" s="376"/>
      <c r="T8" s="376"/>
      <c r="U8" s="376"/>
      <c r="V8" s="376"/>
    </row>
    <row r="9" spans="1:46" s="407" customFormat="1" ht="12" hidden="1" customHeight="1" collapsed="1">
      <c r="A9" s="466" t="s">
        <v>81</v>
      </c>
      <c r="B9" s="467"/>
      <c r="C9" s="467"/>
      <c r="D9" s="468"/>
      <c r="E9" s="469"/>
      <c r="F9" s="472"/>
      <c r="G9" s="469"/>
      <c r="H9" s="469"/>
      <c r="I9" s="469"/>
      <c r="J9" s="472"/>
      <c r="K9" s="469"/>
      <c r="L9" s="469"/>
      <c r="M9" s="469"/>
      <c r="N9" s="469"/>
      <c r="O9" s="469"/>
      <c r="P9" s="469"/>
      <c r="Q9" s="469"/>
      <c r="R9" s="469"/>
      <c r="S9" s="469"/>
      <c r="T9" s="469"/>
      <c r="U9" s="469"/>
      <c r="V9" s="469"/>
      <c r="W9" s="412"/>
    </row>
    <row r="10" spans="1:46" s="419" customFormat="1" ht="3" hidden="1" customHeight="1" outlineLevel="1">
      <c r="A10" s="485"/>
      <c r="B10" s="486"/>
      <c r="C10" s="400"/>
      <c r="D10" s="423"/>
      <c r="E10" s="424"/>
      <c r="F10" s="424"/>
      <c r="G10" s="425"/>
      <c r="H10" s="425"/>
      <c r="I10" s="408"/>
      <c r="J10" s="424"/>
      <c r="K10" s="408"/>
      <c r="L10" s="408"/>
      <c r="M10" s="409"/>
      <c r="N10" s="420"/>
      <c r="O10" s="409"/>
      <c r="P10" s="409"/>
      <c r="Q10" s="409"/>
      <c r="R10" s="409"/>
      <c r="S10" s="409"/>
      <c r="T10" s="409"/>
      <c r="U10" s="409"/>
      <c r="V10" s="409"/>
    </row>
    <row r="11" spans="1:46" s="419" customFormat="1" hidden="1" outlineLevel="1">
      <c r="A11" s="460" t="s">
        <v>82</v>
      </c>
      <c r="B11" s="460" t="s">
        <v>83</v>
      </c>
      <c r="C11" s="460"/>
      <c r="D11" s="460"/>
      <c r="E11" s="460"/>
      <c r="F11" s="424"/>
      <c r="G11" s="425"/>
      <c r="H11" s="425"/>
      <c r="I11" s="408"/>
      <c r="J11" s="424"/>
      <c r="K11" s="409"/>
      <c r="L11" s="409"/>
      <c r="M11" s="409"/>
      <c r="N11" s="420"/>
      <c r="O11" s="409"/>
      <c r="P11" s="409"/>
      <c r="Q11" s="409"/>
      <c r="R11" s="409"/>
      <c r="S11" s="409"/>
      <c r="T11" s="409"/>
      <c r="U11" s="409"/>
      <c r="V11" s="409"/>
    </row>
    <row r="12" spans="1:46" s="402" customFormat="1" hidden="1" outlineLevel="2">
      <c r="A12" s="431"/>
      <c r="B12" s="433" t="s">
        <v>2868</v>
      </c>
      <c r="C12" s="387" t="s">
        <v>758</v>
      </c>
      <c r="D12" s="398" t="s">
        <v>2869</v>
      </c>
      <c r="E12" s="388" t="s">
        <v>2870</v>
      </c>
      <c r="F12" s="399"/>
      <c r="G12" s="399" t="s">
        <v>758</v>
      </c>
      <c r="H12" s="386" t="str">
        <f t="shared" ref="H12:H17" si="0">CONCATENATE(G12,"-",I12)</f>
        <v>R25-1</v>
      </c>
      <c r="I12" s="400">
        <v>1</v>
      </c>
      <c r="J12" s="399"/>
      <c r="K12" s="427">
        <v>1</v>
      </c>
      <c r="L12" s="397" t="s">
        <v>193</v>
      </c>
      <c r="M12" s="395"/>
      <c r="N12" s="427"/>
      <c r="O12" s="427"/>
      <c r="P12" s="427"/>
      <c r="Q12" s="427"/>
      <c r="R12" s="395"/>
      <c r="S12" s="427"/>
      <c r="T12" s="427"/>
      <c r="U12" s="427"/>
      <c r="V12" s="427"/>
      <c r="AT12" s="390">
        <v>1</v>
      </c>
    </row>
    <row r="13" spans="1:46" s="402" customFormat="1" hidden="1" outlineLevel="2">
      <c r="A13" s="431"/>
      <c r="B13" s="433" t="s">
        <v>2868</v>
      </c>
      <c r="C13" s="387" t="s">
        <v>758</v>
      </c>
      <c r="D13" s="398" t="s">
        <v>2871</v>
      </c>
      <c r="E13" s="388" t="s">
        <v>2872</v>
      </c>
      <c r="F13" s="399"/>
      <c r="G13" s="399" t="s">
        <v>758</v>
      </c>
      <c r="H13" s="386" t="str">
        <f t="shared" si="0"/>
        <v>R25-1</v>
      </c>
      <c r="I13" s="400">
        <v>1</v>
      </c>
      <c r="J13" s="399"/>
      <c r="K13" s="427">
        <v>1</v>
      </c>
      <c r="L13" s="397" t="s">
        <v>193</v>
      </c>
      <c r="M13" s="395"/>
      <c r="N13" s="427"/>
      <c r="O13" s="427"/>
      <c r="P13" s="427"/>
      <c r="Q13" s="427"/>
      <c r="R13" s="395"/>
      <c r="S13" s="427"/>
      <c r="T13" s="427"/>
      <c r="U13" s="427"/>
      <c r="V13" s="427"/>
      <c r="AT13" s="390">
        <v>1</v>
      </c>
    </row>
    <row r="14" spans="1:46" s="402" customFormat="1" ht="14.25" hidden="1" customHeight="1" outlineLevel="2">
      <c r="A14" s="431"/>
      <c r="B14" s="433" t="s">
        <v>2868</v>
      </c>
      <c r="C14" s="387" t="s">
        <v>758</v>
      </c>
      <c r="D14" s="398" t="s">
        <v>2873</v>
      </c>
      <c r="E14" s="388" t="s">
        <v>2874</v>
      </c>
      <c r="F14" s="399"/>
      <c r="G14" s="399" t="s">
        <v>758</v>
      </c>
      <c r="H14" s="386" t="str">
        <f t="shared" si="0"/>
        <v>R25-1</v>
      </c>
      <c r="I14" s="400">
        <v>1</v>
      </c>
      <c r="J14" s="399"/>
      <c r="K14" s="427">
        <v>1</v>
      </c>
      <c r="L14" s="397" t="s">
        <v>193</v>
      </c>
      <c r="M14" s="395"/>
      <c r="N14" s="427"/>
      <c r="O14" s="427"/>
      <c r="P14" s="427"/>
      <c r="Q14" s="427"/>
      <c r="R14" s="395"/>
      <c r="S14" s="427"/>
      <c r="T14" s="427"/>
      <c r="U14" s="427"/>
      <c r="V14" s="427"/>
      <c r="AT14" s="390">
        <v>1</v>
      </c>
    </row>
    <row r="15" spans="1:46" s="402" customFormat="1" hidden="1" outlineLevel="2">
      <c r="A15" s="431"/>
      <c r="B15" s="433" t="s">
        <v>2868</v>
      </c>
      <c r="C15" s="387" t="s">
        <v>758</v>
      </c>
      <c r="D15" s="398" t="s">
        <v>2875</v>
      </c>
      <c r="E15" s="388" t="s">
        <v>2876</v>
      </c>
      <c r="F15" s="399"/>
      <c r="G15" s="399" t="s">
        <v>758</v>
      </c>
      <c r="H15" s="386" t="str">
        <f t="shared" si="0"/>
        <v>R25-1</v>
      </c>
      <c r="I15" s="400">
        <v>1</v>
      </c>
      <c r="J15" s="399"/>
      <c r="K15" s="427">
        <v>1</v>
      </c>
      <c r="L15" s="397" t="s">
        <v>193</v>
      </c>
      <c r="M15" s="395"/>
      <c r="N15" s="427"/>
      <c r="O15" s="427"/>
      <c r="P15" s="427"/>
      <c r="Q15" s="427"/>
      <c r="R15" s="395"/>
      <c r="S15" s="427"/>
      <c r="T15" s="427"/>
      <c r="U15" s="427"/>
      <c r="V15" s="427"/>
      <c r="AT15" s="390">
        <v>1</v>
      </c>
    </row>
    <row r="16" spans="1:46" s="402" customFormat="1" hidden="1" outlineLevel="2">
      <c r="A16" s="431"/>
      <c r="B16" s="433" t="s">
        <v>2868</v>
      </c>
      <c r="C16" s="387" t="s">
        <v>758</v>
      </c>
      <c r="D16" s="398" t="s">
        <v>2877</v>
      </c>
      <c r="E16" s="388" t="s">
        <v>2878</v>
      </c>
      <c r="F16" s="399"/>
      <c r="G16" s="399" t="s">
        <v>758</v>
      </c>
      <c r="H16" s="386" t="str">
        <f t="shared" si="0"/>
        <v>R25-1</v>
      </c>
      <c r="I16" s="400">
        <v>1</v>
      </c>
      <c r="J16" s="399"/>
      <c r="K16" s="427">
        <v>1</v>
      </c>
      <c r="L16" s="397" t="s">
        <v>193</v>
      </c>
      <c r="M16" s="395"/>
      <c r="N16" s="427"/>
      <c r="O16" s="427"/>
      <c r="P16" s="427"/>
      <c r="Q16" s="427"/>
      <c r="R16" s="395"/>
      <c r="S16" s="427"/>
      <c r="T16" s="427"/>
      <c r="U16" s="427"/>
      <c r="V16" s="427"/>
      <c r="AT16" s="390">
        <v>1</v>
      </c>
    </row>
    <row r="17" spans="1:46" s="402" customFormat="1" hidden="1" outlineLevel="2">
      <c r="A17" s="431"/>
      <c r="B17" s="433" t="s">
        <v>2868</v>
      </c>
      <c r="C17" s="387" t="s">
        <v>758</v>
      </c>
      <c r="D17" s="398" t="s">
        <v>2879</v>
      </c>
      <c r="E17" s="388" t="s">
        <v>2880</v>
      </c>
      <c r="F17" s="399"/>
      <c r="G17" s="399" t="s">
        <v>758</v>
      </c>
      <c r="H17" s="386" t="str">
        <f t="shared" si="0"/>
        <v>R25-1</v>
      </c>
      <c r="I17" s="400">
        <v>1</v>
      </c>
      <c r="J17" s="399"/>
      <c r="K17" s="427">
        <v>1</v>
      </c>
      <c r="L17" s="397" t="s">
        <v>193</v>
      </c>
      <c r="M17" s="395"/>
      <c r="N17" s="427"/>
      <c r="O17" s="427"/>
      <c r="P17" s="427"/>
      <c r="Q17" s="427"/>
      <c r="R17" s="395"/>
      <c r="S17" s="427"/>
      <c r="T17" s="427"/>
      <c r="U17" s="427"/>
      <c r="V17" s="427"/>
      <c r="AT17" s="390">
        <v>1</v>
      </c>
    </row>
    <row r="18" spans="1:46" s="419" customFormat="1" ht="3" hidden="1" customHeight="1" outlineLevel="1">
      <c r="A18" s="485"/>
      <c r="B18" s="486"/>
      <c r="C18" s="400"/>
      <c r="D18" s="423"/>
      <c r="E18" s="424"/>
      <c r="F18" s="424"/>
      <c r="G18" s="425"/>
      <c r="H18" s="425"/>
      <c r="I18" s="408"/>
      <c r="J18" s="424"/>
      <c r="K18" s="408"/>
      <c r="L18" s="408"/>
      <c r="M18" s="409"/>
      <c r="N18" s="420"/>
      <c r="O18" s="409"/>
      <c r="P18" s="409"/>
      <c r="Q18" s="409"/>
      <c r="R18" s="409"/>
      <c r="S18" s="409"/>
      <c r="T18" s="409"/>
      <c r="U18" s="409"/>
      <c r="V18" s="409"/>
    </row>
    <row r="19" spans="1:46" s="419" customFormat="1" hidden="1" outlineLevel="1">
      <c r="A19" s="460" t="s">
        <v>84</v>
      </c>
      <c r="B19" s="460" t="s">
        <v>85</v>
      </c>
      <c r="C19" s="460"/>
      <c r="D19" s="460"/>
      <c r="E19" s="460"/>
      <c r="F19" s="424"/>
      <c r="G19" s="425"/>
      <c r="H19" s="425"/>
      <c r="I19" s="408"/>
      <c r="J19" s="424"/>
      <c r="K19" s="409"/>
      <c r="L19" s="409"/>
      <c r="M19" s="409"/>
      <c r="N19" s="420"/>
      <c r="O19" s="409"/>
      <c r="P19" s="409"/>
      <c r="Q19" s="409"/>
      <c r="R19" s="409"/>
      <c r="S19" s="409"/>
      <c r="T19" s="409"/>
      <c r="U19" s="409"/>
      <c r="V19" s="409"/>
    </row>
    <row r="20" spans="1:46" s="402" customFormat="1" hidden="1" outlineLevel="2">
      <c r="A20" s="431"/>
      <c r="B20" s="433" t="s">
        <v>2868</v>
      </c>
      <c r="C20" s="387" t="s">
        <v>1049</v>
      </c>
      <c r="D20" s="398"/>
      <c r="E20" s="388" t="s">
        <v>2881</v>
      </c>
      <c r="F20" s="399"/>
      <c r="G20" s="399" t="s">
        <v>1049</v>
      </c>
      <c r="H20" s="386" t="str">
        <f t="shared" ref="H20:H27" si="1">CONCATENATE(G20,"-",I20)</f>
        <v>L20-1</v>
      </c>
      <c r="I20" s="400">
        <v>1</v>
      </c>
      <c r="J20" s="399"/>
      <c r="K20" s="427">
        <v>1</v>
      </c>
      <c r="L20" s="397" t="s">
        <v>193</v>
      </c>
      <c r="M20" s="395"/>
      <c r="N20" s="427"/>
      <c r="P20" s="427"/>
      <c r="Q20" s="427"/>
      <c r="R20" s="395"/>
      <c r="S20" s="427"/>
      <c r="U20" s="427"/>
      <c r="V20" s="427"/>
      <c r="AT20" s="390">
        <v>1</v>
      </c>
    </row>
    <row r="21" spans="1:46" s="402" customFormat="1" hidden="1" outlineLevel="2">
      <c r="A21" s="431"/>
      <c r="B21" s="433" t="s">
        <v>2868</v>
      </c>
      <c r="C21" s="387" t="s">
        <v>1049</v>
      </c>
      <c r="D21" s="398"/>
      <c r="E21" s="388" t="s">
        <v>2882</v>
      </c>
      <c r="F21" s="399"/>
      <c r="G21" s="399" t="s">
        <v>1049</v>
      </c>
      <c r="H21" s="386" t="str">
        <f t="shared" si="1"/>
        <v>L20-1</v>
      </c>
      <c r="I21" s="400">
        <v>1</v>
      </c>
      <c r="J21" s="399"/>
      <c r="K21" s="427">
        <v>1</v>
      </c>
      <c r="L21" s="397" t="s">
        <v>193</v>
      </c>
      <c r="M21" s="395"/>
      <c r="N21" s="427"/>
      <c r="P21" s="427"/>
      <c r="Q21" s="427"/>
      <c r="R21" s="395"/>
      <c r="S21" s="427"/>
      <c r="U21" s="427"/>
      <c r="V21" s="427"/>
      <c r="AT21" s="390">
        <v>1</v>
      </c>
    </row>
    <row r="22" spans="1:46" s="402" customFormat="1" hidden="1" outlineLevel="2">
      <c r="A22" s="431"/>
      <c r="B22" s="433" t="s">
        <v>2868</v>
      </c>
      <c r="C22" s="387" t="s">
        <v>1049</v>
      </c>
      <c r="D22" s="398"/>
      <c r="E22" s="388" t="s">
        <v>2883</v>
      </c>
      <c r="F22" s="399"/>
      <c r="G22" s="399" t="s">
        <v>1049</v>
      </c>
      <c r="H22" s="386" t="str">
        <f t="shared" si="1"/>
        <v>L20-1</v>
      </c>
      <c r="I22" s="400">
        <v>1</v>
      </c>
      <c r="J22" s="399"/>
      <c r="K22" s="427">
        <v>1</v>
      </c>
      <c r="L22" s="397" t="s">
        <v>193</v>
      </c>
      <c r="M22" s="395"/>
      <c r="N22" s="427"/>
      <c r="P22" s="427"/>
      <c r="Q22" s="427"/>
      <c r="R22" s="395"/>
      <c r="S22" s="427"/>
      <c r="U22" s="427"/>
      <c r="V22" s="427"/>
      <c r="AT22" s="390">
        <v>1</v>
      </c>
    </row>
    <row r="23" spans="1:46" s="402" customFormat="1" hidden="1" outlineLevel="2">
      <c r="A23" s="431"/>
      <c r="B23" s="433" t="s">
        <v>2868</v>
      </c>
      <c r="C23" s="387" t="s">
        <v>1049</v>
      </c>
      <c r="D23" s="398"/>
      <c r="E23" s="388" t="s">
        <v>2884</v>
      </c>
      <c r="F23" s="399"/>
      <c r="G23" s="399" t="s">
        <v>1049</v>
      </c>
      <c r="H23" s="386" t="str">
        <f t="shared" si="1"/>
        <v>L20-1</v>
      </c>
      <c r="I23" s="400">
        <v>1</v>
      </c>
      <c r="J23" s="399"/>
      <c r="K23" s="427">
        <v>1</v>
      </c>
      <c r="L23" s="397" t="s">
        <v>193</v>
      </c>
      <c r="M23" s="395"/>
      <c r="N23" s="427"/>
      <c r="P23" s="427"/>
      <c r="Q23" s="427"/>
      <c r="R23" s="395"/>
      <c r="S23" s="427"/>
      <c r="U23" s="427"/>
      <c r="V23" s="427"/>
      <c r="AT23" s="390">
        <v>1</v>
      </c>
    </row>
    <row r="24" spans="1:46" s="402" customFormat="1" hidden="1" outlineLevel="2">
      <c r="A24" s="431"/>
      <c r="B24" s="433" t="s">
        <v>2868</v>
      </c>
      <c r="C24" s="387" t="s">
        <v>1049</v>
      </c>
      <c r="D24" s="398"/>
      <c r="E24" s="388" t="s">
        <v>2885</v>
      </c>
      <c r="F24" s="399"/>
      <c r="G24" s="399" t="s">
        <v>1049</v>
      </c>
      <c r="H24" s="386" t="str">
        <f t="shared" si="1"/>
        <v>L20-1</v>
      </c>
      <c r="I24" s="400">
        <v>1</v>
      </c>
      <c r="J24" s="399"/>
      <c r="K24" s="427">
        <v>1</v>
      </c>
      <c r="L24" s="397" t="s">
        <v>193</v>
      </c>
      <c r="M24" s="395"/>
      <c r="N24" s="427"/>
      <c r="P24" s="427"/>
      <c r="Q24" s="427"/>
      <c r="R24" s="395"/>
      <c r="S24" s="427"/>
      <c r="U24" s="427"/>
      <c r="V24" s="427"/>
      <c r="AT24" s="390">
        <v>1</v>
      </c>
    </row>
    <row r="25" spans="1:46" s="402" customFormat="1" hidden="1" outlineLevel="2">
      <c r="A25" s="431"/>
      <c r="B25" s="433" t="s">
        <v>2868</v>
      </c>
      <c r="C25" s="387" t="s">
        <v>1049</v>
      </c>
      <c r="D25" s="398"/>
      <c r="E25" s="388" t="s">
        <v>2886</v>
      </c>
      <c r="F25" s="399"/>
      <c r="G25" s="399" t="s">
        <v>1049</v>
      </c>
      <c r="H25" s="386" t="str">
        <f t="shared" si="1"/>
        <v>L20-1</v>
      </c>
      <c r="I25" s="400">
        <v>1</v>
      </c>
      <c r="J25" s="399"/>
      <c r="K25" s="427">
        <v>1</v>
      </c>
      <c r="L25" s="397" t="s">
        <v>193</v>
      </c>
      <c r="M25" s="395"/>
      <c r="N25" s="427"/>
      <c r="P25" s="427"/>
      <c r="Q25" s="427"/>
      <c r="R25" s="395"/>
      <c r="S25" s="427"/>
      <c r="U25" s="427"/>
      <c r="V25" s="427"/>
      <c r="AT25" s="390">
        <v>1</v>
      </c>
    </row>
    <row r="26" spans="1:46" s="402" customFormat="1" hidden="1" outlineLevel="2">
      <c r="A26" s="431"/>
      <c r="B26" s="433" t="s">
        <v>2868</v>
      </c>
      <c r="C26" s="387" t="s">
        <v>1049</v>
      </c>
      <c r="D26" s="398"/>
      <c r="E26" s="388" t="s">
        <v>2887</v>
      </c>
      <c r="F26" s="399"/>
      <c r="G26" s="399" t="s">
        <v>1049</v>
      </c>
      <c r="H26" s="386" t="str">
        <f t="shared" si="1"/>
        <v>L20-1</v>
      </c>
      <c r="I26" s="400">
        <v>1</v>
      </c>
      <c r="J26" s="399"/>
      <c r="K26" s="427">
        <v>1</v>
      </c>
      <c r="L26" s="397" t="s">
        <v>193</v>
      </c>
      <c r="M26" s="395"/>
      <c r="N26" s="427"/>
      <c r="P26" s="427"/>
      <c r="Q26" s="427"/>
      <c r="R26" s="395"/>
      <c r="S26" s="427"/>
      <c r="U26" s="427"/>
      <c r="V26" s="427"/>
      <c r="AT26" s="390">
        <v>1</v>
      </c>
    </row>
    <row r="27" spans="1:46" s="402" customFormat="1" hidden="1" outlineLevel="2">
      <c r="A27" s="431"/>
      <c r="B27" s="433" t="s">
        <v>2868</v>
      </c>
      <c r="C27" s="387" t="s">
        <v>1049</v>
      </c>
      <c r="D27" s="398"/>
      <c r="E27" s="388" t="s">
        <v>2888</v>
      </c>
      <c r="F27" s="399"/>
      <c r="G27" s="399" t="s">
        <v>1049</v>
      </c>
      <c r="H27" s="386" t="str">
        <f t="shared" si="1"/>
        <v>L20-1</v>
      </c>
      <c r="I27" s="400">
        <v>1</v>
      </c>
      <c r="J27" s="399"/>
      <c r="K27" s="427">
        <v>1</v>
      </c>
      <c r="L27" s="397" t="s">
        <v>193</v>
      </c>
      <c r="M27" s="395"/>
      <c r="N27" s="427"/>
      <c r="P27" s="427"/>
      <c r="Q27" s="427"/>
      <c r="R27" s="395"/>
      <c r="S27" s="427"/>
      <c r="U27" s="427"/>
      <c r="V27" s="427"/>
      <c r="AT27" s="390">
        <v>1</v>
      </c>
    </row>
    <row r="28" spans="1:46" s="419" customFormat="1" ht="3" hidden="1" customHeight="1" outlineLevel="1">
      <c r="L28" s="397"/>
    </row>
    <row r="29" spans="1:46" s="419" customFormat="1" hidden="1" outlineLevel="1">
      <c r="A29" s="460" t="s">
        <v>86</v>
      </c>
      <c r="B29" s="460" t="s">
        <v>87</v>
      </c>
      <c r="C29" s="460"/>
      <c r="D29" s="460"/>
      <c r="E29" s="460"/>
      <c r="F29" s="424"/>
      <c r="G29" s="425"/>
      <c r="H29" s="425"/>
      <c r="I29" s="408"/>
      <c r="J29" s="424"/>
      <c r="K29" s="409"/>
      <c r="L29" s="397"/>
      <c r="M29" s="409"/>
      <c r="N29" s="420"/>
      <c r="O29" s="409"/>
      <c r="P29" s="409"/>
      <c r="Q29" s="409"/>
      <c r="R29" s="409"/>
      <c r="S29" s="409"/>
      <c r="T29" s="409"/>
      <c r="U29" s="409"/>
      <c r="V29" s="409"/>
    </row>
    <row r="30" spans="1:46" s="402" customFormat="1" hidden="1" outlineLevel="2">
      <c r="A30" s="431"/>
      <c r="B30" s="433" t="s">
        <v>2868</v>
      </c>
      <c r="C30" s="387" t="s">
        <v>1055</v>
      </c>
      <c r="D30" s="398"/>
      <c r="E30" s="388" t="s">
        <v>2881</v>
      </c>
      <c r="F30" s="399"/>
      <c r="G30" s="399" t="s">
        <v>1055</v>
      </c>
      <c r="H30" s="386" t="str">
        <f t="shared" ref="H30:H37" si="2">CONCATENATE(G30,"-",I30)</f>
        <v>D35-1</v>
      </c>
      <c r="I30" s="400">
        <v>1</v>
      </c>
      <c r="J30" s="399"/>
      <c r="K30" s="427">
        <v>1</v>
      </c>
      <c r="L30" s="397" t="s">
        <v>193</v>
      </c>
      <c r="M30" s="395"/>
      <c r="N30" s="427"/>
      <c r="O30" s="427"/>
      <c r="P30" s="427"/>
      <c r="Q30" s="427"/>
      <c r="R30" s="395"/>
      <c r="S30" s="427"/>
      <c r="T30" s="427"/>
      <c r="U30" s="427"/>
      <c r="V30" s="427"/>
      <c r="AT30" s="390">
        <v>1</v>
      </c>
    </row>
    <row r="31" spans="1:46" s="402" customFormat="1" hidden="1" outlineLevel="2">
      <c r="A31" s="431"/>
      <c r="B31" s="433" t="s">
        <v>2868</v>
      </c>
      <c r="C31" s="387" t="s">
        <v>1055</v>
      </c>
      <c r="D31" s="398"/>
      <c r="E31" s="388" t="s">
        <v>2882</v>
      </c>
      <c r="F31" s="399"/>
      <c r="G31" s="399" t="s">
        <v>1055</v>
      </c>
      <c r="H31" s="386" t="str">
        <f t="shared" si="2"/>
        <v>D35-1</v>
      </c>
      <c r="I31" s="400">
        <v>1</v>
      </c>
      <c r="J31" s="399"/>
      <c r="K31" s="427">
        <v>1</v>
      </c>
      <c r="L31" s="397" t="s">
        <v>193</v>
      </c>
      <c r="M31" s="395"/>
      <c r="N31" s="427"/>
      <c r="O31" s="427"/>
      <c r="P31" s="427"/>
      <c r="Q31" s="427"/>
      <c r="R31" s="395"/>
      <c r="S31" s="427"/>
      <c r="T31" s="427"/>
      <c r="U31" s="427"/>
      <c r="V31" s="427"/>
      <c r="AT31" s="390">
        <v>1</v>
      </c>
    </row>
    <row r="32" spans="1:46" s="402" customFormat="1" hidden="1" outlineLevel="2">
      <c r="A32" s="431"/>
      <c r="B32" s="433" t="s">
        <v>2868</v>
      </c>
      <c r="C32" s="387" t="s">
        <v>1055</v>
      </c>
      <c r="D32" s="398"/>
      <c r="E32" s="388" t="s">
        <v>2883</v>
      </c>
      <c r="F32" s="399"/>
      <c r="G32" s="399" t="s">
        <v>1055</v>
      </c>
      <c r="H32" s="386" t="str">
        <f t="shared" si="2"/>
        <v>D35-1</v>
      </c>
      <c r="I32" s="400">
        <v>1</v>
      </c>
      <c r="J32" s="399"/>
      <c r="K32" s="427">
        <v>1</v>
      </c>
      <c r="L32" s="397" t="s">
        <v>193</v>
      </c>
      <c r="M32" s="395"/>
      <c r="N32" s="427"/>
      <c r="O32" s="427"/>
      <c r="P32" s="427"/>
      <c r="Q32" s="427"/>
      <c r="R32" s="395"/>
      <c r="S32" s="427"/>
      <c r="T32" s="427"/>
      <c r="U32" s="427"/>
      <c r="V32" s="427"/>
      <c r="AT32" s="390">
        <v>1</v>
      </c>
    </row>
    <row r="33" spans="1:46" s="402" customFormat="1" hidden="1" outlineLevel="2">
      <c r="A33" s="431"/>
      <c r="B33" s="433" t="s">
        <v>2868</v>
      </c>
      <c r="C33" s="387" t="s">
        <v>1055</v>
      </c>
      <c r="D33" s="398"/>
      <c r="E33" s="388" t="s">
        <v>2884</v>
      </c>
      <c r="F33" s="399"/>
      <c r="G33" s="399" t="s">
        <v>1055</v>
      </c>
      <c r="H33" s="386" t="str">
        <f t="shared" si="2"/>
        <v>D35-1</v>
      </c>
      <c r="I33" s="400">
        <v>1</v>
      </c>
      <c r="J33" s="399"/>
      <c r="K33" s="427">
        <v>1</v>
      </c>
      <c r="L33" s="397" t="s">
        <v>193</v>
      </c>
      <c r="M33" s="395"/>
      <c r="N33" s="427"/>
      <c r="O33" s="427"/>
      <c r="P33" s="427"/>
      <c r="Q33" s="427"/>
      <c r="R33" s="395"/>
      <c r="S33" s="427"/>
      <c r="T33" s="427"/>
      <c r="U33" s="427"/>
      <c r="V33" s="427"/>
      <c r="AT33" s="390">
        <v>1</v>
      </c>
    </row>
    <row r="34" spans="1:46" s="402" customFormat="1" hidden="1" outlineLevel="2">
      <c r="A34" s="431"/>
      <c r="B34" s="433" t="s">
        <v>2868</v>
      </c>
      <c r="C34" s="387" t="s">
        <v>1055</v>
      </c>
      <c r="D34" s="398"/>
      <c r="E34" s="388" t="s">
        <v>2885</v>
      </c>
      <c r="F34" s="399"/>
      <c r="G34" s="399" t="s">
        <v>1055</v>
      </c>
      <c r="H34" s="386" t="str">
        <f t="shared" si="2"/>
        <v>D35-1</v>
      </c>
      <c r="I34" s="400">
        <v>1</v>
      </c>
      <c r="J34" s="399"/>
      <c r="K34" s="427">
        <v>1</v>
      </c>
      <c r="L34" s="397" t="s">
        <v>193</v>
      </c>
      <c r="M34" s="395"/>
      <c r="N34" s="427"/>
      <c r="O34" s="427"/>
      <c r="P34" s="427"/>
      <c r="Q34" s="427"/>
      <c r="R34" s="395"/>
      <c r="S34" s="427"/>
      <c r="T34" s="427"/>
      <c r="U34" s="427"/>
      <c r="V34" s="427"/>
      <c r="AT34" s="390">
        <v>1</v>
      </c>
    </row>
    <row r="35" spans="1:46" s="402" customFormat="1" hidden="1" outlineLevel="2">
      <c r="A35" s="431"/>
      <c r="B35" s="433" t="s">
        <v>2868</v>
      </c>
      <c r="C35" s="387" t="s">
        <v>1055</v>
      </c>
      <c r="D35" s="398"/>
      <c r="E35" s="388" t="s">
        <v>2886</v>
      </c>
      <c r="F35" s="399"/>
      <c r="G35" s="399" t="s">
        <v>1055</v>
      </c>
      <c r="H35" s="386" t="str">
        <f t="shared" si="2"/>
        <v>D35-1</v>
      </c>
      <c r="I35" s="400">
        <v>1</v>
      </c>
      <c r="J35" s="399"/>
      <c r="K35" s="427">
        <v>1</v>
      </c>
      <c r="L35" s="397" t="s">
        <v>193</v>
      </c>
      <c r="M35" s="395"/>
      <c r="N35" s="427"/>
      <c r="O35" s="427"/>
      <c r="P35" s="427"/>
      <c r="Q35" s="427"/>
      <c r="R35" s="395"/>
      <c r="S35" s="427"/>
      <c r="T35" s="427"/>
      <c r="U35" s="427"/>
      <c r="V35" s="427"/>
      <c r="AT35" s="390">
        <v>1</v>
      </c>
    </row>
    <row r="36" spans="1:46" s="402" customFormat="1" hidden="1" outlineLevel="2">
      <c r="A36" s="431"/>
      <c r="B36" s="433" t="s">
        <v>2868</v>
      </c>
      <c r="C36" s="387" t="s">
        <v>1055</v>
      </c>
      <c r="D36" s="398"/>
      <c r="E36" s="388" t="s">
        <v>2887</v>
      </c>
      <c r="F36" s="399"/>
      <c r="G36" s="399" t="s">
        <v>1055</v>
      </c>
      <c r="H36" s="386" t="str">
        <f t="shared" si="2"/>
        <v>D35-1</v>
      </c>
      <c r="I36" s="400">
        <v>1</v>
      </c>
      <c r="J36" s="399"/>
      <c r="K36" s="427">
        <v>1</v>
      </c>
      <c r="L36" s="397" t="s">
        <v>193</v>
      </c>
      <c r="M36" s="395"/>
      <c r="N36" s="427"/>
      <c r="O36" s="427"/>
      <c r="P36" s="427"/>
      <c r="Q36" s="427"/>
      <c r="R36" s="395"/>
      <c r="S36" s="427"/>
      <c r="T36" s="427"/>
      <c r="U36" s="427"/>
      <c r="V36" s="427"/>
      <c r="AT36" s="390">
        <v>1</v>
      </c>
    </row>
    <row r="37" spans="1:46" s="402" customFormat="1" hidden="1" outlineLevel="2">
      <c r="A37" s="431"/>
      <c r="B37" s="433" t="s">
        <v>2868</v>
      </c>
      <c r="C37" s="387" t="s">
        <v>1055</v>
      </c>
      <c r="D37" s="398"/>
      <c r="E37" s="388" t="s">
        <v>2888</v>
      </c>
      <c r="F37" s="399"/>
      <c r="G37" s="399" t="s">
        <v>1055</v>
      </c>
      <c r="H37" s="386" t="str">
        <f t="shared" si="2"/>
        <v>D35-1</v>
      </c>
      <c r="I37" s="400">
        <v>1</v>
      </c>
      <c r="J37" s="399"/>
      <c r="K37" s="427">
        <v>1</v>
      </c>
      <c r="L37" s="397" t="s">
        <v>193</v>
      </c>
      <c r="M37" s="395"/>
      <c r="N37" s="427"/>
      <c r="O37" s="427"/>
      <c r="P37" s="427"/>
      <c r="Q37" s="427"/>
      <c r="R37" s="395"/>
      <c r="S37" s="427"/>
      <c r="T37" s="427"/>
      <c r="U37" s="427"/>
      <c r="V37" s="427"/>
      <c r="AT37" s="390">
        <v>1</v>
      </c>
    </row>
    <row r="38" spans="1:46" s="419" customFormat="1" ht="3" hidden="1" customHeight="1" outlineLevel="1">
      <c r="A38" s="485"/>
      <c r="B38" s="486"/>
      <c r="C38" s="400"/>
      <c r="D38" s="423"/>
      <c r="E38" s="424"/>
      <c r="F38" s="424"/>
      <c r="G38" s="425"/>
      <c r="H38" s="425"/>
      <c r="I38" s="408"/>
      <c r="J38" s="424"/>
      <c r="K38" s="408"/>
      <c r="L38" s="408"/>
      <c r="M38" s="409"/>
      <c r="N38" s="420"/>
      <c r="O38" s="409"/>
      <c r="P38" s="409"/>
      <c r="Q38" s="409"/>
      <c r="R38" s="409"/>
      <c r="S38" s="409"/>
      <c r="T38" s="409"/>
      <c r="U38" s="409"/>
      <c r="V38" s="409"/>
    </row>
    <row r="39" spans="1:46" s="419" customFormat="1" hidden="1" outlineLevel="1">
      <c r="A39" s="460" t="s">
        <v>88</v>
      </c>
      <c r="B39" s="460" t="s">
        <v>89</v>
      </c>
      <c r="C39" s="460"/>
      <c r="D39" s="460"/>
      <c r="E39" s="460"/>
      <c r="F39" s="424"/>
      <c r="G39" s="425"/>
      <c r="H39" s="425"/>
      <c r="I39" s="408"/>
      <c r="J39" s="424"/>
      <c r="K39" s="409"/>
      <c r="L39" s="409"/>
      <c r="M39" s="409"/>
      <c r="N39" s="420"/>
      <c r="O39" s="409"/>
      <c r="P39" s="409"/>
      <c r="Q39" s="409"/>
      <c r="R39" s="409"/>
      <c r="S39" s="409"/>
      <c r="T39" s="409"/>
      <c r="U39" s="409"/>
      <c r="V39" s="409"/>
    </row>
    <row r="40" spans="1:46" s="402" customFormat="1" hidden="1" outlineLevel="2">
      <c r="A40" s="431"/>
      <c r="B40" s="433" t="s">
        <v>2868</v>
      </c>
      <c r="C40" s="387" t="s">
        <v>1056</v>
      </c>
      <c r="D40" s="398"/>
      <c r="E40" s="388" t="s">
        <v>2881</v>
      </c>
      <c r="F40" s="399"/>
      <c r="G40" s="399" t="s">
        <v>1056</v>
      </c>
      <c r="H40" s="386" t="str">
        <f t="shared" ref="H40:H47" si="3">CONCATENATE(G40,"-",I40)</f>
        <v>L22-1</v>
      </c>
      <c r="I40" s="400">
        <v>1</v>
      </c>
      <c r="J40" s="399"/>
      <c r="K40" s="427">
        <v>1</v>
      </c>
      <c r="L40" s="397" t="s">
        <v>193</v>
      </c>
      <c r="M40" s="395"/>
      <c r="N40" s="427"/>
      <c r="O40" s="427"/>
      <c r="Q40" s="427"/>
      <c r="R40" s="395"/>
      <c r="S40" s="427"/>
      <c r="T40" s="427"/>
      <c r="U40" s="427"/>
      <c r="V40" s="427"/>
      <c r="AT40" s="390">
        <v>1</v>
      </c>
    </row>
    <row r="41" spans="1:46" s="402" customFormat="1" hidden="1" outlineLevel="2">
      <c r="A41" s="431"/>
      <c r="B41" s="433" t="s">
        <v>2868</v>
      </c>
      <c r="C41" s="387" t="s">
        <v>1056</v>
      </c>
      <c r="D41" s="398"/>
      <c r="E41" s="388" t="s">
        <v>2882</v>
      </c>
      <c r="F41" s="399"/>
      <c r="G41" s="399" t="s">
        <v>1056</v>
      </c>
      <c r="H41" s="386" t="str">
        <f t="shared" si="3"/>
        <v>L22-1</v>
      </c>
      <c r="I41" s="400">
        <v>1</v>
      </c>
      <c r="J41" s="399"/>
      <c r="K41" s="427">
        <v>1</v>
      </c>
      <c r="L41" s="397" t="s">
        <v>193</v>
      </c>
      <c r="M41" s="395"/>
      <c r="N41" s="427"/>
      <c r="O41" s="427"/>
      <c r="Q41" s="427"/>
      <c r="R41" s="395"/>
      <c r="S41" s="427"/>
      <c r="T41" s="427"/>
      <c r="U41" s="427"/>
      <c r="V41" s="427"/>
      <c r="AT41" s="390">
        <v>1</v>
      </c>
    </row>
    <row r="42" spans="1:46" s="402" customFormat="1" hidden="1" outlineLevel="2">
      <c r="A42" s="431"/>
      <c r="B42" s="433" t="s">
        <v>2868</v>
      </c>
      <c r="C42" s="387" t="s">
        <v>1056</v>
      </c>
      <c r="D42" s="398"/>
      <c r="E42" s="388" t="s">
        <v>2883</v>
      </c>
      <c r="F42" s="399"/>
      <c r="G42" s="399" t="s">
        <v>1056</v>
      </c>
      <c r="H42" s="386" t="str">
        <f t="shared" si="3"/>
        <v>L22-1</v>
      </c>
      <c r="I42" s="400">
        <v>1</v>
      </c>
      <c r="J42" s="399"/>
      <c r="K42" s="427">
        <v>1</v>
      </c>
      <c r="L42" s="397" t="s">
        <v>193</v>
      </c>
      <c r="M42" s="395"/>
      <c r="N42" s="427"/>
      <c r="O42" s="427"/>
      <c r="Q42" s="427"/>
      <c r="R42" s="395"/>
      <c r="S42" s="427"/>
      <c r="T42" s="427"/>
      <c r="U42" s="427"/>
      <c r="V42" s="427"/>
      <c r="AT42" s="390">
        <v>1</v>
      </c>
    </row>
    <row r="43" spans="1:46" s="402" customFormat="1" hidden="1" outlineLevel="2">
      <c r="A43" s="431"/>
      <c r="B43" s="433" t="s">
        <v>2868</v>
      </c>
      <c r="C43" s="387" t="s">
        <v>1056</v>
      </c>
      <c r="D43" s="398"/>
      <c r="E43" s="388" t="s">
        <v>2884</v>
      </c>
      <c r="F43" s="399"/>
      <c r="G43" s="399" t="s">
        <v>1056</v>
      </c>
      <c r="H43" s="386" t="str">
        <f t="shared" si="3"/>
        <v>L22-1</v>
      </c>
      <c r="I43" s="400">
        <v>1</v>
      </c>
      <c r="J43" s="399"/>
      <c r="K43" s="427">
        <v>1</v>
      </c>
      <c r="L43" s="397" t="s">
        <v>193</v>
      </c>
      <c r="M43" s="395"/>
      <c r="N43" s="427"/>
      <c r="O43" s="427"/>
      <c r="Q43" s="427"/>
      <c r="R43" s="395"/>
      <c r="S43" s="427"/>
      <c r="T43" s="427"/>
      <c r="U43" s="427"/>
      <c r="V43" s="427"/>
      <c r="AT43" s="390">
        <v>1</v>
      </c>
    </row>
    <row r="44" spans="1:46" s="402" customFormat="1" hidden="1" outlineLevel="2">
      <c r="A44" s="431"/>
      <c r="B44" s="433" t="s">
        <v>2868</v>
      </c>
      <c r="C44" s="387" t="s">
        <v>1056</v>
      </c>
      <c r="D44" s="398"/>
      <c r="E44" s="388" t="s">
        <v>2885</v>
      </c>
      <c r="F44" s="399"/>
      <c r="G44" s="399" t="s">
        <v>1056</v>
      </c>
      <c r="H44" s="386" t="str">
        <f t="shared" si="3"/>
        <v>L22-1</v>
      </c>
      <c r="I44" s="400">
        <v>1</v>
      </c>
      <c r="J44" s="399"/>
      <c r="K44" s="427">
        <v>1</v>
      </c>
      <c r="L44" s="397" t="s">
        <v>193</v>
      </c>
      <c r="M44" s="395"/>
      <c r="N44" s="427"/>
      <c r="O44" s="427"/>
      <c r="Q44" s="427"/>
      <c r="R44" s="395"/>
      <c r="S44" s="427"/>
      <c r="T44" s="427"/>
      <c r="U44" s="427"/>
      <c r="V44" s="427"/>
      <c r="AT44" s="390">
        <v>1</v>
      </c>
    </row>
    <row r="45" spans="1:46" s="402" customFormat="1" hidden="1" outlineLevel="2">
      <c r="A45" s="431"/>
      <c r="B45" s="433" t="s">
        <v>2868</v>
      </c>
      <c r="C45" s="387" t="s">
        <v>1056</v>
      </c>
      <c r="D45" s="398"/>
      <c r="E45" s="388" t="s">
        <v>2886</v>
      </c>
      <c r="F45" s="399"/>
      <c r="G45" s="399" t="s">
        <v>1056</v>
      </c>
      <c r="H45" s="386" t="str">
        <f t="shared" si="3"/>
        <v>L22-1</v>
      </c>
      <c r="I45" s="400">
        <v>1</v>
      </c>
      <c r="J45" s="399"/>
      <c r="K45" s="427">
        <v>1</v>
      </c>
      <c r="L45" s="397" t="s">
        <v>193</v>
      </c>
      <c r="M45" s="395"/>
      <c r="N45" s="427"/>
      <c r="O45" s="427"/>
      <c r="Q45" s="427"/>
      <c r="R45" s="395"/>
      <c r="S45" s="427"/>
      <c r="T45" s="427"/>
      <c r="U45" s="427"/>
      <c r="V45" s="427"/>
      <c r="AT45" s="390">
        <v>1</v>
      </c>
    </row>
    <row r="46" spans="1:46" s="402" customFormat="1" hidden="1" outlineLevel="2">
      <c r="A46" s="431"/>
      <c r="B46" s="433" t="s">
        <v>2868</v>
      </c>
      <c r="C46" s="387" t="s">
        <v>1056</v>
      </c>
      <c r="D46" s="398"/>
      <c r="E46" s="388" t="s">
        <v>2887</v>
      </c>
      <c r="F46" s="399"/>
      <c r="G46" s="399" t="s">
        <v>1056</v>
      </c>
      <c r="H46" s="386" t="str">
        <f t="shared" si="3"/>
        <v>L22-1</v>
      </c>
      <c r="I46" s="400">
        <v>1</v>
      </c>
      <c r="J46" s="399"/>
      <c r="K46" s="427">
        <v>1</v>
      </c>
      <c r="L46" s="397" t="s">
        <v>193</v>
      </c>
      <c r="M46" s="395"/>
      <c r="N46" s="427"/>
      <c r="O46" s="427"/>
      <c r="Q46" s="427"/>
      <c r="R46" s="395"/>
      <c r="S46" s="427"/>
      <c r="T46" s="427"/>
      <c r="U46" s="427"/>
      <c r="V46" s="427"/>
      <c r="AT46" s="390">
        <v>1</v>
      </c>
    </row>
    <row r="47" spans="1:46" s="402" customFormat="1" hidden="1" outlineLevel="2">
      <c r="A47" s="431"/>
      <c r="B47" s="433" t="s">
        <v>2868</v>
      </c>
      <c r="C47" s="387" t="s">
        <v>1056</v>
      </c>
      <c r="D47" s="398"/>
      <c r="E47" s="388" t="s">
        <v>2888</v>
      </c>
      <c r="F47" s="399"/>
      <c r="G47" s="399" t="s">
        <v>1056</v>
      </c>
      <c r="H47" s="386" t="str">
        <f t="shared" si="3"/>
        <v>L22-1</v>
      </c>
      <c r="I47" s="400">
        <v>1</v>
      </c>
      <c r="J47" s="399"/>
      <c r="K47" s="427">
        <v>1</v>
      </c>
      <c r="L47" s="397" t="s">
        <v>193</v>
      </c>
      <c r="M47" s="395"/>
      <c r="N47" s="427"/>
      <c r="O47" s="427"/>
      <c r="Q47" s="427"/>
      <c r="R47" s="395"/>
      <c r="S47" s="427"/>
      <c r="T47" s="427"/>
      <c r="U47" s="427"/>
      <c r="V47" s="427"/>
      <c r="AT47" s="390">
        <v>1</v>
      </c>
    </row>
    <row r="48" spans="1:46" s="419" customFormat="1" ht="3" hidden="1" customHeight="1" outlineLevel="1">
      <c r="A48" s="485"/>
      <c r="B48" s="486"/>
      <c r="C48" s="400"/>
      <c r="D48" s="423"/>
      <c r="E48" s="424"/>
      <c r="F48" s="424"/>
      <c r="G48" s="425"/>
      <c r="H48" s="425"/>
      <c r="I48" s="408"/>
      <c r="J48" s="424"/>
      <c r="K48" s="408"/>
      <c r="L48" s="408"/>
      <c r="M48" s="409"/>
      <c r="N48" s="420"/>
      <c r="O48" s="409"/>
      <c r="P48" s="409"/>
      <c r="Q48" s="409"/>
      <c r="R48" s="409"/>
      <c r="S48" s="409"/>
      <c r="T48" s="409"/>
      <c r="U48" s="409"/>
      <c r="V48" s="409"/>
    </row>
    <row r="49" spans="1:46" s="419" customFormat="1" hidden="1" outlineLevel="1">
      <c r="A49" s="460" t="s">
        <v>90</v>
      </c>
      <c r="B49" s="460" t="s">
        <v>91</v>
      </c>
      <c r="C49" s="460"/>
      <c r="D49" s="460"/>
      <c r="E49" s="460"/>
      <c r="F49" s="424"/>
      <c r="G49" s="425"/>
      <c r="H49" s="425"/>
      <c r="I49" s="408"/>
      <c r="J49" s="424"/>
      <c r="K49" s="409"/>
      <c r="L49" s="409"/>
      <c r="M49" s="409"/>
      <c r="N49" s="420"/>
      <c r="O49" s="409"/>
      <c r="P49" s="409"/>
      <c r="Q49" s="409"/>
      <c r="R49" s="409"/>
      <c r="S49" s="409"/>
      <c r="T49" s="409"/>
      <c r="U49" s="409"/>
      <c r="V49" s="409"/>
    </row>
    <row r="50" spans="1:46" s="402" customFormat="1" hidden="1" outlineLevel="2">
      <c r="A50" s="431"/>
      <c r="B50" s="433" t="s">
        <v>2868</v>
      </c>
      <c r="C50" s="387" t="s">
        <v>1057</v>
      </c>
      <c r="D50" s="398"/>
      <c r="E50" s="388" t="s">
        <v>2881</v>
      </c>
      <c r="F50" s="399"/>
      <c r="G50" s="399" t="s">
        <v>1057</v>
      </c>
      <c r="H50" s="386" t="str">
        <f t="shared" ref="H50:H59" si="4">CONCATENATE(G50,"-",I50)</f>
        <v>R25P-1</v>
      </c>
      <c r="I50" s="400">
        <v>1</v>
      </c>
      <c r="J50" s="399"/>
      <c r="K50" s="427"/>
      <c r="L50" s="397"/>
      <c r="M50" s="395" cm="1">
        <f t="array" ref="M50">IFERROR(_xlfn.IFS(N50=1,1,O50=1,1,P50=1,1,Q50=1,1),0)</f>
        <v>1</v>
      </c>
      <c r="N50" s="427"/>
      <c r="O50" s="427">
        <v>1</v>
      </c>
      <c r="P50" s="427"/>
      <c r="Q50" s="427"/>
      <c r="R50" s="395" cm="1">
        <f t="array" ref="R50">IFERROR(_xlfn.IFS(S50=1,1,T50=1,1,U50=1,1,V50=1,1),0)</f>
        <v>0</v>
      </c>
      <c r="S50" s="427"/>
      <c r="T50" s="427"/>
      <c r="U50" s="427"/>
      <c r="V50" s="427"/>
      <c r="AT50" s="390">
        <v>1</v>
      </c>
    </row>
    <row r="51" spans="1:46" s="402" customFormat="1" hidden="1" outlineLevel="2">
      <c r="A51" s="431"/>
      <c r="B51" s="433" t="s">
        <v>2868</v>
      </c>
      <c r="C51" s="387" t="s">
        <v>1057</v>
      </c>
      <c r="D51" s="398"/>
      <c r="E51" s="388" t="s">
        <v>2882</v>
      </c>
      <c r="F51" s="399"/>
      <c r="G51" s="399" t="s">
        <v>1057</v>
      </c>
      <c r="H51" s="386" t="str">
        <f t="shared" si="4"/>
        <v>R25P-1</v>
      </c>
      <c r="I51" s="400">
        <v>1</v>
      </c>
      <c r="J51" s="399"/>
      <c r="K51" s="427"/>
      <c r="L51" s="397"/>
      <c r="M51" s="395" cm="1">
        <f t="array" ref="M51">IFERROR(_xlfn.IFS(N51=1,1,O51=1,1,P51=1,1,Q51=1,1),0)</f>
        <v>1</v>
      </c>
      <c r="N51" s="427"/>
      <c r="O51" s="427">
        <v>1</v>
      </c>
      <c r="P51" s="427"/>
      <c r="Q51" s="427"/>
      <c r="R51" s="395" cm="1">
        <f t="array" ref="R51">IFERROR(_xlfn.IFS(S51=1,1,T51=1,1,U51=1,1,V51=1,1),0)</f>
        <v>0</v>
      </c>
      <c r="S51" s="427"/>
      <c r="T51" s="427"/>
      <c r="U51" s="427"/>
      <c r="V51" s="427"/>
      <c r="AT51" s="390">
        <v>1</v>
      </c>
    </row>
    <row r="52" spans="1:46" s="402" customFormat="1" hidden="1" outlineLevel="2">
      <c r="A52" s="431"/>
      <c r="B52" s="433" t="s">
        <v>2868</v>
      </c>
      <c r="C52" s="387" t="s">
        <v>1057</v>
      </c>
      <c r="D52" s="398"/>
      <c r="E52" s="388" t="s">
        <v>2883</v>
      </c>
      <c r="F52" s="399"/>
      <c r="G52" s="399" t="s">
        <v>1057</v>
      </c>
      <c r="H52" s="386" t="str">
        <f t="shared" si="4"/>
        <v>R25P-1</v>
      </c>
      <c r="I52" s="400">
        <v>1</v>
      </c>
      <c r="J52" s="399"/>
      <c r="K52" s="427"/>
      <c r="L52" s="397"/>
      <c r="M52" s="395" cm="1">
        <f t="array" ref="M52">IFERROR(_xlfn.IFS(N52=1,1,O52=1,1,P52=1,1,Q52=1,1),0)</f>
        <v>1</v>
      </c>
      <c r="N52" s="427"/>
      <c r="O52" s="427">
        <v>1</v>
      </c>
      <c r="P52" s="427"/>
      <c r="Q52" s="427"/>
      <c r="R52" s="395" cm="1">
        <f t="array" ref="R52">IFERROR(_xlfn.IFS(S52=1,1,T52=1,1,U52=1,1,V52=1,1),0)</f>
        <v>0</v>
      </c>
      <c r="S52" s="427"/>
      <c r="T52" s="427"/>
      <c r="U52" s="427"/>
      <c r="V52" s="427"/>
      <c r="AT52" s="390">
        <v>1</v>
      </c>
    </row>
    <row r="53" spans="1:46" s="402" customFormat="1" hidden="1" outlineLevel="2">
      <c r="A53" s="431"/>
      <c r="B53" s="433" t="s">
        <v>2868</v>
      </c>
      <c r="C53" s="387" t="s">
        <v>1057</v>
      </c>
      <c r="D53" s="398"/>
      <c r="E53" s="388" t="s">
        <v>2884</v>
      </c>
      <c r="F53" s="399"/>
      <c r="G53" s="399" t="s">
        <v>1057</v>
      </c>
      <c r="H53" s="386" t="str">
        <f t="shared" si="4"/>
        <v>R25P-1</v>
      </c>
      <c r="I53" s="400">
        <v>1</v>
      </c>
      <c r="J53" s="399"/>
      <c r="K53" s="427"/>
      <c r="L53" s="397"/>
      <c r="M53" s="395" cm="1">
        <f t="array" ref="M53">IFERROR(_xlfn.IFS(N53=1,1,O53=1,1,P53=1,1,Q53=1,1),0)</f>
        <v>1</v>
      </c>
      <c r="N53" s="427"/>
      <c r="O53" s="427">
        <v>1</v>
      </c>
      <c r="P53" s="427"/>
      <c r="Q53" s="427"/>
      <c r="R53" s="395" cm="1">
        <f t="array" ref="R53">IFERROR(_xlfn.IFS(S53=1,1,T53=1,1,U53=1,1,V53=1,1),0)</f>
        <v>0</v>
      </c>
      <c r="S53" s="427"/>
      <c r="T53" s="427"/>
      <c r="U53" s="427"/>
      <c r="V53" s="427"/>
      <c r="AT53" s="390">
        <v>1</v>
      </c>
    </row>
    <row r="54" spans="1:46" s="402" customFormat="1" hidden="1" outlineLevel="2">
      <c r="A54" s="431"/>
      <c r="B54" s="433" t="s">
        <v>2868</v>
      </c>
      <c r="C54" s="387" t="s">
        <v>1057</v>
      </c>
      <c r="D54" s="398"/>
      <c r="E54" s="388" t="s">
        <v>2885</v>
      </c>
      <c r="F54" s="399"/>
      <c r="G54" s="399" t="s">
        <v>1057</v>
      </c>
      <c r="H54" s="386" t="str">
        <f t="shared" si="4"/>
        <v>R25P-1</v>
      </c>
      <c r="I54" s="400">
        <v>1</v>
      </c>
      <c r="J54" s="399"/>
      <c r="K54" s="427"/>
      <c r="L54" s="397"/>
      <c r="M54" s="395" cm="1">
        <f t="array" ref="M54">IFERROR(_xlfn.IFS(N54=1,1,O54=1,1,P54=1,1,Q54=1,1),0)</f>
        <v>1</v>
      </c>
      <c r="N54" s="427"/>
      <c r="O54" s="427">
        <v>1</v>
      </c>
      <c r="P54" s="427"/>
      <c r="Q54" s="427"/>
      <c r="R54" s="395" cm="1">
        <f t="array" ref="R54">IFERROR(_xlfn.IFS(S54=1,1,T54=1,1,U54=1,1,V54=1,1),0)</f>
        <v>0</v>
      </c>
      <c r="S54" s="427"/>
      <c r="T54" s="427"/>
      <c r="U54" s="427"/>
      <c r="V54" s="427"/>
      <c r="AT54" s="390">
        <v>1</v>
      </c>
    </row>
    <row r="55" spans="1:46" s="402" customFormat="1" hidden="1" outlineLevel="2">
      <c r="A55" s="431"/>
      <c r="B55" s="433" t="s">
        <v>2868</v>
      </c>
      <c r="C55" s="387" t="s">
        <v>1057</v>
      </c>
      <c r="D55" s="398"/>
      <c r="E55" s="388" t="s">
        <v>2886</v>
      </c>
      <c r="F55" s="399"/>
      <c r="G55" s="399" t="s">
        <v>1057</v>
      </c>
      <c r="H55" s="386" t="str">
        <f t="shared" si="4"/>
        <v>R25P-1</v>
      </c>
      <c r="I55" s="400">
        <v>1</v>
      </c>
      <c r="J55" s="399"/>
      <c r="K55" s="427"/>
      <c r="L55" s="397"/>
      <c r="M55" s="395" cm="1">
        <f t="array" ref="M55">IFERROR(_xlfn.IFS(N55=1,1,O55=1,1,P55=1,1,Q55=1,1),0)</f>
        <v>1</v>
      </c>
      <c r="N55" s="427"/>
      <c r="O55" s="427">
        <v>1</v>
      </c>
      <c r="P55" s="427"/>
      <c r="Q55" s="427"/>
      <c r="R55" s="395" cm="1">
        <f t="array" ref="R55">IFERROR(_xlfn.IFS(S55=1,1,T55=1,1,U55=1,1,V55=1,1),0)</f>
        <v>0</v>
      </c>
      <c r="S55" s="427"/>
      <c r="T55" s="427"/>
      <c r="U55" s="427"/>
      <c r="V55" s="427"/>
      <c r="AT55" s="390">
        <v>1</v>
      </c>
    </row>
    <row r="56" spans="1:46" s="402" customFormat="1" hidden="1" outlineLevel="2">
      <c r="A56" s="431"/>
      <c r="B56" s="433" t="s">
        <v>2868</v>
      </c>
      <c r="C56" s="387" t="s">
        <v>1057</v>
      </c>
      <c r="D56" s="398"/>
      <c r="E56" s="388" t="s">
        <v>2887</v>
      </c>
      <c r="F56" s="399"/>
      <c r="G56" s="399" t="s">
        <v>1057</v>
      </c>
      <c r="H56" s="386" t="str">
        <f t="shared" si="4"/>
        <v>R25P-1</v>
      </c>
      <c r="I56" s="400">
        <v>1</v>
      </c>
      <c r="J56" s="399"/>
      <c r="K56" s="427"/>
      <c r="L56" s="404"/>
      <c r="M56" s="395" cm="1">
        <f t="array" ref="M56">IFERROR(_xlfn.IFS(N56=1,1,O56=1,1,P56=1,1,Q56=1,1),0)</f>
        <v>1</v>
      </c>
      <c r="N56" s="427"/>
      <c r="O56" s="427">
        <v>1</v>
      </c>
      <c r="P56" s="427"/>
      <c r="Q56" s="427"/>
      <c r="R56" s="395" cm="1">
        <f t="array" ref="R56">IFERROR(_xlfn.IFS(S56=1,1,T56=1,1,U56=1,1,V56=1,1),0)</f>
        <v>0</v>
      </c>
      <c r="S56" s="427"/>
      <c r="T56" s="427"/>
      <c r="U56" s="427"/>
      <c r="V56" s="427"/>
      <c r="AT56" s="390">
        <v>1</v>
      </c>
    </row>
    <row r="57" spans="1:46" s="402" customFormat="1" hidden="1" outlineLevel="2">
      <c r="A57" s="431"/>
      <c r="B57" s="433" t="s">
        <v>2868</v>
      </c>
      <c r="C57" s="387" t="s">
        <v>1057</v>
      </c>
      <c r="D57" s="398"/>
      <c r="E57" s="388" t="s">
        <v>2888</v>
      </c>
      <c r="F57" s="399"/>
      <c r="G57" s="399" t="s">
        <v>1057</v>
      </c>
      <c r="H57" s="386" t="str">
        <f t="shared" si="4"/>
        <v>R25P-1</v>
      </c>
      <c r="I57" s="400">
        <v>1</v>
      </c>
      <c r="J57" s="399"/>
      <c r="K57" s="427"/>
      <c r="L57" s="397"/>
      <c r="M57" s="395" cm="1">
        <f t="array" ref="M57">IFERROR(_xlfn.IFS(N57=1,1,O57=1,1,P57=1,1,Q57=1,1),0)</f>
        <v>1</v>
      </c>
      <c r="N57" s="427"/>
      <c r="O57" s="427">
        <v>1</v>
      </c>
      <c r="P57" s="427"/>
      <c r="Q57" s="427"/>
      <c r="R57" s="395" cm="1">
        <f t="array" ref="R57">IFERROR(_xlfn.IFS(S57=1,1,T57=1,1,U57=1,1,V57=1,1),0)</f>
        <v>0</v>
      </c>
      <c r="S57" s="427"/>
      <c r="T57" s="427"/>
      <c r="U57" s="427"/>
      <c r="V57" s="427"/>
      <c r="AT57" s="390">
        <v>1</v>
      </c>
    </row>
    <row r="58" spans="1:46" s="402" customFormat="1" hidden="1" outlineLevel="2">
      <c r="A58" s="431"/>
      <c r="B58" s="433" t="s">
        <v>2868</v>
      </c>
      <c r="C58" s="387" t="s">
        <v>1057</v>
      </c>
      <c r="D58" s="398"/>
      <c r="E58" s="388" t="s">
        <v>2889</v>
      </c>
      <c r="F58" s="399"/>
      <c r="G58" s="399" t="s">
        <v>1057</v>
      </c>
      <c r="H58" s="386" t="str">
        <f t="shared" si="4"/>
        <v>R25P-1</v>
      </c>
      <c r="I58" s="400">
        <v>1</v>
      </c>
      <c r="J58" s="399"/>
      <c r="K58" s="427"/>
      <c r="L58" s="397"/>
      <c r="M58" s="395" cm="1">
        <f t="array" ref="M58">IFERROR(_xlfn.IFS(N58=1,1,O58=1,1,P58=1,1,Q58=1,1),0)</f>
        <v>1</v>
      </c>
      <c r="N58" s="427"/>
      <c r="O58" s="427">
        <v>1</v>
      </c>
      <c r="P58" s="427"/>
      <c r="Q58" s="427"/>
      <c r="R58" s="395" cm="1">
        <f t="array" ref="R58">IFERROR(_xlfn.IFS(S58=1,1,T58=1,1,U58=1,1,V58=1,1),0)</f>
        <v>0</v>
      </c>
      <c r="S58" s="427"/>
      <c r="T58" s="427"/>
      <c r="U58" s="427"/>
      <c r="V58" s="427"/>
      <c r="AT58" s="390">
        <v>1</v>
      </c>
    </row>
    <row r="59" spans="1:46" s="402" customFormat="1" hidden="1" outlineLevel="2">
      <c r="A59" s="431"/>
      <c r="B59" s="433" t="s">
        <v>2868</v>
      </c>
      <c r="C59" s="387" t="s">
        <v>1057</v>
      </c>
      <c r="D59" s="398"/>
      <c r="E59" s="388" t="s">
        <v>2890</v>
      </c>
      <c r="F59" s="399"/>
      <c r="G59" s="399" t="s">
        <v>1057</v>
      </c>
      <c r="H59" s="386" t="str">
        <f t="shared" si="4"/>
        <v>R25P-1</v>
      </c>
      <c r="I59" s="400">
        <v>1</v>
      </c>
      <c r="J59" s="399"/>
      <c r="K59" s="427"/>
      <c r="L59" s="397"/>
      <c r="M59" s="395" cm="1">
        <f t="array" ref="M59">IFERROR(_xlfn.IFS(N59=1,1,O59=1,1,P59=1,1,Q59=1,1),0)</f>
        <v>1</v>
      </c>
      <c r="N59" s="427"/>
      <c r="O59" s="427">
        <v>1</v>
      </c>
      <c r="P59" s="427"/>
      <c r="Q59" s="427"/>
      <c r="R59" s="395" cm="1">
        <f t="array" ref="R59">IFERROR(_xlfn.IFS(S59=1,1,T59=1,1,U59=1,1,V59=1,1),0)</f>
        <v>0</v>
      </c>
      <c r="S59" s="427"/>
      <c r="T59" s="427"/>
      <c r="U59" s="427"/>
      <c r="V59" s="427"/>
      <c r="AT59" s="390">
        <v>1</v>
      </c>
    </row>
    <row r="60" spans="1:46" s="419" customFormat="1" ht="3" hidden="1" customHeight="1" outlineLevel="1"/>
    <row r="61" spans="1:46" s="419" customFormat="1" hidden="1" outlineLevel="1">
      <c r="A61" s="460" t="s">
        <v>92</v>
      </c>
      <c r="B61" s="460" t="s">
        <v>93</v>
      </c>
      <c r="C61" s="460"/>
      <c r="D61" s="460"/>
      <c r="E61" s="460"/>
      <c r="F61" s="424"/>
      <c r="G61" s="425"/>
      <c r="H61" s="425"/>
      <c r="I61" s="408"/>
      <c r="J61" s="424"/>
      <c r="K61" s="409"/>
      <c r="L61" s="409"/>
      <c r="M61" s="409"/>
      <c r="N61" s="420"/>
      <c r="O61" s="409"/>
      <c r="P61" s="409"/>
      <c r="Q61" s="409"/>
      <c r="R61" s="409"/>
      <c r="S61" s="409"/>
      <c r="T61" s="409"/>
      <c r="U61" s="409"/>
      <c r="V61" s="409"/>
    </row>
    <row r="62" spans="1:46" s="402" customFormat="1" hidden="1" outlineLevel="2">
      <c r="A62" s="431"/>
      <c r="B62" s="433" t="s">
        <v>2868</v>
      </c>
      <c r="C62" s="387" t="s">
        <v>1058</v>
      </c>
      <c r="D62" s="398"/>
      <c r="E62" s="388" t="s">
        <v>2881</v>
      </c>
      <c r="F62" s="399"/>
      <c r="G62" s="399" t="s">
        <v>1058</v>
      </c>
      <c r="H62" s="386" t="str">
        <f t="shared" ref="H62:H69" si="5">CONCATENATE(G62,"-",I62)</f>
        <v>L20P-1</v>
      </c>
      <c r="I62" s="400">
        <v>1</v>
      </c>
      <c r="J62" s="399"/>
      <c r="K62" s="427"/>
      <c r="L62" s="397"/>
      <c r="M62" s="395" cm="1">
        <f t="array" ref="M62">IFERROR(_xlfn.IFS(N62=1,1,O62=1,1,P62=1,1,Q62=1,1),0)</f>
        <v>1</v>
      </c>
      <c r="N62" s="427"/>
      <c r="P62" s="427">
        <v>1</v>
      </c>
      <c r="Q62" s="427"/>
      <c r="R62" s="395" cm="1">
        <f t="array" ref="R62">IFERROR(_xlfn.IFS(S62=1,1,T62=1,1,U62=1,1,V62=1,1),0)</f>
        <v>0</v>
      </c>
      <c r="S62" s="427"/>
      <c r="U62" s="427"/>
      <c r="V62" s="427"/>
      <c r="AT62" s="390">
        <v>1</v>
      </c>
    </row>
    <row r="63" spans="1:46" s="402" customFormat="1" hidden="1" outlineLevel="2">
      <c r="A63" s="431"/>
      <c r="B63" s="433" t="s">
        <v>2868</v>
      </c>
      <c r="C63" s="387" t="s">
        <v>1058</v>
      </c>
      <c r="D63" s="398"/>
      <c r="E63" s="388" t="s">
        <v>2882</v>
      </c>
      <c r="F63" s="399"/>
      <c r="G63" s="399" t="s">
        <v>1058</v>
      </c>
      <c r="H63" s="386" t="str">
        <f t="shared" si="5"/>
        <v>L20P-1</v>
      </c>
      <c r="I63" s="400">
        <v>1</v>
      </c>
      <c r="J63" s="399"/>
      <c r="K63" s="427"/>
      <c r="L63" s="397"/>
      <c r="M63" s="395" cm="1">
        <f t="array" ref="M63">IFERROR(_xlfn.IFS(N63=1,1,O63=1,1,P63=1,1,Q63=1,1),0)</f>
        <v>1</v>
      </c>
      <c r="N63" s="427"/>
      <c r="P63" s="427">
        <v>1</v>
      </c>
      <c r="Q63" s="427"/>
      <c r="R63" s="395" cm="1">
        <f t="array" ref="R63">IFERROR(_xlfn.IFS(S63=1,1,T63=1,1,U63=1,1,V63=1,1),0)</f>
        <v>0</v>
      </c>
      <c r="S63" s="427"/>
      <c r="U63" s="427"/>
      <c r="V63" s="427"/>
      <c r="AT63" s="390">
        <v>1</v>
      </c>
    </row>
    <row r="64" spans="1:46" s="402" customFormat="1" hidden="1" outlineLevel="2">
      <c r="A64" s="431"/>
      <c r="B64" s="433" t="s">
        <v>2868</v>
      </c>
      <c r="C64" s="387" t="s">
        <v>1058</v>
      </c>
      <c r="D64" s="398"/>
      <c r="E64" s="388" t="s">
        <v>2883</v>
      </c>
      <c r="F64" s="399"/>
      <c r="G64" s="399" t="s">
        <v>1058</v>
      </c>
      <c r="H64" s="386" t="str">
        <f t="shared" si="5"/>
        <v>L20P-1</v>
      </c>
      <c r="I64" s="400">
        <v>1</v>
      </c>
      <c r="J64" s="399"/>
      <c r="K64" s="427"/>
      <c r="L64" s="397"/>
      <c r="M64" s="395" cm="1">
        <f t="array" ref="M64">IFERROR(_xlfn.IFS(N64=1,1,O64=1,1,P64=1,1,Q64=1,1),0)</f>
        <v>1</v>
      </c>
      <c r="N64" s="427"/>
      <c r="P64" s="427">
        <v>1</v>
      </c>
      <c r="Q64" s="427"/>
      <c r="R64" s="395" cm="1">
        <f t="array" ref="R64">IFERROR(_xlfn.IFS(S64=1,1,T64=1,1,U64=1,1,V64=1,1),0)</f>
        <v>0</v>
      </c>
      <c r="S64" s="427"/>
      <c r="U64" s="427"/>
      <c r="V64" s="427"/>
      <c r="AT64" s="390">
        <v>1</v>
      </c>
    </row>
    <row r="65" spans="1:46" s="402" customFormat="1" hidden="1" outlineLevel="2">
      <c r="A65" s="431"/>
      <c r="B65" s="433" t="s">
        <v>2868</v>
      </c>
      <c r="C65" s="387" t="s">
        <v>1058</v>
      </c>
      <c r="D65" s="398"/>
      <c r="E65" s="388" t="s">
        <v>2884</v>
      </c>
      <c r="F65" s="399"/>
      <c r="G65" s="399" t="s">
        <v>1058</v>
      </c>
      <c r="H65" s="386" t="str">
        <f t="shared" si="5"/>
        <v>L20P-1</v>
      </c>
      <c r="I65" s="400">
        <v>1</v>
      </c>
      <c r="J65" s="399"/>
      <c r="K65" s="427"/>
      <c r="L65" s="397"/>
      <c r="M65" s="395" cm="1">
        <f t="array" ref="M65">IFERROR(_xlfn.IFS(N65=1,1,O65=1,1,P65=1,1,Q65=1,1),0)</f>
        <v>1</v>
      </c>
      <c r="N65" s="427"/>
      <c r="P65" s="427">
        <v>1</v>
      </c>
      <c r="Q65" s="427"/>
      <c r="R65" s="395" cm="1">
        <f t="array" ref="R65">IFERROR(_xlfn.IFS(S65=1,1,T65=1,1,U65=1,1,V65=1,1),0)</f>
        <v>0</v>
      </c>
      <c r="S65" s="427"/>
      <c r="U65" s="427"/>
      <c r="V65" s="427"/>
      <c r="AT65" s="390">
        <v>1</v>
      </c>
    </row>
    <row r="66" spans="1:46" s="402" customFormat="1" hidden="1" outlineLevel="2">
      <c r="A66" s="431"/>
      <c r="B66" s="433" t="s">
        <v>2868</v>
      </c>
      <c r="C66" s="387" t="s">
        <v>1058</v>
      </c>
      <c r="D66" s="398"/>
      <c r="E66" s="388" t="s">
        <v>2885</v>
      </c>
      <c r="F66" s="399"/>
      <c r="G66" s="399" t="s">
        <v>1058</v>
      </c>
      <c r="H66" s="386" t="str">
        <f t="shared" si="5"/>
        <v>L20P-1</v>
      </c>
      <c r="I66" s="400">
        <v>1</v>
      </c>
      <c r="J66" s="399"/>
      <c r="K66" s="427"/>
      <c r="L66" s="397"/>
      <c r="M66" s="395" cm="1">
        <f t="array" ref="M66">IFERROR(_xlfn.IFS(N66=1,1,O66=1,1,P66=1,1,Q66=1,1),0)</f>
        <v>1</v>
      </c>
      <c r="N66" s="427"/>
      <c r="P66" s="427">
        <v>1</v>
      </c>
      <c r="Q66" s="427"/>
      <c r="R66" s="395" cm="1">
        <f t="array" ref="R66">IFERROR(_xlfn.IFS(S66=1,1,T66=1,1,U66=1,1,V66=1,1),0)</f>
        <v>0</v>
      </c>
      <c r="S66" s="427"/>
      <c r="U66" s="427"/>
      <c r="V66" s="427"/>
      <c r="AT66" s="390">
        <v>1</v>
      </c>
    </row>
    <row r="67" spans="1:46" s="402" customFormat="1" hidden="1" outlineLevel="2">
      <c r="A67" s="431"/>
      <c r="B67" s="433" t="s">
        <v>2868</v>
      </c>
      <c r="C67" s="387" t="s">
        <v>1058</v>
      </c>
      <c r="D67" s="398"/>
      <c r="E67" s="388" t="s">
        <v>2886</v>
      </c>
      <c r="F67" s="399"/>
      <c r="G67" s="399" t="s">
        <v>1058</v>
      </c>
      <c r="H67" s="386" t="str">
        <f t="shared" si="5"/>
        <v>L20P-1</v>
      </c>
      <c r="I67" s="400">
        <v>1</v>
      </c>
      <c r="J67" s="399"/>
      <c r="K67" s="427"/>
      <c r="L67" s="397"/>
      <c r="M67" s="395" cm="1">
        <f t="array" ref="M67">IFERROR(_xlfn.IFS(N67=1,1,O67=1,1,P67=1,1,Q67=1,1),0)</f>
        <v>1</v>
      </c>
      <c r="N67" s="427"/>
      <c r="P67" s="427">
        <v>1</v>
      </c>
      <c r="Q67" s="427"/>
      <c r="R67" s="395" cm="1">
        <f t="array" ref="R67">IFERROR(_xlfn.IFS(S67=1,1,T67=1,1,U67=1,1,V67=1,1),0)</f>
        <v>0</v>
      </c>
      <c r="S67" s="427"/>
      <c r="U67" s="427"/>
      <c r="V67" s="427"/>
      <c r="AT67" s="390">
        <v>1</v>
      </c>
    </row>
    <row r="68" spans="1:46" s="402" customFormat="1" hidden="1" outlineLevel="2">
      <c r="A68" s="431"/>
      <c r="B68" s="433" t="s">
        <v>2868</v>
      </c>
      <c r="C68" s="387" t="s">
        <v>1058</v>
      </c>
      <c r="D68" s="398"/>
      <c r="E68" s="388" t="s">
        <v>2887</v>
      </c>
      <c r="F68" s="399"/>
      <c r="G68" s="399" t="s">
        <v>1058</v>
      </c>
      <c r="H68" s="386" t="str">
        <f t="shared" si="5"/>
        <v>L20P-1</v>
      </c>
      <c r="I68" s="400">
        <v>1</v>
      </c>
      <c r="J68" s="399"/>
      <c r="K68" s="427"/>
      <c r="L68" s="397"/>
      <c r="M68" s="395" cm="1">
        <f t="array" ref="M68">IFERROR(_xlfn.IFS(N68=1,1,O68=1,1,P68=1,1,Q68=1,1),0)</f>
        <v>1</v>
      </c>
      <c r="N68" s="427"/>
      <c r="P68" s="427">
        <v>1</v>
      </c>
      <c r="Q68" s="427"/>
      <c r="R68" s="395" cm="1">
        <f t="array" ref="R68">IFERROR(_xlfn.IFS(S68=1,1,T68=1,1,U68=1,1,V68=1,1),0)</f>
        <v>0</v>
      </c>
      <c r="S68" s="427"/>
      <c r="U68" s="427"/>
      <c r="V68" s="427"/>
      <c r="AT68" s="390">
        <v>1</v>
      </c>
    </row>
    <row r="69" spans="1:46" s="402" customFormat="1" hidden="1" outlineLevel="2">
      <c r="A69" s="431"/>
      <c r="B69" s="433" t="s">
        <v>2868</v>
      </c>
      <c r="C69" s="387" t="s">
        <v>1058</v>
      </c>
      <c r="D69" s="398"/>
      <c r="E69" s="388" t="s">
        <v>2888</v>
      </c>
      <c r="F69" s="399"/>
      <c r="G69" s="399" t="s">
        <v>1058</v>
      </c>
      <c r="H69" s="386" t="str">
        <f t="shared" si="5"/>
        <v>L20P-1</v>
      </c>
      <c r="I69" s="400">
        <v>1</v>
      </c>
      <c r="J69" s="399"/>
      <c r="K69" s="427"/>
      <c r="L69" s="397"/>
      <c r="M69" s="395" cm="1">
        <f t="array" ref="M69">IFERROR(_xlfn.IFS(N69=1,1,O69=1,1,P69=1,1,Q69=1,1),0)</f>
        <v>1</v>
      </c>
      <c r="N69" s="427"/>
      <c r="P69" s="427">
        <v>1</v>
      </c>
      <c r="Q69" s="427"/>
      <c r="R69" s="395" cm="1">
        <f t="array" ref="R69">IFERROR(_xlfn.IFS(S69=1,1,T69=1,1,U69=1,1,V69=1,1),0)</f>
        <v>0</v>
      </c>
      <c r="S69" s="427"/>
      <c r="U69" s="427"/>
      <c r="V69" s="427"/>
      <c r="AT69" s="390">
        <v>1</v>
      </c>
    </row>
    <row r="70" spans="1:46" s="419" customFormat="1" ht="3" hidden="1" customHeight="1" outlineLevel="1">
      <c r="A70" s="485"/>
      <c r="B70" s="486"/>
      <c r="C70" s="400"/>
      <c r="D70" s="423"/>
      <c r="E70" s="424"/>
      <c r="F70" s="424"/>
      <c r="G70" s="425"/>
      <c r="H70" s="425"/>
      <c r="I70" s="408"/>
      <c r="J70" s="424"/>
      <c r="K70" s="408"/>
      <c r="L70" s="408"/>
      <c r="M70" s="409"/>
      <c r="N70" s="420"/>
      <c r="O70" s="409"/>
      <c r="P70" s="409"/>
      <c r="Q70" s="409"/>
      <c r="R70" s="409"/>
      <c r="S70" s="409"/>
      <c r="T70" s="409"/>
      <c r="U70" s="409"/>
      <c r="V70" s="409"/>
    </row>
    <row r="71" spans="1:46" s="419" customFormat="1" hidden="1" outlineLevel="1">
      <c r="A71" s="460" t="s">
        <v>94</v>
      </c>
      <c r="B71" s="460" t="s">
        <v>95</v>
      </c>
      <c r="C71" s="460"/>
      <c r="D71" s="460"/>
      <c r="E71" s="460"/>
      <c r="F71" s="424"/>
      <c r="G71" s="425"/>
      <c r="H71" s="425"/>
      <c r="I71" s="408"/>
      <c r="J71" s="424"/>
      <c r="K71" s="409"/>
      <c r="L71" s="409"/>
      <c r="M71" s="409"/>
      <c r="N71" s="420"/>
      <c r="O71" s="409"/>
      <c r="P71" s="409"/>
      <c r="Q71" s="409"/>
      <c r="R71" s="409"/>
      <c r="S71" s="409"/>
      <c r="T71" s="409"/>
      <c r="U71" s="409"/>
      <c r="V71" s="409"/>
    </row>
    <row r="72" spans="1:46" s="402" customFormat="1" hidden="1" outlineLevel="2">
      <c r="A72" s="431"/>
      <c r="B72" s="433" t="s">
        <v>2868</v>
      </c>
      <c r="C72" s="387" t="s">
        <v>1059</v>
      </c>
      <c r="D72" s="398"/>
      <c r="E72" s="388" t="s">
        <v>2881</v>
      </c>
      <c r="F72" s="399"/>
      <c r="G72" s="399" t="s">
        <v>1059</v>
      </c>
      <c r="H72" s="386" t="str">
        <f t="shared" ref="H72:H79" si="6">CONCATENATE(G72,"-",I72)</f>
        <v>D35P-1</v>
      </c>
      <c r="I72" s="400">
        <v>1</v>
      </c>
      <c r="J72" s="399"/>
      <c r="K72" s="427"/>
      <c r="L72" s="397"/>
      <c r="M72" s="395" cm="1">
        <f t="array" ref="M72">IFERROR(_xlfn.IFS(N72=1,1,O72=1,1,P72=1,1,Q72=1,1),0)</f>
        <v>1</v>
      </c>
      <c r="N72" s="427"/>
      <c r="O72" s="427"/>
      <c r="P72" s="427">
        <v>1</v>
      </c>
      <c r="Q72" s="427"/>
      <c r="R72" s="395" cm="1">
        <f t="array" ref="R72">IFERROR(_xlfn.IFS(S72=1,1,T72=1,1,U72=1,1,V72=1,1),0)</f>
        <v>0</v>
      </c>
      <c r="S72" s="427"/>
      <c r="T72" s="427"/>
      <c r="U72" s="427"/>
      <c r="V72" s="427"/>
      <c r="AT72" s="390">
        <v>1</v>
      </c>
    </row>
    <row r="73" spans="1:46" s="402" customFormat="1" hidden="1" outlineLevel="2">
      <c r="A73" s="431"/>
      <c r="B73" s="433" t="s">
        <v>2868</v>
      </c>
      <c r="C73" s="387" t="s">
        <v>1059</v>
      </c>
      <c r="D73" s="398"/>
      <c r="E73" s="388" t="s">
        <v>2882</v>
      </c>
      <c r="F73" s="399"/>
      <c r="G73" s="399" t="s">
        <v>1059</v>
      </c>
      <c r="H73" s="386" t="str">
        <f t="shared" si="6"/>
        <v>D35P-1</v>
      </c>
      <c r="I73" s="400">
        <v>1</v>
      </c>
      <c r="J73" s="399"/>
      <c r="K73" s="427"/>
      <c r="L73" s="397"/>
      <c r="M73" s="395" cm="1">
        <f t="array" ref="M73">IFERROR(_xlfn.IFS(N73=1,1,O73=1,1,P73=1,1,Q73=1,1),0)</f>
        <v>1</v>
      </c>
      <c r="N73" s="427"/>
      <c r="O73" s="427"/>
      <c r="P73" s="427">
        <v>1</v>
      </c>
      <c r="Q73" s="427"/>
      <c r="R73" s="395" cm="1">
        <f t="array" ref="R73">IFERROR(_xlfn.IFS(S73=1,1,T73=1,1,U73=1,1,V73=1,1),0)</f>
        <v>0</v>
      </c>
      <c r="S73" s="427"/>
      <c r="T73" s="427"/>
      <c r="U73" s="427"/>
      <c r="V73" s="427"/>
      <c r="AT73" s="390">
        <v>1</v>
      </c>
    </row>
    <row r="74" spans="1:46" s="402" customFormat="1" hidden="1" outlineLevel="2">
      <c r="A74" s="431"/>
      <c r="B74" s="433" t="s">
        <v>2868</v>
      </c>
      <c r="C74" s="387" t="s">
        <v>1059</v>
      </c>
      <c r="D74" s="398"/>
      <c r="E74" s="388" t="s">
        <v>2883</v>
      </c>
      <c r="F74" s="399"/>
      <c r="G74" s="399" t="s">
        <v>1059</v>
      </c>
      <c r="H74" s="386" t="str">
        <f t="shared" si="6"/>
        <v>D35P-1</v>
      </c>
      <c r="I74" s="400">
        <v>1</v>
      </c>
      <c r="J74" s="399"/>
      <c r="K74" s="427"/>
      <c r="L74" s="397"/>
      <c r="M74" s="395" cm="1">
        <f t="array" ref="M74">IFERROR(_xlfn.IFS(N74=1,1,O74=1,1,P74=1,1,Q74=1,1),0)</f>
        <v>1</v>
      </c>
      <c r="N74" s="427"/>
      <c r="O74" s="427"/>
      <c r="P74" s="427">
        <v>1</v>
      </c>
      <c r="Q74" s="427"/>
      <c r="R74" s="395" cm="1">
        <f t="array" ref="R74">IFERROR(_xlfn.IFS(S74=1,1,T74=1,1,U74=1,1,V74=1,1),0)</f>
        <v>0</v>
      </c>
      <c r="S74" s="427"/>
      <c r="T74" s="427"/>
      <c r="U74" s="427"/>
      <c r="V74" s="427"/>
      <c r="AT74" s="390">
        <v>1</v>
      </c>
    </row>
    <row r="75" spans="1:46" s="402" customFormat="1" hidden="1" outlineLevel="2">
      <c r="A75" s="431"/>
      <c r="B75" s="433" t="s">
        <v>2868</v>
      </c>
      <c r="C75" s="387" t="s">
        <v>1059</v>
      </c>
      <c r="D75" s="398"/>
      <c r="E75" s="388" t="s">
        <v>2884</v>
      </c>
      <c r="F75" s="399"/>
      <c r="G75" s="399" t="s">
        <v>1059</v>
      </c>
      <c r="H75" s="386" t="str">
        <f t="shared" si="6"/>
        <v>D35P-1</v>
      </c>
      <c r="I75" s="400">
        <v>1</v>
      </c>
      <c r="J75" s="399"/>
      <c r="K75" s="427"/>
      <c r="L75" s="397"/>
      <c r="M75" s="395" cm="1">
        <f t="array" ref="M75">IFERROR(_xlfn.IFS(N75=1,1,O75=1,1,P75=1,1,Q75=1,1),0)</f>
        <v>1</v>
      </c>
      <c r="N75" s="427"/>
      <c r="O75" s="427"/>
      <c r="P75" s="427">
        <v>1</v>
      </c>
      <c r="Q75" s="427"/>
      <c r="R75" s="395" cm="1">
        <f t="array" ref="R75">IFERROR(_xlfn.IFS(S75=1,1,T75=1,1,U75=1,1,V75=1,1),0)</f>
        <v>0</v>
      </c>
      <c r="S75" s="427"/>
      <c r="T75" s="427"/>
      <c r="U75" s="427"/>
      <c r="V75" s="427"/>
      <c r="AT75" s="390">
        <v>1</v>
      </c>
    </row>
    <row r="76" spans="1:46" s="402" customFormat="1" hidden="1" outlineLevel="2">
      <c r="A76" s="431"/>
      <c r="B76" s="433" t="s">
        <v>2868</v>
      </c>
      <c r="C76" s="387" t="s">
        <v>1059</v>
      </c>
      <c r="D76" s="398"/>
      <c r="E76" s="388" t="s">
        <v>2885</v>
      </c>
      <c r="F76" s="399"/>
      <c r="G76" s="399" t="s">
        <v>1059</v>
      </c>
      <c r="H76" s="386" t="str">
        <f t="shared" si="6"/>
        <v>D35P-1</v>
      </c>
      <c r="I76" s="400">
        <v>1</v>
      </c>
      <c r="J76" s="399"/>
      <c r="K76" s="427"/>
      <c r="L76" s="397"/>
      <c r="M76" s="395" cm="1">
        <f t="array" ref="M76">IFERROR(_xlfn.IFS(N76=1,1,O76=1,1,P76=1,1,Q76=1,1),0)</f>
        <v>1</v>
      </c>
      <c r="N76" s="427"/>
      <c r="O76" s="427"/>
      <c r="P76" s="427">
        <v>1</v>
      </c>
      <c r="Q76" s="427"/>
      <c r="R76" s="395" cm="1">
        <f t="array" ref="R76">IFERROR(_xlfn.IFS(S76=1,1,T76=1,1,U76=1,1,V76=1,1),0)</f>
        <v>0</v>
      </c>
      <c r="S76" s="427"/>
      <c r="T76" s="427"/>
      <c r="U76" s="427"/>
      <c r="V76" s="427"/>
      <c r="AT76" s="390">
        <v>1</v>
      </c>
    </row>
    <row r="77" spans="1:46" s="402" customFormat="1" hidden="1" outlineLevel="2">
      <c r="A77" s="431"/>
      <c r="B77" s="433" t="s">
        <v>2868</v>
      </c>
      <c r="C77" s="387" t="s">
        <v>1059</v>
      </c>
      <c r="D77" s="398"/>
      <c r="E77" s="388" t="s">
        <v>2886</v>
      </c>
      <c r="F77" s="399"/>
      <c r="G77" s="399" t="s">
        <v>1059</v>
      </c>
      <c r="H77" s="386" t="str">
        <f t="shared" si="6"/>
        <v>D35P-1</v>
      </c>
      <c r="I77" s="400">
        <v>1</v>
      </c>
      <c r="J77" s="399"/>
      <c r="K77" s="427"/>
      <c r="L77" s="397"/>
      <c r="M77" s="395" cm="1">
        <f t="array" ref="M77">IFERROR(_xlfn.IFS(N77=1,1,O77=1,1,P77=1,1,Q77=1,1),0)</f>
        <v>1</v>
      </c>
      <c r="N77" s="427"/>
      <c r="O77" s="427"/>
      <c r="P77" s="427">
        <v>1</v>
      </c>
      <c r="Q77" s="427"/>
      <c r="R77" s="395" cm="1">
        <f t="array" ref="R77">IFERROR(_xlfn.IFS(S77=1,1,T77=1,1,U77=1,1,V77=1,1),0)</f>
        <v>0</v>
      </c>
      <c r="S77" s="427"/>
      <c r="T77" s="427"/>
      <c r="U77" s="427"/>
      <c r="V77" s="427"/>
      <c r="AT77" s="390">
        <v>1</v>
      </c>
    </row>
    <row r="78" spans="1:46" s="402" customFormat="1" hidden="1" outlineLevel="2">
      <c r="A78" s="431"/>
      <c r="B78" s="433" t="s">
        <v>2868</v>
      </c>
      <c r="C78" s="387" t="s">
        <v>1059</v>
      </c>
      <c r="D78" s="398"/>
      <c r="E78" s="388" t="s">
        <v>2887</v>
      </c>
      <c r="F78" s="399"/>
      <c r="G78" s="399" t="s">
        <v>1059</v>
      </c>
      <c r="H78" s="386" t="str">
        <f t="shared" si="6"/>
        <v>D35P-1</v>
      </c>
      <c r="I78" s="400">
        <v>1</v>
      </c>
      <c r="J78" s="399"/>
      <c r="K78" s="427"/>
      <c r="L78" s="397"/>
      <c r="M78" s="395" cm="1">
        <f t="array" ref="M78">IFERROR(_xlfn.IFS(N78=1,1,O78=1,1,P78=1,1,Q78=1,1),0)</f>
        <v>1</v>
      </c>
      <c r="N78" s="427"/>
      <c r="O78" s="427"/>
      <c r="P78" s="427">
        <v>1</v>
      </c>
      <c r="Q78" s="427"/>
      <c r="R78" s="395" cm="1">
        <f t="array" ref="R78">IFERROR(_xlfn.IFS(S78=1,1,T78=1,1,U78=1,1,V78=1,1),0)</f>
        <v>0</v>
      </c>
      <c r="S78" s="427"/>
      <c r="T78" s="427"/>
      <c r="U78" s="427"/>
      <c r="V78" s="427"/>
      <c r="AT78" s="390">
        <v>1</v>
      </c>
    </row>
    <row r="79" spans="1:46" s="402" customFormat="1" hidden="1" outlineLevel="2">
      <c r="A79" s="431"/>
      <c r="B79" s="433" t="s">
        <v>2868</v>
      </c>
      <c r="C79" s="387" t="s">
        <v>1059</v>
      </c>
      <c r="D79" s="398"/>
      <c r="E79" s="388" t="s">
        <v>2888</v>
      </c>
      <c r="F79" s="399"/>
      <c r="G79" s="399" t="s">
        <v>1059</v>
      </c>
      <c r="H79" s="386" t="str">
        <f t="shared" si="6"/>
        <v>D35P-1</v>
      </c>
      <c r="I79" s="400">
        <v>1</v>
      </c>
      <c r="J79" s="399"/>
      <c r="K79" s="427"/>
      <c r="L79" s="397"/>
      <c r="M79" s="395" cm="1">
        <f t="array" ref="M79">IFERROR(_xlfn.IFS(N79=1,1,O79=1,1,P79=1,1,Q79=1,1),0)</f>
        <v>1</v>
      </c>
      <c r="N79" s="427"/>
      <c r="O79" s="427"/>
      <c r="P79" s="427">
        <v>1</v>
      </c>
      <c r="Q79" s="427"/>
      <c r="R79" s="395" cm="1">
        <f t="array" ref="R79">IFERROR(_xlfn.IFS(S79=1,1,T79=1,1,U79=1,1,V79=1,1),0)</f>
        <v>0</v>
      </c>
      <c r="S79" s="427"/>
      <c r="T79" s="427"/>
      <c r="U79" s="427"/>
      <c r="V79" s="427"/>
      <c r="AT79" s="390">
        <v>1</v>
      </c>
    </row>
    <row r="80" spans="1:46" s="419" customFormat="1" ht="3" hidden="1" customHeight="1" outlineLevel="1">
      <c r="A80" s="485"/>
      <c r="B80" s="486"/>
      <c r="C80" s="400"/>
      <c r="D80" s="423"/>
      <c r="E80" s="424"/>
      <c r="F80" s="424"/>
      <c r="G80" s="425"/>
      <c r="H80" s="425"/>
      <c r="I80" s="408"/>
      <c r="J80" s="424"/>
      <c r="K80" s="408"/>
      <c r="L80" s="408"/>
      <c r="M80" s="409"/>
      <c r="N80" s="420"/>
      <c r="O80" s="409"/>
      <c r="P80" s="409"/>
      <c r="Q80" s="409"/>
      <c r="R80" s="409"/>
      <c r="S80" s="409"/>
      <c r="T80" s="409"/>
      <c r="U80" s="409"/>
      <c r="V80" s="409"/>
    </row>
    <row r="81" spans="1:46" s="419" customFormat="1" hidden="1" outlineLevel="1">
      <c r="A81" s="460" t="s">
        <v>96</v>
      </c>
      <c r="B81" s="460" t="s">
        <v>97</v>
      </c>
      <c r="C81" s="460"/>
      <c r="D81" s="460"/>
      <c r="E81" s="460"/>
      <c r="F81" s="424"/>
      <c r="G81" s="425"/>
      <c r="H81" s="425"/>
      <c r="I81" s="408"/>
      <c r="J81" s="424"/>
      <c r="K81" s="409"/>
      <c r="L81" s="409"/>
      <c r="M81" s="409"/>
      <c r="N81" s="420"/>
      <c r="O81" s="409"/>
      <c r="P81" s="409"/>
      <c r="Q81" s="409"/>
      <c r="R81" s="409"/>
      <c r="S81" s="409"/>
      <c r="T81" s="409"/>
      <c r="U81" s="409"/>
      <c r="V81" s="409"/>
    </row>
    <row r="82" spans="1:46" s="402" customFormat="1" hidden="1" outlineLevel="2">
      <c r="A82" s="431"/>
      <c r="B82" s="386" t="s">
        <v>2868</v>
      </c>
      <c r="C82" s="387" t="s">
        <v>1060</v>
      </c>
      <c r="D82" s="398"/>
      <c r="E82" s="388" t="s">
        <v>2881</v>
      </c>
      <c r="F82" s="399"/>
      <c r="G82" s="399" t="s">
        <v>1060</v>
      </c>
      <c r="H82" s="386" t="str">
        <f t="shared" ref="H82:H89" si="7">CONCATENATE(G82,"-",I82)</f>
        <v>L22P-1</v>
      </c>
      <c r="I82" s="400">
        <v>1</v>
      </c>
      <c r="J82" s="399"/>
      <c r="K82" s="427"/>
      <c r="L82" s="397"/>
      <c r="M82" s="395" cm="1">
        <f t="array" ref="M82">IFERROR(_xlfn.IFS(N82=1,1,O82=1,1,P82=1,1,Q82=1,1),0)</f>
        <v>1</v>
      </c>
      <c r="N82" s="427"/>
      <c r="O82" s="427"/>
      <c r="P82" s="427">
        <v>1</v>
      </c>
      <c r="Q82" s="427"/>
      <c r="R82" s="395" cm="1">
        <f t="array" ref="R82">IFERROR(_xlfn.IFS(S82=1,1,T82=1,1,U82=1,1,V82=1,1),0)</f>
        <v>0</v>
      </c>
      <c r="S82" s="427"/>
      <c r="T82" s="427"/>
      <c r="U82" s="427"/>
      <c r="V82" s="427"/>
      <c r="AT82" s="390">
        <v>1</v>
      </c>
    </row>
    <row r="83" spans="1:46" s="402" customFormat="1" hidden="1" outlineLevel="2">
      <c r="A83" s="431"/>
      <c r="B83" s="386" t="s">
        <v>2868</v>
      </c>
      <c r="C83" s="387" t="s">
        <v>1060</v>
      </c>
      <c r="D83" s="398"/>
      <c r="E83" s="388" t="s">
        <v>2882</v>
      </c>
      <c r="F83" s="399"/>
      <c r="G83" s="399" t="s">
        <v>1060</v>
      </c>
      <c r="H83" s="386" t="str">
        <f t="shared" si="7"/>
        <v>L22P-1</v>
      </c>
      <c r="I83" s="400">
        <v>1</v>
      </c>
      <c r="J83" s="399"/>
      <c r="K83" s="427"/>
      <c r="L83" s="397"/>
      <c r="M83" s="395" cm="1">
        <f t="array" ref="M83">IFERROR(_xlfn.IFS(N83=1,1,O83=1,1,P83=1,1,Q83=1,1),0)</f>
        <v>1</v>
      </c>
      <c r="N83" s="427"/>
      <c r="O83" s="427"/>
      <c r="P83" s="427">
        <v>1</v>
      </c>
      <c r="Q83" s="427"/>
      <c r="R83" s="395" cm="1">
        <f t="array" ref="R83">IFERROR(_xlfn.IFS(S83=1,1,T83=1,1,U83=1,1,V83=1,1),0)</f>
        <v>0</v>
      </c>
      <c r="S83" s="427"/>
      <c r="T83" s="427"/>
      <c r="U83" s="427"/>
      <c r="V83" s="427"/>
      <c r="AT83" s="390">
        <v>1</v>
      </c>
    </row>
    <row r="84" spans="1:46" s="402" customFormat="1" hidden="1" outlineLevel="2">
      <c r="A84" s="431"/>
      <c r="B84" s="386" t="s">
        <v>2868</v>
      </c>
      <c r="C84" s="387" t="s">
        <v>1060</v>
      </c>
      <c r="D84" s="398"/>
      <c r="E84" s="388" t="s">
        <v>2883</v>
      </c>
      <c r="F84" s="399"/>
      <c r="G84" s="399" t="s">
        <v>1060</v>
      </c>
      <c r="H84" s="386" t="str">
        <f t="shared" si="7"/>
        <v>L22P-1</v>
      </c>
      <c r="I84" s="400">
        <v>1</v>
      </c>
      <c r="J84" s="399"/>
      <c r="K84" s="427"/>
      <c r="L84" s="397"/>
      <c r="M84" s="395" cm="1">
        <f t="array" ref="M84">IFERROR(_xlfn.IFS(N84=1,1,O84=1,1,P84=1,1,Q84=1,1),0)</f>
        <v>1</v>
      </c>
      <c r="N84" s="427"/>
      <c r="O84" s="427"/>
      <c r="P84" s="427">
        <v>1</v>
      </c>
      <c r="Q84" s="427"/>
      <c r="R84" s="395" cm="1">
        <f t="array" ref="R84">IFERROR(_xlfn.IFS(S84=1,1,T84=1,1,U84=1,1,V84=1,1),0)</f>
        <v>0</v>
      </c>
      <c r="S84" s="427"/>
      <c r="T84" s="427"/>
      <c r="U84" s="427"/>
      <c r="V84" s="427"/>
      <c r="AT84" s="390">
        <v>1</v>
      </c>
    </row>
    <row r="85" spans="1:46" s="402" customFormat="1" hidden="1" outlineLevel="2">
      <c r="A85" s="431"/>
      <c r="B85" s="386" t="s">
        <v>2868</v>
      </c>
      <c r="C85" s="387" t="s">
        <v>1060</v>
      </c>
      <c r="D85" s="398"/>
      <c r="E85" s="388" t="s">
        <v>2884</v>
      </c>
      <c r="F85" s="399"/>
      <c r="G85" s="399" t="s">
        <v>1060</v>
      </c>
      <c r="H85" s="386" t="str">
        <f t="shared" si="7"/>
        <v>L22P-1</v>
      </c>
      <c r="I85" s="400">
        <v>1</v>
      </c>
      <c r="J85" s="399"/>
      <c r="K85" s="427"/>
      <c r="L85" s="397"/>
      <c r="M85" s="395" cm="1">
        <f t="array" ref="M85">IFERROR(_xlfn.IFS(N85=1,1,O85=1,1,P85=1,1,Q85=1,1),0)</f>
        <v>1</v>
      </c>
      <c r="N85" s="427"/>
      <c r="O85" s="427"/>
      <c r="P85" s="427">
        <v>1</v>
      </c>
      <c r="Q85" s="427"/>
      <c r="R85" s="395" cm="1">
        <f t="array" ref="R85">IFERROR(_xlfn.IFS(S85=1,1,T85=1,1,U85=1,1,V85=1,1),0)</f>
        <v>0</v>
      </c>
      <c r="S85" s="427"/>
      <c r="T85" s="427"/>
      <c r="U85" s="427"/>
      <c r="V85" s="427"/>
      <c r="AT85" s="390">
        <v>1</v>
      </c>
    </row>
    <row r="86" spans="1:46" s="402" customFormat="1" hidden="1" outlineLevel="2">
      <c r="A86" s="431"/>
      <c r="B86" s="386" t="s">
        <v>2868</v>
      </c>
      <c r="C86" s="387" t="s">
        <v>1060</v>
      </c>
      <c r="D86" s="398"/>
      <c r="E86" s="388" t="s">
        <v>2885</v>
      </c>
      <c r="F86" s="399"/>
      <c r="G86" s="399" t="s">
        <v>1060</v>
      </c>
      <c r="H86" s="386" t="str">
        <f t="shared" si="7"/>
        <v>L22P-1</v>
      </c>
      <c r="I86" s="400">
        <v>1</v>
      </c>
      <c r="J86" s="399"/>
      <c r="K86" s="427"/>
      <c r="L86" s="397"/>
      <c r="M86" s="395" cm="1">
        <f t="array" ref="M86">IFERROR(_xlfn.IFS(N86=1,1,O86=1,1,P86=1,1,Q86=1,1),0)</f>
        <v>1</v>
      </c>
      <c r="N86" s="427"/>
      <c r="O86" s="427"/>
      <c r="P86" s="427">
        <v>1</v>
      </c>
      <c r="Q86" s="427"/>
      <c r="R86" s="395" cm="1">
        <f t="array" ref="R86">IFERROR(_xlfn.IFS(S86=1,1,T86=1,1,U86=1,1,V86=1,1),0)</f>
        <v>0</v>
      </c>
      <c r="S86" s="427"/>
      <c r="T86" s="427"/>
      <c r="U86" s="427"/>
      <c r="V86" s="427"/>
      <c r="AT86" s="390">
        <v>1</v>
      </c>
    </row>
    <row r="87" spans="1:46" s="402" customFormat="1" hidden="1" outlineLevel="2">
      <c r="A87" s="431"/>
      <c r="B87" s="386" t="s">
        <v>2868</v>
      </c>
      <c r="C87" s="387" t="s">
        <v>1060</v>
      </c>
      <c r="D87" s="398"/>
      <c r="E87" s="388" t="s">
        <v>2886</v>
      </c>
      <c r="F87" s="399"/>
      <c r="G87" s="399" t="s">
        <v>1060</v>
      </c>
      <c r="H87" s="386" t="str">
        <f t="shared" si="7"/>
        <v>L22P-1</v>
      </c>
      <c r="I87" s="400">
        <v>1</v>
      </c>
      <c r="J87" s="399"/>
      <c r="K87" s="427"/>
      <c r="L87" s="397"/>
      <c r="M87" s="395" cm="1">
        <f t="array" ref="M87">IFERROR(_xlfn.IFS(N87=1,1,O87=1,1,P87=1,1,Q87=1,1),0)</f>
        <v>1</v>
      </c>
      <c r="N87" s="427"/>
      <c r="O87" s="427"/>
      <c r="P87" s="427">
        <v>1</v>
      </c>
      <c r="Q87" s="427"/>
      <c r="R87" s="395" cm="1">
        <f t="array" ref="R87">IFERROR(_xlfn.IFS(S87=1,1,T87=1,1,U87=1,1,V87=1,1),0)</f>
        <v>0</v>
      </c>
      <c r="S87" s="427"/>
      <c r="T87" s="427"/>
      <c r="U87" s="427"/>
      <c r="V87" s="427"/>
      <c r="AT87" s="390">
        <v>1</v>
      </c>
    </row>
    <row r="88" spans="1:46" s="402" customFormat="1" hidden="1" outlineLevel="2">
      <c r="A88" s="431"/>
      <c r="B88" s="386" t="s">
        <v>2868</v>
      </c>
      <c r="C88" s="387" t="s">
        <v>1060</v>
      </c>
      <c r="D88" s="398"/>
      <c r="E88" s="388" t="s">
        <v>2887</v>
      </c>
      <c r="F88" s="399"/>
      <c r="G88" s="399" t="s">
        <v>1060</v>
      </c>
      <c r="H88" s="386" t="str">
        <f t="shared" si="7"/>
        <v>L22P-1</v>
      </c>
      <c r="I88" s="400">
        <v>1</v>
      </c>
      <c r="J88" s="399"/>
      <c r="K88" s="427"/>
      <c r="L88" s="404"/>
      <c r="M88" s="395" cm="1">
        <f t="array" ref="M88">IFERROR(_xlfn.IFS(N88=1,1,O88=1,1,P88=1,1,Q88=1,1),0)</f>
        <v>1</v>
      </c>
      <c r="N88" s="427"/>
      <c r="O88" s="427"/>
      <c r="P88" s="427">
        <v>1</v>
      </c>
      <c r="Q88" s="427"/>
      <c r="R88" s="395" cm="1">
        <f t="array" ref="R88">IFERROR(_xlfn.IFS(S88=1,1,T88=1,1,U88=1,1,V88=1,1),0)</f>
        <v>0</v>
      </c>
      <c r="S88" s="427"/>
      <c r="T88" s="427"/>
      <c r="U88" s="427"/>
      <c r="V88" s="427"/>
      <c r="AT88" s="390">
        <v>1</v>
      </c>
    </row>
    <row r="89" spans="1:46" s="402" customFormat="1" hidden="1" outlineLevel="2">
      <c r="A89" s="431"/>
      <c r="B89" s="386" t="s">
        <v>2868</v>
      </c>
      <c r="C89" s="387" t="s">
        <v>1060</v>
      </c>
      <c r="D89" s="398"/>
      <c r="E89" s="388" t="s">
        <v>2888</v>
      </c>
      <c r="F89" s="399"/>
      <c r="G89" s="399" t="s">
        <v>1060</v>
      </c>
      <c r="H89" s="386" t="str">
        <f t="shared" si="7"/>
        <v>L22P-1</v>
      </c>
      <c r="I89" s="400">
        <v>1</v>
      </c>
      <c r="J89" s="399"/>
      <c r="K89" s="427"/>
      <c r="L89" s="404"/>
      <c r="M89" s="395" cm="1">
        <f t="array" ref="M89">IFERROR(_xlfn.IFS(N89=1,1,O89=1,1,P89=1,1,Q89=1,1),0)</f>
        <v>1</v>
      </c>
      <c r="N89" s="427"/>
      <c r="O89" s="427"/>
      <c r="P89" s="427">
        <v>1</v>
      </c>
      <c r="Q89" s="427"/>
      <c r="R89" s="395" cm="1">
        <f t="array" ref="R89">IFERROR(_xlfn.IFS(S89=1,1,T89=1,1,U89=1,1,V89=1,1),0)</f>
        <v>0</v>
      </c>
      <c r="S89" s="427"/>
      <c r="T89" s="427"/>
      <c r="U89" s="427"/>
      <c r="V89" s="427"/>
      <c r="AT89" s="390">
        <v>1</v>
      </c>
    </row>
    <row r="90" spans="1:46" s="419" customFormat="1" ht="3" hidden="1" customHeight="1">
      <c r="A90" s="485"/>
      <c r="B90" s="486"/>
      <c r="C90" s="400"/>
      <c r="D90" s="423"/>
      <c r="E90" s="424"/>
      <c r="F90" s="424"/>
      <c r="G90" s="425"/>
      <c r="H90" s="425"/>
      <c r="I90" s="408"/>
      <c r="J90" s="424"/>
      <c r="K90" s="408"/>
      <c r="L90" s="408"/>
      <c r="M90" s="409"/>
      <c r="N90" s="420"/>
      <c r="O90" s="409"/>
      <c r="P90" s="409"/>
      <c r="Q90" s="409"/>
      <c r="R90" s="409"/>
      <c r="S90" s="409"/>
      <c r="T90" s="409"/>
      <c r="U90" s="409"/>
      <c r="V90" s="409"/>
    </row>
    <row r="91" spans="1:46" s="407" customFormat="1" ht="12" hidden="1" customHeight="1" collapsed="1">
      <c r="A91" s="466" t="s">
        <v>99</v>
      </c>
      <c r="B91" s="467"/>
      <c r="C91" s="467"/>
      <c r="D91" s="468"/>
      <c r="E91" s="469"/>
      <c r="F91" s="472"/>
      <c r="G91" s="469"/>
      <c r="H91" s="469"/>
      <c r="I91" s="469"/>
      <c r="J91" s="472"/>
      <c r="K91" s="469"/>
      <c r="L91" s="469"/>
      <c r="M91" s="469"/>
      <c r="N91" s="469"/>
      <c r="O91" s="469"/>
      <c r="P91" s="469"/>
      <c r="Q91" s="469"/>
      <c r="R91" s="469"/>
      <c r="S91" s="469"/>
      <c r="T91" s="469"/>
      <c r="U91" s="469"/>
      <c r="V91" s="469"/>
      <c r="W91" s="412"/>
    </row>
    <row r="92" spans="1:46" s="419" customFormat="1" ht="3" hidden="1" customHeight="1" outlineLevel="1"/>
    <row r="93" spans="1:46" s="419" customFormat="1" hidden="1" outlineLevel="1">
      <c r="A93" s="460" t="s">
        <v>163</v>
      </c>
      <c r="B93" s="460" t="s">
        <v>25</v>
      </c>
      <c r="C93" s="460"/>
      <c r="D93" s="460"/>
      <c r="E93" s="460"/>
      <c r="F93" s="424"/>
      <c r="G93" s="425"/>
      <c r="H93" s="425"/>
      <c r="I93" s="408"/>
      <c r="J93" s="424"/>
      <c r="K93" s="409"/>
      <c r="L93" s="409"/>
      <c r="M93" s="409"/>
      <c r="N93" s="420"/>
      <c r="O93" s="409"/>
      <c r="P93" s="409"/>
      <c r="Q93" s="409"/>
      <c r="R93" s="409"/>
      <c r="S93" s="409"/>
      <c r="T93" s="409"/>
      <c r="U93" s="409"/>
      <c r="V93" s="409"/>
    </row>
    <row r="94" spans="1:46" s="402" customFormat="1" hidden="1" outlineLevel="2">
      <c r="A94" s="369"/>
      <c r="B94" s="386" t="s">
        <v>2868</v>
      </c>
      <c r="C94" s="387" t="s">
        <v>2891</v>
      </c>
      <c r="D94" s="398"/>
      <c r="E94" s="388" t="s">
        <v>2892</v>
      </c>
      <c r="F94" s="428"/>
      <c r="G94" s="399" t="s">
        <v>98</v>
      </c>
      <c r="H94" s="386" t="str">
        <f t="shared" ref="H94:H102" si="8">CONCATENATE(G94,"-",I94)</f>
        <v>MP-1</v>
      </c>
      <c r="I94" s="400">
        <v>1</v>
      </c>
      <c r="J94" s="428"/>
      <c r="K94" s="394"/>
      <c r="L94" s="397"/>
      <c r="M94" s="395" cm="1">
        <f t="array" ref="M94">IFERROR(_xlfn.IFS(N94=1,1,O94=1,1,P94=1,1,Q94=1,1),0)</f>
        <v>1</v>
      </c>
      <c r="N94" s="427">
        <v>1</v>
      </c>
      <c r="O94" s="427"/>
      <c r="P94" s="427"/>
      <c r="Q94" s="427"/>
      <c r="R94" s="395" cm="1">
        <f t="array" ref="R94">IFERROR(_xlfn.IFS(S94=1,1,T94=1,1,U94=1,1,V94=1,1),0)</f>
        <v>0</v>
      </c>
      <c r="S94" s="394"/>
      <c r="T94" s="394"/>
      <c r="U94" s="394"/>
      <c r="V94" s="394"/>
      <c r="AT94" s="390">
        <v>1</v>
      </c>
    </row>
    <row r="95" spans="1:46" s="402" customFormat="1" hidden="1" outlineLevel="2">
      <c r="A95" s="369"/>
      <c r="B95" s="386" t="s">
        <v>2868</v>
      </c>
      <c r="C95" s="387" t="s">
        <v>2891</v>
      </c>
      <c r="D95" s="398"/>
      <c r="E95" s="388" t="s">
        <v>2893</v>
      </c>
      <c r="F95" s="428"/>
      <c r="G95" s="399" t="s">
        <v>98</v>
      </c>
      <c r="H95" s="386" t="str">
        <f t="shared" si="8"/>
        <v>MP-1</v>
      </c>
      <c r="I95" s="400">
        <v>1</v>
      </c>
      <c r="J95" s="428"/>
      <c r="K95" s="394"/>
      <c r="L95" s="397"/>
      <c r="M95" s="395" cm="1">
        <f t="array" ref="M95">IFERROR(_xlfn.IFS(N95=1,1,O95=1,1,P95=1,1,Q95=1,1),0)</f>
        <v>1</v>
      </c>
      <c r="N95" s="427">
        <v>1</v>
      </c>
      <c r="O95" s="427"/>
      <c r="Q95" s="427"/>
      <c r="R95" s="395" cm="1">
        <f t="array" ref="R95">IFERROR(_xlfn.IFS(S95=1,1,T95=1,1,U95=1,1,V95=1,1),0)</f>
        <v>0</v>
      </c>
      <c r="S95" s="394"/>
      <c r="T95" s="394"/>
      <c r="U95" s="394"/>
      <c r="V95" s="394"/>
      <c r="AT95" s="390">
        <v>2</v>
      </c>
    </row>
    <row r="96" spans="1:46" s="402" customFormat="1" hidden="1" outlineLevel="2">
      <c r="A96" s="369"/>
      <c r="B96" s="386" t="s">
        <v>2868</v>
      </c>
      <c r="C96" s="387" t="s">
        <v>2891</v>
      </c>
      <c r="D96" s="398"/>
      <c r="E96" s="388" t="s">
        <v>2894</v>
      </c>
      <c r="F96" s="428"/>
      <c r="G96" s="399" t="s">
        <v>98</v>
      </c>
      <c r="H96" s="386" t="str">
        <f t="shared" si="8"/>
        <v>MP-1</v>
      </c>
      <c r="I96" s="400">
        <v>1</v>
      </c>
      <c r="J96" s="428"/>
      <c r="K96" s="394"/>
      <c r="L96" s="397"/>
      <c r="M96" s="395" cm="1">
        <f t="array" ref="M96">IFERROR(_xlfn.IFS(N96=1,1,O96=1,1,P96=1,1,Q96=1,1),0)</f>
        <v>1</v>
      </c>
      <c r="N96" s="427">
        <v>1</v>
      </c>
      <c r="O96" s="427"/>
      <c r="P96" s="427"/>
      <c r="Q96" s="427"/>
      <c r="R96" s="395" cm="1">
        <f t="array" ref="R96">IFERROR(_xlfn.IFS(S96=1,1,T96=1,1,U96=1,1,V96=1,1),0)</f>
        <v>0</v>
      </c>
      <c r="S96" s="394"/>
      <c r="T96" s="394"/>
      <c r="U96" s="394"/>
      <c r="V96" s="394"/>
      <c r="AT96" s="390">
        <v>1</v>
      </c>
    </row>
    <row r="97" spans="1:46" s="402" customFormat="1" hidden="1" outlineLevel="2">
      <c r="A97" s="369"/>
      <c r="B97" s="386" t="s">
        <v>2868</v>
      </c>
      <c r="C97" s="387" t="s">
        <v>2891</v>
      </c>
      <c r="D97" s="398"/>
      <c r="E97" s="388" t="s">
        <v>2895</v>
      </c>
      <c r="F97" s="428"/>
      <c r="G97" s="399" t="s">
        <v>98</v>
      </c>
      <c r="H97" s="386" t="str">
        <f t="shared" si="8"/>
        <v>MP-1</v>
      </c>
      <c r="I97" s="400">
        <v>1</v>
      </c>
      <c r="J97" s="428"/>
      <c r="K97" s="394"/>
      <c r="L97" s="397"/>
      <c r="M97" s="395" cm="1">
        <f t="array" ref="M97">IFERROR(_xlfn.IFS(N97=1,1,O97=1,1,P97=1,1,Q97=1,1),0)</f>
        <v>1</v>
      </c>
      <c r="N97" s="427">
        <v>1</v>
      </c>
      <c r="O97" s="427"/>
      <c r="Q97" s="427"/>
      <c r="R97" s="395" cm="1">
        <f t="array" ref="R97">IFERROR(_xlfn.IFS(S97=1,1,T97=1,1,U97=1,1,V97=1,1),0)</f>
        <v>0</v>
      </c>
      <c r="S97" s="394"/>
      <c r="T97" s="394"/>
      <c r="U97" s="394"/>
      <c r="V97" s="394"/>
      <c r="AT97" s="390">
        <v>2</v>
      </c>
    </row>
    <row r="98" spans="1:46" s="402" customFormat="1" hidden="1" outlineLevel="2">
      <c r="A98" s="369"/>
      <c r="B98" s="386" t="s">
        <v>2868</v>
      </c>
      <c r="C98" s="387" t="s">
        <v>2891</v>
      </c>
      <c r="D98" s="398"/>
      <c r="E98" s="388" t="s">
        <v>2896</v>
      </c>
      <c r="F98" s="428"/>
      <c r="G98" s="399" t="s">
        <v>98</v>
      </c>
      <c r="H98" s="386" t="str">
        <f t="shared" si="8"/>
        <v>MP-1</v>
      </c>
      <c r="I98" s="400">
        <v>1</v>
      </c>
      <c r="J98" s="428"/>
      <c r="K98" s="394"/>
      <c r="L98" s="397"/>
      <c r="M98" s="395" cm="1">
        <f t="array" ref="M98">IFERROR(_xlfn.IFS(N98=1,1,O98=1,1,P98=1,1,Q98=1,1),0)</f>
        <v>1</v>
      </c>
      <c r="N98" s="427">
        <v>1</v>
      </c>
      <c r="O98" s="427"/>
      <c r="P98" s="427"/>
      <c r="Q98" s="427"/>
      <c r="R98" s="395" cm="1">
        <f t="array" ref="R98">IFERROR(_xlfn.IFS(S98=1,1,T98=1,1,U98=1,1,V98=1,1),0)</f>
        <v>0</v>
      </c>
      <c r="S98" s="394"/>
      <c r="T98" s="394"/>
      <c r="U98" s="394"/>
      <c r="V98" s="394"/>
      <c r="AT98" s="390">
        <v>1</v>
      </c>
    </row>
    <row r="99" spans="1:46" s="402" customFormat="1" hidden="1" outlineLevel="2">
      <c r="A99" s="369"/>
      <c r="B99" s="386" t="s">
        <v>2868</v>
      </c>
      <c r="C99" s="387" t="s">
        <v>2891</v>
      </c>
      <c r="D99" s="398"/>
      <c r="E99" s="388" t="s">
        <v>2897</v>
      </c>
      <c r="F99" s="428"/>
      <c r="G99" s="399" t="s">
        <v>98</v>
      </c>
      <c r="H99" s="386" t="str">
        <f t="shared" si="8"/>
        <v>MP-1</v>
      </c>
      <c r="I99" s="400">
        <v>1</v>
      </c>
      <c r="J99" s="428"/>
      <c r="K99" s="394"/>
      <c r="L99" s="397"/>
      <c r="M99" s="395" cm="1">
        <f t="array" ref="M99">IFERROR(_xlfn.IFS(N99=1,1,O99=1,1,P99=1,1,Q99=1,1),0)</f>
        <v>1</v>
      </c>
      <c r="N99" s="427">
        <v>1</v>
      </c>
      <c r="O99" s="427"/>
      <c r="Q99" s="427"/>
      <c r="R99" s="395" cm="1">
        <f t="array" ref="R99">IFERROR(_xlfn.IFS(S99=1,1,T99=1,1,U99=1,1,V99=1,1),0)</f>
        <v>0</v>
      </c>
      <c r="S99" s="394"/>
      <c r="T99" s="394"/>
      <c r="U99" s="394"/>
      <c r="V99" s="394"/>
      <c r="AT99" s="390">
        <v>2</v>
      </c>
    </row>
    <row r="100" spans="1:46" s="402" customFormat="1" hidden="1" outlineLevel="2">
      <c r="A100" s="369"/>
      <c r="B100" s="386" t="s">
        <v>2868</v>
      </c>
      <c r="C100" s="387" t="s">
        <v>2891</v>
      </c>
      <c r="D100" s="398"/>
      <c r="E100" s="388" t="s">
        <v>2898</v>
      </c>
      <c r="F100" s="428"/>
      <c r="G100" s="399" t="s">
        <v>98</v>
      </c>
      <c r="H100" s="386" t="str">
        <f t="shared" si="8"/>
        <v>MP-1</v>
      </c>
      <c r="I100" s="400">
        <v>1</v>
      </c>
      <c r="J100" s="428"/>
      <c r="K100" s="394"/>
      <c r="L100" s="397"/>
      <c r="M100" s="395" cm="1">
        <f t="array" ref="M100">IFERROR(_xlfn.IFS(N100=1,1,O100=1,1,P100=1,1,Q100=1,1),0)</f>
        <v>1</v>
      </c>
      <c r="N100" s="427">
        <v>1</v>
      </c>
      <c r="O100" s="427"/>
      <c r="Q100" s="427"/>
      <c r="R100" s="395" cm="1">
        <f t="array" ref="R100">IFERROR(_xlfn.IFS(S100=1,1,T100=1,1,U100=1,1,V100=1,1),0)</f>
        <v>0</v>
      </c>
      <c r="S100" s="394"/>
      <c r="T100" s="394"/>
      <c r="U100" s="394"/>
      <c r="V100" s="394"/>
      <c r="AT100" s="390">
        <v>2</v>
      </c>
    </row>
    <row r="101" spans="1:46" s="402" customFormat="1" hidden="1" outlineLevel="2">
      <c r="A101" s="369"/>
      <c r="B101" s="386" t="s">
        <v>2868</v>
      </c>
      <c r="C101" s="387" t="s">
        <v>2891</v>
      </c>
      <c r="D101" s="398"/>
      <c r="E101" s="388" t="s">
        <v>2899</v>
      </c>
      <c r="F101" s="428"/>
      <c r="G101" s="399" t="s">
        <v>98</v>
      </c>
      <c r="H101" s="386" t="str">
        <f t="shared" si="8"/>
        <v>MP-1</v>
      </c>
      <c r="I101" s="400">
        <v>1</v>
      </c>
      <c r="J101" s="428"/>
      <c r="K101" s="394"/>
      <c r="L101" s="397"/>
      <c r="M101" s="395" cm="1">
        <f t="array" ref="M101">IFERROR(_xlfn.IFS(N101=1,1,O101=1,1,P101=1,1,Q101=1,1),0)</f>
        <v>1</v>
      </c>
      <c r="N101" s="427">
        <v>1</v>
      </c>
      <c r="O101" s="427"/>
      <c r="Q101" s="427"/>
      <c r="R101" s="395" cm="1">
        <f t="array" ref="R101">IFERROR(_xlfn.IFS(S101=1,1,T101=1,1,U101=1,1,V101=1,1),0)</f>
        <v>0</v>
      </c>
      <c r="S101" s="394"/>
      <c r="T101" s="394"/>
      <c r="U101" s="394"/>
      <c r="V101" s="394"/>
      <c r="AT101" s="390">
        <v>2</v>
      </c>
    </row>
    <row r="102" spans="1:46" s="402" customFormat="1" hidden="1" outlineLevel="2">
      <c r="A102" s="369"/>
      <c r="B102" s="386" t="s">
        <v>2868</v>
      </c>
      <c r="C102" s="387" t="s">
        <v>2891</v>
      </c>
      <c r="D102" s="398"/>
      <c r="E102" s="388" t="s">
        <v>2900</v>
      </c>
      <c r="F102" s="403"/>
      <c r="G102" s="399" t="s">
        <v>98</v>
      </c>
      <c r="H102" s="386" t="str">
        <f t="shared" si="8"/>
        <v>MP-1</v>
      </c>
      <c r="I102" s="400">
        <v>1</v>
      </c>
      <c r="J102" s="403"/>
      <c r="K102" s="394"/>
      <c r="L102" s="397"/>
      <c r="M102" s="395" cm="1">
        <f t="array" ref="M102">IFERROR(_xlfn.IFS(N102=1,1,O102=1,1,P102=1,1,Q102=1,1),0)</f>
        <v>1</v>
      </c>
      <c r="N102" s="427">
        <v>1</v>
      </c>
      <c r="O102" s="427"/>
      <c r="P102" s="427"/>
      <c r="Q102" s="427"/>
      <c r="R102" s="395" cm="1">
        <f t="array" ref="R102">IFERROR(_xlfn.IFS(S102=1,1,T102=1,1,U102=1,1,V102=1,1),0)</f>
        <v>0</v>
      </c>
      <c r="S102" s="394"/>
      <c r="T102" s="394"/>
      <c r="U102" s="394"/>
      <c r="V102" s="394"/>
      <c r="AT102" s="392">
        <v>1</v>
      </c>
    </row>
    <row r="103" spans="1:46" s="419" customFormat="1" ht="3" hidden="1" customHeight="1" outlineLevel="1">
      <c r="A103" s="485"/>
      <c r="B103" s="486"/>
      <c r="C103" s="400"/>
      <c r="D103" s="423"/>
      <c r="E103" s="424"/>
      <c r="F103" s="424"/>
      <c r="G103" s="425"/>
      <c r="H103" s="425"/>
      <c r="I103" s="408"/>
      <c r="J103" s="424"/>
      <c r="K103" s="408"/>
      <c r="L103" s="408"/>
      <c r="M103" s="409"/>
      <c r="N103" s="420"/>
      <c r="O103" s="409"/>
      <c r="P103" s="409"/>
      <c r="Q103" s="409"/>
      <c r="R103" s="409"/>
      <c r="S103" s="409"/>
      <c r="T103" s="409"/>
      <c r="U103" s="409"/>
      <c r="V103" s="409"/>
    </row>
    <row r="104" spans="1:46" s="419" customFormat="1" hidden="1" outlineLevel="1">
      <c r="A104" s="460" t="s">
        <v>166</v>
      </c>
      <c r="B104" s="460" t="s">
        <v>106</v>
      </c>
      <c r="C104" s="460"/>
      <c r="D104" s="460"/>
      <c r="E104" s="460"/>
      <c r="F104" s="424"/>
      <c r="G104" s="425"/>
      <c r="H104" s="425"/>
      <c r="I104" s="408"/>
      <c r="J104" s="424"/>
      <c r="K104" s="409"/>
      <c r="L104" s="409"/>
      <c r="M104" s="409"/>
      <c r="N104" s="420"/>
      <c r="O104" s="409"/>
      <c r="P104" s="409"/>
      <c r="Q104" s="409"/>
      <c r="R104" s="409"/>
      <c r="S104" s="409"/>
      <c r="T104" s="409"/>
      <c r="U104" s="409"/>
      <c r="V104" s="409"/>
    </row>
    <row r="105" spans="1:46" s="402" customFormat="1" hidden="1" outlineLevel="2">
      <c r="A105" s="369"/>
      <c r="B105" s="386" t="s">
        <v>2868</v>
      </c>
      <c r="C105" s="387" t="s">
        <v>2891</v>
      </c>
      <c r="D105" s="398"/>
      <c r="E105" s="388" t="s">
        <v>1061</v>
      </c>
      <c r="F105" s="428"/>
      <c r="G105" s="399" t="s">
        <v>98</v>
      </c>
      <c r="H105" s="386" t="str">
        <f t="shared" ref="H105:H106" si="9">CONCATENATE(G105,"-",I105)</f>
        <v>MP-4</v>
      </c>
      <c r="I105" s="400">
        <v>4</v>
      </c>
      <c r="J105" s="428"/>
      <c r="K105" s="394"/>
      <c r="L105" s="397"/>
      <c r="M105" s="395" cm="1">
        <f t="array" ref="M105">IFERROR(_xlfn.IFS(N105=1,1,O105=1,1,P105=1,1,Q105=1,1),0)</f>
        <v>1</v>
      </c>
      <c r="N105" s="427"/>
      <c r="O105" s="427"/>
      <c r="P105" s="427">
        <v>1</v>
      </c>
      <c r="Q105" s="427"/>
      <c r="R105" s="395" cm="1">
        <f t="array" ref="R105">IFERROR(_xlfn.IFS(S105=1,1,T105=1,1,U105=1,1,V105=1,1),0)</f>
        <v>0</v>
      </c>
      <c r="S105" s="394"/>
      <c r="T105" s="394"/>
      <c r="U105" s="394"/>
      <c r="V105" s="394"/>
      <c r="AT105" s="390">
        <v>9</v>
      </c>
    </row>
    <row r="106" spans="1:46" s="402" customFormat="1" hidden="1" outlineLevel="2">
      <c r="A106" s="369"/>
      <c r="B106" s="386" t="s">
        <v>2868</v>
      </c>
      <c r="C106" s="387" t="s">
        <v>2891</v>
      </c>
      <c r="D106" s="398"/>
      <c r="E106" s="388" t="s">
        <v>2901</v>
      </c>
      <c r="F106" s="428"/>
      <c r="G106" s="399" t="s">
        <v>98</v>
      </c>
      <c r="H106" s="386" t="str">
        <f t="shared" si="9"/>
        <v>MP-4</v>
      </c>
      <c r="I106" s="400">
        <v>4</v>
      </c>
      <c r="J106" s="428"/>
      <c r="K106" s="394"/>
      <c r="L106" s="397"/>
      <c r="M106" s="395" cm="1">
        <f t="array" ref="M106">IFERROR(_xlfn.IFS(N106=1,1,O106=1,1,P106=1,1,Q106=1,1),0)</f>
        <v>1</v>
      </c>
      <c r="N106" s="427"/>
      <c r="O106" s="427"/>
      <c r="P106" s="427">
        <v>1</v>
      </c>
      <c r="Q106" s="427"/>
      <c r="R106" s="395" cm="1">
        <f t="array" ref="R106">IFERROR(_xlfn.IFS(S106=1,1,T106=1,1,U106=1,1,V106=1,1),0)</f>
        <v>0</v>
      </c>
      <c r="S106" s="394"/>
      <c r="T106" s="394"/>
      <c r="U106" s="394"/>
      <c r="V106" s="394"/>
      <c r="AT106" s="390">
        <v>9</v>
      </c>
    </row>
    <row r="107" spans="1:46" s="402" customFormat="1" hidden="1" outlineLevel="2">
      <c r="A107" s="369"/>
      <c r="B107" s="386" t="s">
        <v>2868</v>
      </c>
      <c r="C107" s="387" t="s">
        <v>2891</v>
      </c>
      <c r="D107" s="398"/>
      <c r="E107" s="388" t="s">
        <v>116</v>
      </c>
      <c r="F107" s="403"/>
      <c r="G107" s="399" t="s">
        <v>98</v>
      </c>
      <c r="H107" s="386" t="str">
        <f t="shared" ref="H107" si="10">CONCATENATE(G107,"-",I107)</f>
        <v>MP-4</v>
      </c>
      <c r="I107" s="400">
        <v>4</v>
      </c>
      <c r="J107" s="403"/>
      <c r="K107" s="394"/>
      <c r="L107" s="397"/>
      <c r="M107" s="395" cm="1">
        <f t="array" ref="M107">IFERROR(_xlfn.IFS(N107=1,1,O107=1,1,P107=1,1,Q107=1,1),0)</f>
        <v>1</v>
      </c>
      <c r="N107" s="427"/>
      <c r="O107" s="427"/>
      <c r="P107" s="427">
        <v>1</v>
      </c>
      <c r="Q107" s="427"/>
      <c r="R107" s="395" cm="1">
        <f t="array" ref="R107">IFERROR(_xlfn.IFS(S107=1,1,T107=1,1,U107=1,1,V107=1,1),0)</f>
        <v>0</v>
      </c>
      <c r="S107" s="394"/>
      <c r="T107" s="394"/>
      <c r="U107" s="394"/>
      <c r="V107" s="394"/>
      <c r="AT107" s="392"/>
    </row>
    <row r="108" spans="1:46" hidden="1"/>
    <row r="109" spans="1:46" s="407" customFormat="1" ht="12" hidden="1" customHeight="1">
      <c r="A109" s="466" t="s">
        <v>108</v>
      </c>
      <c r="B109" s="467"/>
      <c r="C109" s="467"/>
      <c r="D109" s="468"/>
      <c r="E109" s="469"/>
      <c r="F109" s="472"/>
      <c r="G109" s="469"/>
      <c r="H109" s="469"/>
      <c r="I109" s="469"/>
      <c r="J109" s="472"/>
      <c r="K109" s="469"/>
      <c r="L109" s="469"/>
      <c r="M109" s="469"/>
      <c r="N109" s="469"/>
      <c r="O109" s="469"/>
      <c r="P109" s="469"/>
      <c r="Q109" s="469"/>
      <c r="R109" s="469"/>
      <c r="S109" s="469"/>
      <c r="T109" s="469"/>
      <c r="U109" s="469"/>
      <c r="V109" s="469"/>
      <c r="W109" s="412"/>
    </row>
    <row r="110" spans="1:46" s="419" customFormat="1" ht="3" hidden="1" customHeight="1" outlineLevel="1">
      <c r="A110" s="485"/>
      <c r="B110" s="486"/>
      <c r="C110" s="400"/>
      <c r="D110" s="423"/>
      <c r="E110" s="424"/>
      <c r="F110" s="424"/>
      <c r="G110" s="425"/>
      <c r="H110" s="425"/>
      <c r="I110" s="408"/>
      <c r="J110" s="424"/>
      <c r="K110" s="408"/>
      <c r="L110" s="408"/>
      <c r="M110" s="409"/>
      <c r="N110" s="420"/>
      <c r="O110" s="409"/>
      <c r="P110" s="409"/>
      <c r="Q110" s="409"/>
      <c r="R110" s="409"/>
      <c r="S110" s="409"/>
      <c r="T110" s="409"/>
      <c r="U110" s="409"/>
      <c r="V110" s="409"/>
    </row>
    <row r="111" spans="1:46" s="419" customFormat="1" ht="3" hidden="1" customHeight="1" outlineLevel="1">
      <c r="A111" s="485"/>
      <c r="B111" s="486"/>
      <c r="C111" s="400"/>
      <c r="D111" s="423"/>
      <c r="E111" s="424"/>
      <c r="F111" s="424"/>
      <c r="G111" s="425"/>
      <c r="H111" s="425"/>
      <c r="I111" s="408"/>
      <c r="J111" s="424"/>
      <c r="K111" s="408"/>
      <c r="L111" s="408"/>
      <c r="M111" s="409"/>
      <c r="N111" s="420"/>
      <c r="O111" s="409"/>
      <c r="P111" s="409"/>
      <c r="Q111" s="409"/>
      <c r="R111" s="409"/>
      <c r="S111" s="409"/>
      <c r="T111" s="409"/>
      <c r="U111" s="409"/>
      <c r="V111" s="409"/>
    </row>
    <row r="112" spans="1:46" s="419" customFormat="1" hidden="1" outlineLevel="1">
      <c r="A112" s="460" t="s">
        <v>168</v>
      </c>
      <c r="B112" s="460" t="s">
        <v>112</v>
      </c>
      <c r="C112" s="460"/>
      <c r="D112" s="460"/>
      <c r="E112" s="460"/>
      <c r="F112" s="424"/>
      <c r="G112" s="425"/>
      <c r="H112" s="425"/>
      <c r="I112" s="408"/>
      <c r="J112" s="424"/>
      <c r="K112" s="409"/>
      <c r="L112" s="409"/>
      <c r="M112" s="409"/>
      <c r="N112" s="420"/>
      <c r="O112" s="409"/>
      <c r="P112" s="409"/>
      <c r="Q112" s="409"/>
      <c r="R112" s="409"/>
      <c r="S112" s="409"/>
      <c r="T112" s="409"/>
      <c r="U112" s="409"/>
      <c r="V112" s="409"/>
    </row>
    <row r="113" spans="1:46" s="402" customFormat="1" ht="14.25" customHeight="1" outlineLevel="2">
      <c r="A113" s="369"/>
      <c r="B113" s="386" t="s">
        <v>2868</v>
      </c>
      <c r="C113" s="387" t="s">
        <v>2854</v>
      </c>
      <c r="D113" s="398"/>
      <c r="E113" s="388" t="s">
        <v>2902</v>
      </c>
      <c r="F113" s="399"/>
      <c r="G113" s="399" t="s">
        <v>107</v>
      </c>
      <c r="H113" s="386" t="str">
        <f>CONCATENATE(G113,"-",I113)</f>
        <v>AM-2</v>
      </c>
      <c r="I113" s="400">
        <v>2</v>
      </c>
      <c r="J113" s="399"/>
      <c r="K113" s="429"/>
      <c r="L113" s="397"/>
      <c r="M113" s="395" cm="1">
        <f t="array" ref="M113">IFERROR(_xlfn.IFS(N113=1,1,O113=1,1,P113=1,1,Q113=1,1),0)</f>
        <v>1</v>
      </c>
      <c r="N113" s="427"/>
      <c r="O113" s="427">
        <v>1</v>
      </c>
      <c r="R113" s="395" cm="1">
        <f t="array" ref="R113">IFERROR(_xlfn.IFS(S113=1,1,T113=1,1,U113=1,1,V113=1,1),0)</f>
        <v>0</v>
      </c>
      <c r="S113" s="427"/>
      <c r="T113" s="427"/>
      <c r="U113" s="427"/>
      <c r="V113" s="427"/>
      <c r="AT113" s="390">
        <v>2</v>
      </c>
    </row>
    <row r="114" spans="1:46" s="402" customFormat="1" ht="14.25" customHeight="1" outlineLevel="2">
      <c r="B114" s="386" t="s">
        <v>2868</v>
      </c>
      <c r="C114" s="387" t="s">
        <v>2854</v>
      </c>
      <c r="D114" s="398"/>
      <c r="E114" s="388" t="s">
        <v>2895</v>
      </c>
      <c r="F114" s="399"/>
      <c r="G114" s="399" t="s">
        <v>107</v>
      </c>
      <c r="H114" s="386" t="str">
        <f>CONCATENATE(G114,"-",I114)</f>
        <v>AM-2</v>
      </c>
      <c r="I114" s="400">
        <v>2</v>
      </c>
      <c r="J114" s="399"/>
      <c r="K114" s="429"/>
      <c r="L114" s="397"/>
      <c r="M114" s="395" cm="1">
        <f t="array" ref="M114">IFERROR(_xlfn.IFS(N114=1,1,O114=1,1,P114=1,1,Q114=1,1),0)</f>
        <v>1</v>
      </c>
      <c r="N114" s="427"/>
      <c r="O114" s="427">
        <v>1</v>
      </c>
      <c r="R114" s="395" cm="1">
        <f t="array" ref="R114">IFERROR(_xlfn.IFS(S114=1,1,T114=1,1,U114=1,1,V114=1,1),0)</f>
        <v>0</v>
      </c>
      <c r="S114" s="427"/>
      <c r="T114" s="427"/>
      <c r="U114" s="427"/>
      <c r="V114" s="427"/>
      <c r="AT114" s="390">
        <v>2</v>
      </c>
    </row>
    <row r="115" spans="1:46" s="402" customFormat="1" ht="14.25" customHeight="1" outlineLevel="2">
      <c r="B115" s="386" t="s">
        <v>2868</v>
      </c>
      <c r="C115" s="387" t="s">
        <v>2854</v>
      </c>
      <c r="D115" s="398"/>
      <c r="E115" s="388" t="s">
        <v>2903</v>
      </c>
      <c r="F115" s="399"/>
      <c r="G115" s="399" t="s">
        <v>107</v>
      </c>
      <c r="H115" s="386" t="str">
        <f>CONCATENATE(G115,"-",I115)</f>
        <v>AM-2</v>
      </c>
      <c r="I115" s="400">
        <v>2</v>
      </c>
      <c r="J115" s="399"/>
      <c r="K115" s="429"/>
      <c r="L115" s="397"/>
      <c r="M115" s="395" cm="1">
        <f t="array" ref="M115">IFERROR(_xlfn.IFS(N115=1,1,O115=1,1,P115=1,1,Q115=1,1),0)</f>
        <v>1</v>
      </c>
      <c r="N115" s="427"/>
      <c r="O115" s="427">
        <v>1</v>
      </c>
      <c r="R115" s="395" cm="1">
        <f t="array" ref="R115">IFERROR(_xlfn.IFS(S115=1,1,T115=1,1,U115=1,1,V115=1,1),0)</f>
        <v>0</v>
      </c>
      <c r="S115" s="427"/>
      <c r="T115" s="427"/>
      <c r="U115" s="427"/>
      <c r="V115" s="427"/>
      <c r="AT115" s="390">
        <v>2</v>
      </c>
    </row>
    <row r="116" spans="1:46" s="402" customFormat="1" ht="14.25" customHeight="1" outlineLevel="2">
      <c r="B116" s="386" t="s">
        <v>2868</v>
      </c>
      <c r="C116" s="387" t="s">
        <v>2854</v>
      </c>
      <c r="D116" s="398"/>
      <c r="E116" s="388" t="s">
        <v>2904</v>
      </c>
      <c r="F116" s="399"/>
      <c r="G116" s="399" t="s">
        <v>107</v>
      </c>
      <c r="H116" s="386" t="str">
        <f>CONCATENATE(G116,"-",I116)</f>
        <v>AM-2</v>
      </c>
      <c r="I116" s="400">
        <v>2</v>
      </c>
      <c r="J116" s="399"/>
      <c r="K116" s="429"/>
      <c r="L116" s="397"/>
      <c r="M116" s="395" cm="1">
        <f t="array" ref="M116">IFERROR(_xlfn.IFS(N116=1,1,O116=1,1,P116=1,1,Q116=1,1),0)</f>
        <v>1</v>
      </c>
      <c r="N116" s="427"/>
      <c r="O116" s="427">
        <v>1</v>
      </c>
      <c r="R116" s="395" cm="1">
        <f t="array" ref="R116">IFERROR(_xlfn.IFS(S116=1,1,T116=1,1,U116=1,1,V116=1,1),0)</f>
        <v>0</v>
      </c>
      <c r="S116" s="427"/>
      <c r="T116" s="427"/>
      <c r="U116" s="427"/>
      <c r="V116" s="427"/>
      <c r="AT116" s="390">
        <v>2</v>
      </c>
    </row>
    <row r="117" spans="1:46" s="402" customFormat="1" ht="14.25" customHeight="1" outlineLevel="2">
      <c r="B117" s="386" t="s">
        <v>2868</v>
      </c>
      <c r="C117" s="387" t="s">
        <v>2854</v>
      </c>
      <c r="D117" s="398"/>
      <c r="E117" s="388" t="s">
        <v>2905</v>
      </c>
      <c r="F117" s="399"/>
      <c r="G117" s="399" t="s">
        <v>107</v>
      </c>
      <c r="H117" s="386" t="str">
        <f>CONCATENATE(G117,"-",I117)</f>
        <v>AM-2</v>
      </c>
      <c r="I117" s="400">
        <v>2</v>
      </c>
      <c r="J117" s="399"/>
      <c r="K117" s="429"/>
      <c r="L117" s="397"/>
      <c r="M117" s="395" cm="1">
        <f t="array" ref="M117">IFERROR(_xlfn.IFS(N117=1,1,O117=1,1,P117=1,1,Q117=1,1),0)</f>
        <v>1</v>
      </c>
      <c r="N117" s="427"/>
      <c r="O117" s="427">
        <v>1</v>
      </c>
      <c r="R117" s="395" cm="1">
        <f t="array" ref="R117">IFERROR(_xlfn.IFS(S117=1,1,T117=1,1,U117=1,1,V117=1,1),0)</f>
        <v>0</v>
      </c>
      <c r="S117" s="427"/>
      <c r="T117" s="427"/>
      <c r="U117" s="427"/>
      <c r="V117" s="427"/>
      <c r="AT117" s="390">
        <v>2</v>
      </c>
    </row>
    <row r="118" spans="1:46" s="419" customFormat="1" ht="3" hidden="1" customHeight="1" outlineLevel="1">
      <c r="A118" s="485"/>
      <c r="B118" s="486"/>
      <c r="C118" s="400"/>
      <c r="D118" s="423"/>
      <c r="E118" s="424"/>
      <c r="F118" s="424"/>
      <c r="G118" s="425"/>
      <c r="H118" s="425"/>
      <c r="I118" s="408"/>
      <c r="J118" s="424"/>
      <c r="K118" s="408"/>
      <c r="L118" s="408"/>
      <c r="M118" s="409"/>
      <c r="N118" s="420"/>
      <c r="O118" s="409"/>
      <c r="P118" s="409"/>
      <c r="Q118" s="409"/>
      <c r="R118" s="409"/>
      <c r="S118" s="409"/>
      <c r="T118" s="409"/>
      <c r="U118" s="409"/>
      <c r="V118" s="409"/>
    </row>
    <row r="119" spans="1:46" s="419" customFormat="1" hidden="1" outlineLevel="1" collapsed="1">
      <c r="A119" s="460" t="s">
        <v>169</v>
      </c>
      <c r="B119" s="460" t="s">
        <v>114</v>
      </c>
      <c r="C119" s="460"/>
      <c r="D119" s="460"/>
      <c r="E119" s="460"/>
      <c r="F119" s="424"/>
      <c r="G119" s="425"/>
      <c r="H119" s="425"/>
      <c r="I119" s="408"/>
      <c r="J119" s="424"/>
      <c r="K119" s="409"/>
      <c r="L119" s="409"/>
      <c r="M119" s="409"/>
      <c r="N119" s="420"/>
      <c r="O119" s="409"/>
      <c r="P119" s="409"/>
      <c r="Q119" s="409"/>
      <c r="R119" s="409"/>
      <c r="S119" s="409"/>
      <c r="T119" s="409"/>
      <c r="U119" s="409"/>
      <c r="V119" s="409"/>
    </row>
    <row r="120" spans="1:46" s="402" customFormat="1" ht="14.25" hidden="1" customHeight="1" outlineLevel="2">
      <c r="B120" s="386" t="s">
        <v>2868</v>
      </c>
      <c r="C120" s="387" t="s">
        <v>2854</v>
      </c>
      <c r="D120" s="398"/>
      <c r="E120" s="388" t="s">
        <v>2906</v>
      </c>
      <c r="F120" s="399"/>
      <c r="G120" s="399" t="s">
        <v>107</v>
      </c>
      <c r="H120" s="386" t="str">
        <f>CONCATENATE(G120,"-",I120)</f>
        <v>AM-3</v>
      </c>
      <c r="I120" s="400">
        <v>3</v>
      </c>
      <c r="J120" s="399"/>
      <c r="K120" s="429"/>
      <c r="L120" s="397"/>
      <c r="M120" s="395" cm="1">
        <f t="array" ref="M120">IFERROR(_xlfn.IFS(N120=1,1,O120=1,1,P120=1,1,Q120=1,1),0)</f>
        <v>1</v>
      </c>
      <c r="N120" s="427"/>
      <c r="O120" s="427">
        <v>1</v>
      </c>
      <c r="R120" s="395" cm="1">
        <f t="array" ref="R120">IFERROR(_xlfn.IFS(S120=1,1,T120=1,1,U120=1,1,V120=1,1),0)</f>
        <v>0</v>
      </c>
      <c r="S120" s="427"/>
      <c r="T120" s="427"/>
      <c r="U120" s="427"/>
      <c r="V120" s="427"/>
      <c r="AT120" s="390">
        <v>3</v>
      </c>
    </row>
    <row r="121" spans="1:46" s="402" customFormat="1" ht="14.25" hidden="1" customHeight="1" outlineLevel="2">
      <c r="B121" s="386" t="s">
        <v>2868</v>
      </c>
      <c r="C121" s="387" t="s">
        <v>2854</v>
      </c>
      <c r="D121" s="398"/>
      <c r="E121" s="388" t="s">
        <v>2907</v>
      </c>
      <c r="F121" s="399"/>
      <c r="G121" s="399" t="s">
        <v>107</v>
      </c>
      <c r="H121" s="386" t="str">
        <f>CONCATENATE(G121,"-",I121)</f>
        <v>AM-3</v>
      </c>
      <c r="I121" s="400">
        <v>3</v>
      </c>
      <c r="J121" s="399"/>
      <c r="K121" s="429"/>
      <c r="L121" s="397"/>
      <c r="M121" s="395" cm="1">
        <f t="array" ref="M121">IFERROR(_xlfn.IFS(N121=1,1,O121=1,1,P121=1,1,Q121=1,1),0)</f>
        <v>1</v>
      </c>
      <c r="N121" s="427"/>
      <c r="O121" s="427">
        <v>1</v>
      </c>
      <c r="R121" s="395" cm="1">
        <f t="array" ref="R121">IFERROR(_xlfn.IFS(S121=1,1,T121=1,1,U121=1,1,V121=1,1),0)</f>
        <v>0</v>
      </c>
      <c r="S121" s="427"/>
      <c r="T121" s="427"/>
      <c r="U121" s="427"/>
      <c r="V121" s="427"/>
      <c r="AT121" s="390">
        <v>3</v>
      </c>
    </row>
    <row r="122" spans="1:46" s="419" customFormat="1" ht="3" hidden="1" customHeight="1" outlineLevel="1">
      <c r="A122" s="485"/>
      <c r="B122" s="486"/>
      <c r="C122" s="400"/>
      <c r="D122" s="423"/>
      <c r="E122" s="424"/>
      <c r="F122" s="424"/>
      <c r="G122" s="425"/>
      <c r="H122" s="425"/>
      <c r="I122" s="408"/>
      <c r="J122" s="424"/>
      <c r="K122" s="408"/>
      <c r="L122" s="408"/>
      <c r="M122" s="409"/>
      <c r="N122" s="420"/>
      <c r="O122" s="409"/>
      <c r="P122" s="409"/>
      <c r="Q122" s="409"/>
      <c r="R122" s="409"/>
      <c r="S122" s="409"/>
      <c r="T122" s="409"/>
      <c r="U122" s="409"/>
      <c r="V122" s="409"/>
    </row>
    <row r="123" spans="1:46" s="419" customFormat="1" hidden="1" outlineLevel="1" collapsed="1">
      <c r="A123" s="460" t="s">
        <v>170</v>
      </c>
      <c r="B123" s="460" t="s">
        <v>116</v>
      </c>
      <c r="C123" s="460"/>
      <c r="D123" s="460"/>
      <c r="E123" s="460"/>
      <c r="F123" s="424"/>
      <c r="G123" s="425"/>
      <c r="H123" s="425"/>
      <c r="I123" s="408"/>
      <c r="J123" s="424"/>
      <c r="K123" s="409"/>
      <c r="L123" s="409"/>
      <c r="M123" s="409"/>
      <c r="N123" s="420"/>
      <c r="O123" s="409"/>
      <c r="P123" s="409"/>
      <c r="Q123" s="409"/>
      <c r="R123" s="409"/>
      <c r="S123" s="409"/>
      <c r="T123" s="409"/>
      <c r="U123" s="409"/>
      <c r="V123" s="409"/>
    </row>
    <row r="124" spans="1:46" s="402" customFormat="1" hidden="1" outlineLevel="2">
      <c r="A124" s="369"/>
      <c r="B124" s="386" t="s">
        <v>2868</v>
      </c>
      <c r="C124" s="387" t="s">
        <v>2891</v>
      </c>
      <c r="D124" s="398"/>
      <c r="E124" s="388" t="s">
        <v>2908</v>
      </c>
      <c r="F124" s="403"/>
      <c r="G124" s="399" t="s">
        <v>107</v>
      </c>
      <c r="H124" s="386" t="str">
        <f t="shared" ref="H124" si="11">CONCATENATE(G124,"-",I124)</f>
        <v>AM-4</v>
      </c>
      <c r="I124" s="400">
        <v>4</v>
      </c>
      <c r="J124" s="403"/>
      <c r="K124" s="394"/>
      <c r="L124" s="397"/>
      <c r="M124" s="395" cm="1">
        <f t="array" ref="M124">IFERROR(_xlfn.IFS(N124=1,1,O124=1,1,P124=1,1,Q124=1,1),0)</f>
        <v>1</v>
      </c>
      <c r="N124" s="427"/>
      <c r="O124" s="427"/>
      <c r="P124" s="427">
        <v>1</v>
      </c>
      <c r="Q124" s="427"/>
      <c r="R124" s="395" cm="1">
        <f t="array" ref="R124">IFERROR(_xlfn.IFS(S124=1,1,T124=1,1,U124=1,1,V124=1,1),0)</f>
        <v>0</v>
      </c>
      <c r="S124" s="394"/>
      <c r="T124" s="394"/>
      <c r="U124" s="394"/>
      <c r="V124" s="394"/>
      <c r="AT124" s="392"/>
    </row>
    <row r="125" spans="1:46" s="402" customFormat="1" hidden="1" outlineLevel="2">
      <c r="A125" s="369"/>
      <c r="B125" s="386" t="s">
        <v>2868</v>
      </c>
      <c r="C125" s="387" t="s">
        <v>2891</v>
      </c>
      <c r="D125" s="398"/>
      <c r="E125" s="388" t="s">
        <v>2909</v>
      </c>
      <c r="F125" s="403"/>
      <c r="G125" s="399" t="s">
        <v>107</v>
      </c>
      <c r="H125" s="386" t="str">
        <f t="shared" ref="H125:H132" si="12">CONCATENATE(G125,"-",I125)</f>
        <v>AM-4</v>
      </c>
      <c r="I125" s="400">
        <v>4</v>
      </c>
      <c r="J125" s="403"/>
      <c r="K125" s="394"/>
      <c r="L125" s="397"/>
      <c r="M125" s="395" cm="1">
        <f t="array" ref="M125">IFERROR(_xlfn.IFS(N125=1,1,O125=1,1,P125=1,1,Q125=1,1),0)</f>
        <v>1</v>
      </c>
      <c r="N125" s="427"/>
      <c r="O125" s="427"/>
      <c r="P125" s="427">
        <v>1</v>
      </c>
      <c r="Q125" s="427"/>
      <c r="R125" s="395" cm="1">
        <f t="array" ref="R125">IFERROR(_xlfn.IFS(S125=1,1,T125=1,1,U125=1,1,V125=1,1),0)</f>
        <v>0</v>
      </c>
      <c r="S125" s="394"/>
      <c r="T125" s="394"/>
      <c r="U125" s="394"/>
      <c r="V125" s="394"/>
      <c r="AT125" s="392"/>
    </row>
    <row r="126" spans="1:46" s="402" customFormat="1" hidden="1" outlineLevel="2">
      <c r="A126" s="369"/>
      <c r="B126" s="386" t="s">
        <v>2868</v>
      </c>
      <c r="C126" s="387" t="s">
        <v>2891</v>
      </c>
      <c r="D126" s="398"/>
      <c r="E126" s="388" t="s">
        <v>2910</v>
      </c>
      <c r="F126" s="403"/>
      <c r="G126" s="399" t="s">
        <v>107</v>
      </c>
      <c r="H126" s="386" t="str">
        <f t="shared" si="12"/>
        <v>AM-4</v>
      </c>
      <c r="I126" s="400">
        <v>4</v>
      </c>
      <c r="J126" s="403"/>
      <c r="K126" s="394"/>
      <c r="L126" s="397"/>
      <c r="M126" s="395" cm="1">
        <f t="array" ref="M126">IFERROR(_xlfn.IFS(N126=1,1,O126=1,1,P126=1,1,Q126=1,1),0)</f>
        <v>1</v>
      </c>
      <c r="N126" s="427"/>
      <c r="O126" s="427"/>
      <c r="P126" s="427">
        <v>1</v>
      </c>
      <c r="Q126" s="427"/>
      <c r="R126" s="395" cm="1">
        <f t="array" ref="R126">IFERROR(_xlfn.IFS(S126=1,1,T126=1,1,U126=1,1,V126=1,1),0)</f>
        <v>0</v>
      </c>
      <c r="S126" s="394"/>
      <c r="T126" s="394"/>
      <c r="U126" s="394"/>
      <c r="V126" s="394"/>
      <c r="AT126" s="392"/>
    </row>
    <row r="127" spans="1:46" s="402" customFormat="1" hidden="1" outlineLevel="2">
      <c r="A127" s="369"/>
      <c r="B127" s="386" t="s">
        <v>2868</v>
      </c>
      <c r="C127" s="387" t="s">
        <v>2891</v>
      </c>
      <c r="D127" s="398"/>
      <c r="E127" s="388" t="s">
        <v>2911</v>
      </c>
      <c r="F127" s="403"/>
      <c r="G127" s="399" t="s">
        <v>107</v>
      </c>
      <c r="H127" s="386" t="str">
        <f t="shared" si="12"/>
        <v>AM-4</v>
      </c>
      <c r="I127" s="400">
        <v>4</v>
      </c>
      <c r="J127" s="403"/>
      <c r="K127" s="394"/>
      <c r="L127" s="397"/>
      <c r="M127" s="395" cm="1">
        <f t="array" ref="M127">IFERROR(_xlfn.IFS(N127=1,1,O127=1,1,P127=1,1,Q127=1,1),0)</f>
        <v>1</v>
      </c>
      <c r="N127" s="427"/>
      <c r="O127" s="427"/>
      <c r="P127" s="427">
        <v>1</v>
      </c>
      <c r="Q127" s="427"/>
      <c r="R127" s="395" cm="1">
        <f t="array" ref="R127">IFERROR(_xlfn.IFS(S127=1,1,T127=1,1,U127=1,1,V127=1,1),0)</f>
        <v>0</v>
      </c>
      <c r="S127" s="394"/>
      <c r="T127" s="394"/>
      <c r="U127" s="394"/>
      <c r="V127" s="394"/>
      <c r="AT127" s="392"/>
    </row>
    <row r="128" spans="1:46" s="402" customFormat="1" hidden="1" outlineLevel="2">
      <c r="A128" s="369"/>
      <c r="B128" s="386" t="s">
        <v>2868</v>
      </c>
      <c r="C128" s="387" t="s">
        <v>2891</v>
      </c>
      <c r="D128" s="398"/>
      <c r="E128" s="388" t="s">
        <v>1114</v>
      </c>
      <c r="F128" s="403"/>
      <c r="G128" s="399" t="s">
        <v>107</v>
      </c>
      <c r="H128" s="386" t="str">
        <f t="shared" si="12"/>
        <v>AM-4</v>
      </c>
      <c r="I128" s="400">
        <v>4</v>
      </c>
      <c r="J128" s="403"/>
      <c r="K128" s="394"/>
      <c r="L128" s="397"/>
      <c r="M128" s="395" cm="1">
        <f t="array" ref="M128">IFERROR(_xlfn.IFS(N128=1,1,O128=1,1,P128=1,1,Q128=1,1),0)</f>
        <v>1</v>
      </c>
      <c r="N128" s="427"/>
      <c r="O128" s="427"/>
      <c r="P128" s="427">
        <v>1</v>
      </c>
      <c r="Q128" s="427"/>
      <c r="R128" s="395" cm="1">
        <f t="array" ref="R128">IFERROR(_xlfn.IFS(S128=1,1,T128=1,1,U128=1,1,V128=1,1),0)</f>
        <v>0</v>
      </c>
      <c r="S128" s="394"/>
      <c r="T128" s="394"/>
      <c r="U128" s="394"/>
      <c r="V128" s="394"/>
      <c r="AT128" s="392"/>
    </row>
    <row r="129" spans="1:46" s="402" customFormat="1" hidden="1" outlineLevel="2">
      <c r="A129" s="369"/>
      <c r="B129" s="386" t="s">
        <v>2868</v>
      </c>
      <c r="C129" s="387" t="s">
        <v>2891</v>
      </c>
      <c r="D129" s="398"/>
      <c r="E129" s="388" t="s">
        <v>2912</v>
      </c>
      <c r="F129" s="403"/>
      <c r="G129" s="399" t="s">
        <v>107</v>
      </c>
      <c r="H129" s="386" t="str">
        <f t="shared" si="12"/>
        <v>AM-4</v>
      </c>
      <c r="I129" s="400">
        <v>4</v>
      </c>
      <c r="J129" s="403"/>
      <c r="K129" s="394"/>
      <c r="L129" s="397"/>
      <c r="M129" s="395" cm="1">
        <f t="array" ref="M129">IFERROR(_xlfn.IFS(N129=1,1,O129=1,1,P129=1,1,Q129=1,1),0)</f>
        <v>1</v>
      </c>
      <c r="N129" s="427"/>
      <c r="O129" s="427"/>
      <c r="P129" s="427">
        <v>1</v>
      </c>
      <c r="Q129" s="427"/>
      <c r="R129" s="395" cm="1">
        <f t="array" ref="R129">IFERROR(_xlfn.IFS(S129=1,1,T129=1,1,U129=1,1,V129=1,1),0)</f>
        <v>0</v>
      </c>
      <c r="S129" s="394"/>
      <c r="T129" s="394"/>
      <c r="U129" s="394"/>
      <c r="V129" s="394"/>
      <c r="AT129" s="392"/>
    </row>
    <row r="130" spans="1:46" s="402" customFormat="1" hidden="1" outlineLevel="2">
      <c r="A130" s="369"/>
      <c r="B130" s="386" t="s">
        <v>2868</v>
      </c>
      <c r="C130" s="387" t="s">
        <v>2891</v>
      </c>
      <c r="D130" s="398"/>
      <c r="E130" s="388" t="s">
        <v>2913</v>
      </c>
      <c r="F130" s="403"/>
      <c r="G130" s="399" t="s">
        <v>107</v>
      </c>
      <c r="H130" s="386" t="str">
        <f t="shared" si="12"/>
        <v>AM-4</v>
      </c>
      <c r="I130" s="400">
        <v>4</v>
      </c>
      <c r="J130" s="403"/>
      <c r="K130" s="394"/>
      <c r="L130" s="397"/>
      <c r="M130" s="395" cm="1">
        <f t="array" ref="M130">IFERROR(_xlfn.IFS(N130=1,1,O130=1,1,P130=1,1,Q130=1,1),0)</f>
        <v>1</v>
      </c>
      <c r="N130" s="427"/>
      <c r="O130" s="427"/>
      <c r="P130" s="427">
        <v>1</v>
      </c>
      <c r="Q130" s="427"/>
      <c r="R130" s="395" cm="1">
        <f t="array" ref="R130">IFERROR(_xlfn.IFS(S130=1,1,T130=1,1,U130=1,1,V130=1,1),0)</f>
        <v>0</v>
      </c>
      <c r="S130" s="394"/>
      <c r="T130" s="394"/>
      <c r="U130" s="394"/>
      <c r="V130" s="394"/>
      <c r="AT130" s="392"/>
    </row>
    <row r="131" spans="1:46" s="402" customFormat="1" hidden="1" outlineLevel="2">
      <c r="A131" s="369"/>
      <c r="B131" s="386" t="s">
        <v>2868</v>
      </c>
      <c r="C131" s="387" t="s">
        <v>2891</v>
      </c>
      <c r="D131" s="398"/>
      <c r="E131" s="388" t="s">
        <v>2914</v>
      </c>
      <c r="F131" s="403"/>
      <c r="G131" s="399" t="s">
        <v>107</v>
      </c>
      <c r="H131" s="386" t="str">
        <f t="shared" si="12"/>
        <v>AM-4</v>
      </c>
      <c r="I131" s="400">
        <v>4</v>
      </c>
      <c r="J131" s="403"/>
      <c r="K131" s="394"/>
      <c r="L131" s="397"/>
      <c r="M131" s="395" cm="1">
        <f t="array" ref="M131">IFERROR(_xlfn.IFS(N131=1,1,O131=1,1,P131=1,1,Q131=1,1),0)</f>
        <v>1</v>
      </c>
      <c r="N131" s="427"/>
      <c r="O131" s="427"/>
      <c r="P131" s="427">
        <v>1</v>
      </c>
      <c r="Q131" s="427"/>
      <c r="R131" s="395" cm="1">
        <f t="array" ref="R131">IFERROR(_xlfn.IFS(S131=1,1,T131=1,1,U131=1,1,V131=1,1),0)</f>
        <v>0</v>
      </c>
      <c r="S131" s="394"/>
      <c r="T131" s="394"/>
      <c r="U131" s="394"/>
      <c r="V131" s="394"/>
      <c r="AT131" s="392"/>
    </row>
    <row r="132" spans="1:46" s="402" customFormat="1" hidden="1" outlineLevel="2">
      <c r="A132" s="369"/>
      <c r="B132" s="386" t="s">
        <v>2868</v>
      </c>
      <c r="C132" s="387" t="s">
        <v>2891</v>
      </c>
      <c r="D132" s="398"/>
      <c r="E132" s="388" t="s">
        <v>2900</v>
      </c>
      <c r="F132" s="403"/>
      <c r="G132" s="399" t="s">
        <v>107</v>
      </c>
      <c r="H132" s="386" t="str">
        <f t="shared" si="12"/>
        <v>AM-4</v>
      </c>
      <c r="I132" s="400">
        <v>4</v>
      </c>
      <c r="J132" s="403"/>
      <c r="K132" s="394"/>
      <c r="L132" s="397"/>
      <c r="M132" s="395" cm="1">
        <f t="array" ref="M132">IFERROR(_xlfn.IFS(N132=1,1,O132=1,1,P132=1,1,Q132=1,1),0)</f>
        <v>1</v>
      </c>
      <c r="N132" s="427"/>
      <c r="O132" s="427"/>
      <c r="P132" s="427">
        <v>1</v>
      </c>
      <c r="Q132" s="427"/>
      <c r="R132" s="395" cm="1">
        <f t="array" ref="R132">IFERROR(_xlfn.IFS(S132=1,1,T132=1,1,U132=1,1,V132=1,1),0)</f>
        <v>0</v>
      </c>
      <c r="S132" s="394"/>
      <c r="T132" s="394"/>
      <c r="U132" s="394"/>
      <c r="V132" s="394"/>
      <c r="AT132" s="392"/>
    </row>
    <row r="133" spans="1:46" hidden="1"/>
    <row r="134" spans="1:46" hidden="1"/>
  </sheetData>
  <autoFilter ref="A7:V134" xr:uid="{E1A52B11-4BAB-4254-AEE3-27C251028F79}">
    <filterColumn colId="7">
      <filters>
        <filter val="AM-2"/>
      </filters>
    </filterColumn>
  </autoFilter>
  <mergeCells count="9">
    <mergeCell ref="R3:R5"/>
    <mergeCell ref="M3:M5"/>
    <mergeCell ref="K3:K5"/>
    <mergeCell ref="L3:L5"/>
    <mergeCell ref="A3:E3"/>
    <mergeCell ref="A5:E5"/>
    <mergeCell ref="G3:G5"/>
    <mergeCell ref="H3:H5"/>
    <mergeCell ref="I3:I5"/>
  </mergeCells>
  <phoneticPr fontId="44" type="noConversion"/>
  <conditionalFormatting sqref="G12:I17 B12:E17">
    <cfRule type="expression" dxfId="41" priority="404">
      <formula>AND($M12=1,$R12&lt;&gt;1)</formula>
    </cfRule>
    <cfRule type="expression" dxfId="40" priority="405">
      <formula>OR($K12=1,$R12=1)</formula>
    </cfRule>
    <cfRule type="expression" dxfId="39" priority="406">
      <formula>($I12="NA")</formula>
    </cfRule>
  </conditionalFormatting>
  <conditionalFormatting sqref="B20:E27 G20:I27">
    <cfRule type="expression" dxfId="38" priority="362">
      <formula>AND($M20=1,$R20&lt;&gt;1)</formula>
    </cfRule>
    <cfRule type="expression" dxfId="37" priority="363">
      <formula>OR($K20=1,$R20=1)</formula>
    </cfRule>
    <cfRule type="expression" dxfId="36" priority="364">
      <formula>($I20="NA")</formula>
    </cfRule>
  </conditionalFormatting>
  <conditionalFormatting sqref="B30:E37 G30:I37">
    <cfRule type="expression" dxfId="35" priority="321">
      <formula>AND($M30=1,$R30&lt;&gt;1)</formula>
    </cfRule>
    <cfRule type="expression" dxfId="34" priority="322">
      <formula>OR($K30=1,$R30=1)</formula>
    </cfRule>
    <cfRule type="expression" dxfId="33" priority="323">
      <formula>($I30="NA")</formula>
    </cfRule>
  </conditionalFormatting>
  <conditionalFormatting sqref="B40:E47 G40:I47">
    <cfRule type="expression" dxfId="32" priority="283">
      <formula>AND($M40=1,$R40&lt;&gt;1)</formula>
    </cfRule>
    <cfRule type="expression" dxfId="31" priority="284">
      <formula>OR($K40=1,$R40=1)</formula>
    </cfRule>
    <cfRule type="expression" dxfId="30" priority="285">
      <formula>($I40="NA")</formula>
    </cfRule>
  </conditionalFormatting>
  <conditionalFormatting sqref="B50:E59 G50:I59">
    <cfRule type="expression" dxfId="29" priority="238">
      <formula>AND($M50=1,$R50&lt;&gt;1)</formula>
    </cfRule>
    <cfRule type="expression" dxfId="28" priority="239">
      <formula>OR($K50=1,$R50=1)</formula>
    </cfRule>
    <cfRule type="expression" dxfId="27" priority="240">
      <formula>($I50="NA")</formula>
    </cfRule>
  </conditionalFormatting>
  <conditionalFormatting sqref="B62:E69 G62:I69">
    <cfRule type="expression" dxfId="26" priority="195">
      <formula>AND($M62=1,$R62&lt;&gt;1)</formula>
    </cfRule>
    <cfRule type="expression" dxfId="25" priority="196">
      <formula>OR($K62=1,$R62=1)</formula>
    </cfRule>
    <cfRule type="expression" dxfId="24" priority="197">
      <formula>($I62="NA")</formula>
    </cfRule>
  </conditionalFormatting>
  <conditionalFormatting sqref="B72:E79 G72:I79">
    <cfRule type="expression" dxfId="23" priority="154">
      <formula>AND($M72=1,$R72&lt;&gt;1)</formula>
    </cfRule>
    <cfRule type="expression" dxfId="22" priority="155">
      <formula>OR($K72=1,$R72=1)</formula>
    </cfRule>
    <cfRule type="expression" dxfId="21" priority="156">
      <formula>($I72="NA")</formula>
    </cfRule>
  </conditionalFormatting>
  <conditionalFormatting sqref="B82:E89 G82:I89">
    <cfRule type="expression" dxfId="20" priority="115">
      <formula>AND($M82=1,$R82&lt;&gt;1)</formula>
    </cfRule>
    <cfRule type="expression" dxfId="19" priority="116">
      <formula>OR($K82=1,$R82=1)</formula>
    </cfRule>
    <cfRule type="expression" dxfId="18" priority="117">
      <formula>($I82="NA")</formula>
    </cfRule>
  </conditionalFormatting>
  <conditionalFormatting sqref="B94:E102 G94:I102 B105:E107 G105:I107 B113:E117 G113:I117 B120:E121 G120:I121 B132:E132 G132:I132 B134:E137 G134:I137">
    <cfRule type="expression" dxfId="17" priority="897">
      <formula>OR($K94=1,$R94=1)</formula>
    </cfRule>
    <cfRule type="expression" dxfId="16" priority="898">
      <formula>($I94="NA")</formula>
    </cfRule>
  </conditionalFormatting>
  <conditionalFormatting sqref="B124:E132 G124:I132">
    <cfRule type="expression" dxfId="15" priority="20">
      <formula>AND($M124=1,$R124&lt;&gt;1)</formula>
    </cfRule>
    <cfRule type="expression" dxfId="14" priority="21">
      <formula>OR($K124=1,$R124=1)</formula>
    </cfRule>
    <cfRule type="expression" dxfId="13" priority="22">
      <formula>($I124="NA")</formula>
    </cfRule>
  </conditionalFormatting>
  <conditionalFormatting sqref="B131:E131 G131:I131">
    <cfRule type="expression" dxfId="12" priority="14">
      <formula>AND($M131=1,$R131&lt;&gt;1)</formula>
    </cfRule>
    <cfRule type="expression" dxfId="11" priority="15">
      <formula>OR($K131=1,$R131=1)</formula>
    </cfRule>
    <cfRule type="expression" dxfId="10" priority="16">
      <formula>($I131="NA")</formula>
    </cfRule>
  </conditionalFormatting>
  <conditionalFormatting sqref="G125:I125 B125:E130">
    <cfRule type="expression" dxfId="9" priority="27">
      <formula>OR($K125=1,$R125=1)</formula>
    </cfRule>
    <cfRule type="expression" dxfId="8" priority="28">
      <formula>($I125="NA")</formula>
    </cfRule>
  </conditionalFormatting>
  <conditionalFormatting sqref="G125:I126 B125:E130">
    <cfRule type="expression" dxfId="7" priority="26">
      <formula>AND($M125=1,$R125&lt;&gt;1)</formula>
    </cfRule>
  </conditionalFormatting>
  <conditionalFormatting sqref="G126:I126 H126:H132">
    <cfRule type="expression" dxfId="6" priority="33">
      <formula>OR($K126=1,$R126=1)</formula>
    </cfRule>
    <cfRule type="expression" dxfId="5" priority="34">
      <formula>($I126="NA")</formula>
    </cfRule>
  </conditionalFormatting>
  <conditionalFormatting sqref="G127:I130">
    <cfRule type="expression" dxfId="4" priority="38">
      <formula>AND($M127=1,$R127&lt;&gt;1)</formula>
    </cfRule>
    <cfRule type="expression" dxfId="3" priority="39">
      <formula>OR($K127=1,$R127=1)</formula>
    </cfRule>
    <cfRule type="expression" dxfId="2" priority="40">
      <formula>($I127="NA")</formula>
    </cfRule>
  </conditionalFormatting>
  <conditionalFormatting sqref="G132:I132 B132:E132 B94:E102 G94:I102 B105:E107 G105:I107 B113:E117 G113:I117 B120:E121 G120:I121 B134:E137 G134:I137">
    <cfRule type="expression" dxfId="1" priority="896">
      <formula>AND($M94=1,$R94&lt;&gt;1)</formula>
    </cfRule>
  </conditionalFormatting>
  <conditionalFormatting sqref="H126:H132">
    <cfRule type="expression" dxfId="0" priority="32">
      <formula>AND($M126=1,$R126&lt;&gt;1)</formula>
    </cfRule>
  </conditionalFormatting>
  <conditionalFormatting sqref="K20">
    <cfRule type="iconSet" priority="361">
      <iconSet iconSet="3Symbols2" showValue="0">
        <cfvo type="percent" val="0"/>
        <cfvo type="num" val="0"/>
        <cfvo type="num" val="0"/>
      </iconSet>
    </cfRule>
  </conditionalFormatting>
  <conditionalFormatting sqref="K21:K27">
    <cfRule type="iconSet" priority="360">
      <iconSet iconSet="3Symbols2" showValue="0">
        <cfvo type="percent" val="0"/>
        <cfvo type="num" val="0"/>
        <cfvo type="num" val="0"/>
      </iconSet>
    </cfRule>
  </conditionalFormatting>
  <conditionalFormatting sqref="K30:K35">
    <cfRule type="iconSet" priority="319">
      <iconSet iconSet="3Symbols2" showValue="0">
        <cfvo type="percent" val="0"/>
        <cfvo type="num" val="0"/>
        <cfvo type="num" val="0"/>
      </iconSet>
    </cfRule>
  </conditionalFormatting>
  <conditionalFormatting sqref="K36:K37">
    <cfRule type="iconSet" priority="320">
      <iconSet iconSet="3Symbols2" showValue="0">
        <cfvo type="percent" val="0"/>
        <cfvo type="num" val="0"/>
        <cfvo type="num" val="0"/>
      </iconSet>
    </cfRule>
  </conditionalFormatting>
  <conditionalFormatting sqref="K40:K47">
    <cfRule type="iconSet" priority="282">
      <iconSet iconSet="3Symbols2" showValue="0">
        <cfvo type="percent" val="0"/>
        <cfvo type="num" val="0"/>
        <cfvo type="num" val="0"/>
      </iconSet>
    </cfRule>
  </conditionalFormatting>
  <conditionalFormatting sqref="K50:K59">
    <cfRule type="iconSet" priority="237">
      <iconSet iconSet="3Symbols2" showValue="0">
        <cfvo type="percent" val="0"/>
        <cfvo type="num" val="0"/>
        <cfvo type="num" val="0"/>
      </iconSet>
    </cfRule>
  </conditionalFormatting>
  <conditionalFormatting sqref="K62">
    <cfRule type="iconSet" priority="194">
      <iconSet iconSet="3Symbols2" showValue="0">
        <cfvo type="percent" val="0"/>
        <cfvo type="num" val="0"/>
        <cfvo type="num" val="0"/>
      </iconSet>
    </cfRule>
  </conditionalFormatting>
  <conditionalFormatting sqref="K63:K69">
    <cfRule type="iconSet" priority="193">
      <iconSet iconSet="3Symbols2" showValue="0">
        <cfvo type="percent" val="0"/>
        <cfvo type="num" val="0"/>
        <cfvo type="num" val="0"/>
      </iconSet>
    </cfRule>
  </conditionalFormatting>
  <conditionalFormatting sqref="K72:K77">
    <cfRule type="iconSet" priority="153">
      <iconSet iconSet="3Symbols2" showValue="0">
        <cfvo type="percent" val="0"/>
        <cfvo type="num" val="0"/>
        <cfvo type="num" val="0"/>
      </iconSet>
    </cfRule>
  </conditionalFormatting>
  <conditionalFormatting sqref="K78:K79">
    <cfRule type="iconSet" priority="152">
      <iconSet iconSet="3Symbols2" showValue="0">
        <cfvo type="percent" val="0"/>
        <cfvo type="num" val="0"/>
        <cfvo type="num" val="0"/>
      </iconSet>
    </cfRule>
  </conditionalFormatting>
  <conditionalFormatting sqref="K82:K89">
    <cfRule type="iconSet" priority="114">
      <iconSet iconSet="3Symbols2" showValue="0">
        <cfvo type="percent" val="0"/>
        <cfvo type="num" val="0"/>
        <cfvo type="num" val="0"/>
      </iconSet>
    </cfRule>
  </conditionalFormatting>
  <conditionalFormatting sqref="K105:K107 K94:K102">
    <cfRule type="iconSet" priority="115549">
      <iconSet iconSet="3Symbols2" showValue="0">
        <cfvo type="percent" val="0"/>
        <cfvo type="num" val="0"/>
        <cfvo type="num" val="0"/>
      </iconSet>
    </cfRule>
  </conditionalFormatting>
  <conditionalFormatting sqref="K113">
    <cfRule type="iconSet" priority="1559">
      <iconSet iconSet="3Symbols2" showValue="0">
        <cfvo type="percent" val="0"/>
        <cfvo type="num" val="0"/>
        <cfvo type="num" val="0"/>
      </iconSet>
    </cfRule>
  </conditionalFormatting>
  <conditionalFormatting sqref="K120 K114:K117">
    <cfRule type="iconSet" priority="118141">
      <iconSet iconSet="3Symbols2" showValue="0">
        <cfvo type="percent" val="0"/>
        <cfvo type="num" val="0"/>
        <cfvo type="num" val="0"/>
      </iconSet>
    </cfRule>
  </conditionalFormatting>
  <conditionalFormatting sqref="K121">
    <cfRule type="iconSet" priority="1678">
      <iconSet iconSet="3Symbols2" showValue="0">
        <cfvo type="percent" val="0"/>
        <cfvo type="num" val="0"/>
        <cfvo type="num" val="0"/>
      </iconSet>
    </cfRule>
  </conditionalFormatting>
  <conditionalFormatting sqref="K124:K132">
    <cfRule type="iconSet" priority="955">
      <iconSet iconSet="3Symbols2" showValue="0">
        <cfvo type="percent" val="0"/>
        <cfvo type="num" val="0"/>
        <cfvo type="num" val="0"/>
      </iconSet>
    </cfRule>
  </conditionalFormatting>
  <conditionalFormatting sqref="K134:K1048576">
    <cfRule type="iconSet" priority="8814">
      <iconSet iconSet="3Symbols2" showValue="0">
        <cfvo type="percent" val="0"/>
        <cfvo type="num" val="0"/>
        <cfvo type="num" val="0"/>
      </iconSet>
    </cfRule>
  </conditionalFormatting>
  <conditionalFormatting sqref="N20:N27">
    <cfRule type="iconSet" priority="357">
      <iconSet iconSet="3Symbols2" showValue="0">
        <cfvo type="percent" val="0"/>
        <cfvo type="num" val="0"/>
        <cfvo type="num" val="0"/>
      </iconSet>
    </cfRule>
  </conditionalFormatting>
  <conditionalFormatting sqref="N30:N37">
    <cfRule type="iconSet" priority="316">
      <iconSet iconSet="3Symbols2" showValue="0">
        <cfvo type="percent" val="0"/>
        <cfvo type="num" val="0"/>
        <cfvo type="num" val="0"/>
      </iconSet>
    </cfRule>
  </conditionalFormatting>
  <conditionalFormatting sqref="N40:N47">
    <cfRule type="iconSet" priority="279">
      <iconSet iconSet="3Symbols2" showValue="0">
        <cfvo type="percent" val="0"/>
        <cfvo type="num" val="0"/>
        <cfvo type="num" val="0"/>
      </iconSet>
    </cfRule>
  </conditionalFormatting>
  <conditionalFormatting sqref="N50:N59">
    <cfRule type="iconSet" priority="234">
      <iconSet iconSet="3Symbols2" showValue="0">
        <cfvo type="percent" val="0"/>
        <cfvo type="num" val="0"/>
        <cfvo type="num" val="0"/>
      </iconSet>
    </cfRule>
  </conditionalFormatting>
  <conditionalFormatting sqref="N62:N69">
    <cfRule type="iconSet" priority="190">
      <iconSet iconSet="3Symbols2" showValue="0">
        <cfvo type="percent" val="0"/>
        <cfvo type="num" val="0"/>
        <cfvo type="num" val="0"/>
      </iconSet>
    </cfRule>
  </conditionalFormatting>
  <conditionalFormatting sqref="N72:N79">
    <cfRule type="iconSet" priority="149">
      <iconSet iconSet="3Symbols2" showValue="0">
        <cfvo type="percent" val="0"/>
        <cfvo type="num" val="0"/>
        <cfvo type="num" val="0"/>
      </iconSet>
    </cfRule>
  </conditionalFormatting>
  <conditionalFormatting sqref="N82:N89">
    <cfRule type="iconSet" priority="111">
      <iconSet iconSet="3Symbols2" showValue="0">
        <cfvo type="percent" val="0"/>
        <cfvo type="num" val="0"/>
        <cfvo type="num" val="0"/>
      </iconSet>
    </cfRule>
  </conditionalFormatting>
  <conditionalFormatting sqref="N113:N117 N105:N107">
    <cfRule type="iconSet" priority="906">
      <iconSet iconSet="3Symbols2" showValue="0">
        <cfvo type="percent" val="0"/>
        <cfvo type="num" val="0"/>
        <cfvo type="num" val="0"/>
      </iconSet>
    </cfRule>
  </conditionalFormatting>
  <conditionalFormatting sqref="N124:N132 Q124:Q132">
    <cfRule type="iconSet" priority="953">
      <iconSet iconSet="3Symbols2" showValue="0">
        <cfvo type="percent" val="0"/>
        <cfvo type="num" val="0"/>
        <cfvo type="num" val="0"/>
      </iconSet>
    </cfRule>
  </conditionalFormatting>
  <conditionalFormatting sqref="O30:O37">
    <cfRule type="iconSet" priority="315">
      <iconSet iconSet="3Symbols2" showValue="0">
        <cfvo type="percent" val="0"/>
        <cfvo type="num" val="0"/>
        <cfvo type="num" val="0"/>
      </iconSet>
    </cfRule>
  </conditionalFormatting>
  <conditionalFormatting sqref="O40:O47">
    <cfRule type="iconSet" priority="278">
      <iconSet iconSet="3Symbols2" showValue="0">
        <cfvo type="percent" val="0"/>
        <cfvo type="num" val="0"/>
        <cfvo type="num" val="0"/>
      </iconSet>
    </cfRule>
  </conditionalFormatting>
  <conditionalFormatting sqref="O72:O79">
    <cfRule type="iconSet" priority="148">
      <iconSet iconSet="3Symbols2" showValue="0">
        <cfvo type="percent" val="0"/>
        <cfvo type="num" val="0"/>
        <cfvo type="num" val="0"/>
      </iconSet>
    </cfRule>
  </conditionalFormatting>
  <conditionalFormatting sqref="O82:O89">
    <cfRule type="iconSet" priority="110">
      <iconSet iconSet="3Symbols2" showValue="0">
        <cfvo type="percent" val="0"/>
        <cfvo type="num" val="0"/>
        <cfvo type="num" val="0"/>
      </iconSet>
    </cfRule>
  </conditionalFormatting>
  <conditionalFormatting sqref="O105:O107 Q97 O94:Q94 O97 N94:N102 O96:Q96 O98:Q98 O102:Q102 O95 Q95 O99:O101 Q99:Q101 Q105:Q107">
    <cfRule type="iconSet" priority="76314">
      <iconSet iconSet="3Symbols2" showValue="0">
        <cfvo type="percent" val="0"/>
        <cfvo type="num" val="0"/>
        <cfvo type="num" val="0"/>
      </iconSet>
    </cfRule>
  </conditionalFormatting>
  <conditionalFormatting sqref="O113:O117">
    <cfRule type="iconSet" priority="903">
      <iconSet iconSet="3Symbols2" showValue="0">
        <cfvo type="percent" val="0"/>
        <cfvo type="num" val="0"/>
        <cfvo type="num" val="0"/>
      </iconSet>
    </cfRule>
  </conditionalFormatting>
  <conditionalFormatting sqref="O120:O121 O124:O132">
    <cfRule type="iconSet" priority="905">
      <iconSet iconSet="3Symbols2" showValue="0">
        <cfvo type="percent" val="0"/>
        <cfvo type="num" val="0"/>
        <cfvo type="num" val="0"/>
      </iconSet>
    </cfRule>
  </conditionalFormatting>
  <conditionalFormatting sqref="P20:P27">
    <cfRule type="iconSet" priority="356">
      <iconSet iconSet="3Symbols2" showValue="0">
        <cfvo type="percent" val="0"/>
        <cfvo type="num" val="0"/>
        <cfvo type="num" val="0"/>
      </iconSet>
    </cfRule>
  </conditionalFormatting>
  <conditionalFormatting sqref="P30:P37">
    <cfRule type="iconSet" priority="314">
      <iconSet iconSet="3Symbols2" showValue="0">
        <cfvo type="percent" val="0"/>
        <cfvo type="num" val="0"/>
        <cfvo type="num" val="0"/>
      </iconSet>
    </cfRule>
  </conditionalFormatting>
  <conditionalFormatting sqref="P105:P107">
    <cfRule type="iconSet" priority="902">
      <iconSet iconSet="3Symbols2" showValue="0">
        <cfvo type="percent" val="0"/>
        <cfvo type="num" val="0"/>
        <cfvo type="num" val="0"/>
      </iconSet>
    </cfRule>
  </conditionalFormatting>
  <conditionalFormatting sqref="P124:P132">
    <cfRule type="iconSet" priority="901">
      <iconSet iconSet="3Symbols2" showValue="0">
        <cfvo type="percent" val="0"/>
        <cfvo type="num" val="0"/>
        <cfvo type="num" val="0"/>
      </iconSet>
    </cfRule>
  </conditionalFormatting>
  <conditionalFormatting sqref="Q20:Q27">
    <cfRule type="iconSet" priority="355">
      <iconSet iconSet="3Symbols2" showValue="0">
        <cfvo type="percent" val="0"/>
        <cfvo type="num" val="0"/>
        <cfvo type="num" val="0"/>
      </iconSet>
    </cfRule>
  </conditionalFormatting>
  <conditionalFormatting sqref="Q40:Q47">
    <cfRule type="iconSet" priority="277">
      <iconSet iconSet="3Symbols2" showValue="0">
        <cfvo type="percent" val="0"/>
        <cfvo type="num" val="0"/>
        <cfvo type="num" val="0"/>
      </iconSet>
    </cfRule>
  </conditionalFormatting>
  <conditionalFormatting sqref="Q50:Q59">
    <cfRule type="iconSet" priority="233">
      <iconSet iconSet="3Symbols2" showValue="0">
        <cfvo type="percent" val="0"/>
        <cfvo type="num" val="0"/>
        <cfvo type="num" val="0"/>
      </iconSet>
    </cfRule>
  </conditionalFormatting>
  <conditionalFormatting sqref="Q62:Q69">
    <cfRule type="iconSet" priority="188">
      <iconSet iconSet="3Symbols2" showValue="0">
        <cfvo type="percent" val="0"/>
        <cfvo type="num" val="0"/>
        <cfvo type="num" val="0"/>
      </iconSet>
    </cfRule>
  </conditionalFormatting>
  <conditionalFormatting sqref="Q72:Q79">
    <cfRule type="iconSet" priority="146">
      <iconSet iconSet="3Symbols2" showValue="0">
        <cfvo type="percent" val="0"/>
        <cfvo type="num" val="0"/>
        <cfvo type="num" val="0"/>
      </iconSet>
    </cfRule>
  </conditionalFormatting>
  <conditionalFormatting sqref="Q82:Q89">
    <cfRule type="iconSet" priority="109">
      <iconSet iconSet="3Symbols2" showValue="0">
        <cfvo type="percent" val="0"/>
        <cfvo type="num" val="0"/>
        <cfvo type="num" val="0"/>
      </iconSet>
    </cfRule>
  </conditionalFormatting>
  <conditionalFormatting sqref="R134:R1048576">
    <cfRule type="iconSet" priority="8812">
      <iconSet iconSet="3Symbols2" showValue="0">
        <cfvo type="percent" val="0"/>
        <cfvo type="num" val="0"/>
        <cfvo type="num" val="0"/>
      </iconSet>
    </cfRule>
  </conditionalFormatting>
  <conditionalFormatting sqref="S20:S27">
    <cfRule type="iconSet" priority="353">
      <iconSet iconSet="3Symbols2" showValue="0">
        <cfvo type="percent" val="0"/>
        <cfvo type="num" val="0"/>
        <cfvo type="num" val="0"/>
      </iconSet>
    </cfRule>
  </conditionalFormatting>
  <conditionalFormatting sqref="S62:S69">
    <cfRule type="iconSet" priority="186">
      <iconSet iconSet="3Symbols2" showValue="0">
        <cfvo type="percent" val="0"/>
        <cfvo type="num" val="0"/>
        <cfvo type="num" val="0"/>
      </iconSet>
    </cfRule>
  </conditionalFormatting>
  <conditionalFormatting sqref="S8:T8">
    <cfRule type="iconSet" priority="1962">
      <iconSet iconSet="3Symbols2" showValue="0">
        <cfvo type="percent" val="0"/>
        <cfvo type="num" val="0"/>
        <cfvo type="num" val="1"/>
      </iconSet>
    </cfRule>
  </conditionalFormatting>
  <conditionalFormatting sqref="S30:T37">
    <cfRule type="iconSet" priority="312">
      <iconSet iconSet="3Symbols2" showValue="0">
        <cfvo type="percent" val="0"/>
        <cfvo type="num" val="0"/>
        <cfvo type="num" val="0"/>
      </iconSet>
    </cfRule>
  </conditionalFormatting>
  <conditionalFormatting sqref="S40:T47">
    <cfRule type="iconSet" priority="275">
      <iconSet iconSet="3Symbols2" showValue="0">
        <cfvo type="percent" val="0"/>
        <cfvo type="num" val="0"/>
        <cfvo type="num" val="0"/>
      </iconSet>
    </cfRule>
  </conditionalFormatting>
  <conditionalFormatting sqref="S50:T59">
    <cfRule type="iconSet" priority="231">
      <iconSet iconSet="3Symbols2" showValue="0">
        <cfvo type="percent" val="0"/>
        <cfvo type="num" val="0"/>
        <cfvo type="num" val="0"/>
      </iconSet>
    </cfRule>
  </conditionalFormatting>
  <conditionalFormatting sqref="S72:T79">
    <cfRule type="iconSet" priority="144">
      <iconSet iconSet="3Symbols2" showValue="0">
        <cfvo type="percent" val="0"/>
        <cfvo type="num" val="0"/>
        <cfvo type="num" val="0"/>
      </iconSet>
    </cfRule>
  </conditionalFormatting>
  <conditionalFormatting sqref="S82:T89">
    <cfRule type="iconSet" priority="107">
      <iconSet iconSet="3Symbols2" showValue="0">
        <cfvo type="percent" val="0"/>
        <cfvo type="num" val="0"/>
        <cfvo type="num" val="0"/>
      </iconSet>
    </cfRule>
  </conditionalFormatting>
  <conditionalFormatting sqref="S105:T107 S94:T102">
    <cfRule type="iconSet" priority="115641">
      <iconSet iconSet="3Symbols2" showValue="0">
        <cfvo type="percent" val="0"/>
        <cfvo type="num" val="0"/>
        <cfvo type="num" val="0"/>
      </iconSet>
    </cfRule>
  </conditionalFormatting>
  <conditionalFormatting sqref="S120:T121 S113:T117">
    <cfRule type="iconSet" priority="1670">
      <iconSet iconSet="3Symbols2" showValue="0">
        <cfvo type="percent" val="0"/>
        <cfvo type="num" val="0"/>
        <cfvo type="num" val="0"/>
      </iconSet>
    </cfRule>
  </conditionalFormatting>
  <conditionalFormatting sqref="S124:T132">
    <cfRule type="iconSet" priority="19">
      <iconSet iconSet="3Symbols2" showValue="0">
        <cfvo type="percent" val="0"/>
        <cfvo type="num" val="0"/>
        <cfvo type="num" val="0"/>
      </iconSet>
    </cfRule>
  </conditionalFormatting>
  <conditionalFormatting sqref="S125:T125">
    <cfRule type="iconSet" priority="25">
      <iconSet iconSet="3Symbols2" showValue="0">
        <cfvo type="percent" val="0"/>
        <cfvo type="num" val="0"/>
        <cfvo type="num" val="0"/>
      </iconSet>
    </cfRule>
  </conditionalFormatting>
  <conditionalFormatting sqref="S126:T126">
    <cfRule type="iconSet" priority="31">
      <iconSet iconSet="3Symbols2" showValue="0">
        <cfvo type="percent" val="0"/>
        <cfvo type="num" val="0"/>
        <cfvo type="num" val="0"/>
      </iconSet>
    </cfRule>
  </conditionalFormatting>
  <conditionalFormatting sqref="S127:T127">
    <cfRule type="iconSet" priority="37">
      <iconSet iconSet="3Symbols2" showValue="0">
        <cfvo type="percent" val="0"/>
        <cfvo type="num" val="0"/>
        <cfvo type="num" val="0"/>
      </iconSet>
    </cfRule>
  </conditionalFormatting>
  <conditionalFormatting sqref="S128:T128">
    <cfRule type="iconSet" priority="43">
      <iconSet iconSet="3Symbols2" showValue="0">
        <cfvo type="percent" val="0"/>
        <cfvo type="num" val="0"/>
        <cfvo type="num" val="0"/>
      </iconSet>
    </cfRule>
  </conditionalFormatting>
  <conditionalFormatting sqref="S129:T129">
    <cfRule type="iconSet" priority="49">
      <iconSet iconSet="3Symbols2" showValue="0">
        <cfvo type="percent" val="0"/>
        <cfvo type="num" val="0"/>
        <cfvo type="num" val="0"/>
      </iconSet>
    </cfRule>
  </conditionalFormatting>
  <conditionalFormatting sqref="S130:T130">
    <cfRule type="iconSet" priority="55">
      <iconSet iconSet="3Symbols2" showValue="0">
        <cfvo type="percent" val="0"/>
        <cfvo type="num" val="0"/>
        <cfvo type="num" val="0"/>
      </iconSet>
    </cfRule>
  </conditionalFormatting>
  <conditionalFormatting sqref="S131:T131">
    <cfRule type="iconSet" priority="13">
      <iconSet iconSet="3Symbols2" showValue="0">
        <cfvo type="percent" val="0"/>
        <cfvo type="num" val="0"/>
        <cfvo type="num" val="0"/>
      </iconSet>
    </cfRule>
  </conditionalFormatting>
  <conditionalFormatting sqref="S132:T132">
    <cfRule type="iconSet" priority="951">
      <iconSet iconSet="3Symbols2" showValue="0">
        <cfvo type="percent" val="0"/>
        <cfvo type="num" val="0"/>
        <cfvo type="num" val="0"/>
      </iconSet>
    </cfRule>
  </conditionalFormatting>
  <conditionalFormatting sqref="S134:T1048576">
    <cfRule type="iconSet" priority="8826">
      <iconSet iconSet="3Symbols2" showValue="0">
        <cfvo type="percent" val="0"/>
        <cfvo type="num" val="0"/>
        <cfvo type="num" val="0"/>
      </iconSet>
    </cfRule>
  </conditionalFormatting>
  <conditionalFormatting sqref="S7:V7">
    <cfRule type="iconSet" priority="1156">
      <iconSet iconSet="3Symbols2" showValue="0">
        <cfvo type="percent" val="0"/>
        <cfvo type="num" val="0"/>
        <cfvo type="num" val="1"/>
      </iconSet>
    </cfRule>
  </conditionalFormatting>
  <conditionalFormatting sqref="U20:U27">
    <cfRule type="iconSet" priority="61">
      <iconSet iconSet="3Symbols2" showValue="0">
        <cfvo type="percent" val="0"/>
        <cfvo type="num" val="0"/>
        <cfvo type="num" val="0"/>
      </iconSet>
    </cfRule>
  </conditionalFormatting>
  <conditionalFormatting sqref="U30:U37">
    <cfRule type="iconSet" priority="60">
      <iconSet iconSet="3Symbols2" showValue="0">
        <cfvo type="percent" val="0"/>
        <cfvo type="num" val="0"/>
        <cfvo type="num" val="0"/>
      </iconSet>
    </cfRule>
  </conditionalFormatting>
  <conditionalFormatting sqref="U40:U47">
    <cfRule type="iconSet" priority="274">
      <iconSet iconSet="3Symbols2" showValue="0">
        <cfvo type="percent" val="0"/>
        <cfvo type="num" val="0"/>
        <cfvo type="num" val="0"/>
      </iconSet>
    </cfRule>
  </conditionalFormatting>
  <conditionalFormatting sqref="U50:U59">
    <cfRule type="iconSet" priority="230">
      <iconSet iconSet="3Symbols2" showValue="0">
        <cfvo type="percent" val="0"/>
        <cfvo type="num" val="0"/>
        <cfvo type="num" val="0"/>
      </iconSet>
    </cfRule>
  </conditionalFormatting>
  <conditionalFormatting sqref="U62:U69">
    <cfRule type="iconSet" priority="185">
      <iconSet iconSet="3Symbols2" showValue="0">
        <cfvo type="percent" val="0"/>
        <cfvo type="num" val="0"/>
        <cfvo type="num" val="0"/>
      </iconSet>
    </cfRule>
  </conditionalFormatting>
  <conditionalFormatting sqref="U8:V8">
    <cfRule type="iconSet" priority="1914">
      <iconSet iconSet="3Symbols2" showValue="0">
        <cfvo type="percent" val="0"/>
        <cfvo type="num" val="0"/>
        <cfvo type="num" val="1"/>
      </iconSet>
    </cfRule>
  </conditionalFormatting>
  <conditionalFormatting sqref="U72:V79">
    <cfRule type="iconSet" priority="143">
      <iconSet iconSet="3Symbols2" showValue="0">
        <cfvo type="percent" val="0"/>
        <cfvo type="num" val="0"/>
        <cfvo type="num" val="0"/>
      </iconSet>
    </cfRule>
  </conditionalFormatting>
  <conditionalFormatting sqref="U82:V89">
    <cfRule type="iconSet" priority="106">
      <iconSet iconSet="3Symbols2" showValue="0">
        <cfvo type="percent" val="0"/>
        <cfvo type="num" val="0"/>
        <cfvo type="num" val="0"/>
      </iconSet>
    </cfRule>
  </conditionalFormatting>
  <conditionalFormatting sqref="U105:V107 U94:V102">
    <cfRule type="iconSet" priority="115646">
      <iconSet iconSet="3Symbols2" showValue="0">
        <cfvo type="percent" val="0"/>
        <cfvo type="num" val="0"/>
        <cfvo type="num" val="0"/>
      </iconSet>
    </cfRule>
  </conditionalFormatting>
  <conditionalFormatting sqref="U120:V121 U113:V117">
    <cfRule type="iconSet" priority="1671">
      <iconSet iconSet="3Symbols2" showValue="0">
        <cfvo type="percent" val="0"/>
        <cfvo type="num" val="0"/>
        <cfvo type="num" val="0"/>
      </iconSet>
    </cfRule>
  </conditionalFormatting>
  <conditionalFormatting sqref="U124:V132">
    <cfRule type="iconSet" priority="18">
      <iconSet iconSet="3Symbols2" showValue="0">
        <cfvo type="percent" val="0"/>
        <cfvo type="num" val="0"/>
        <cfvo type="num" val="0"/>
      </iconSet>
    </cfRule>
  </conditionalFormatting>
  <conditionalFormatting sqref="U125:V125">
    <cfRule type="iconSet" priority="24">
      <iconSet iconSet="3Symbols2" showValue="0">
        <cfvo type="percent" val="0"/>
        <cfvo type="num" val="0"/>
        <cfvo type="num" val="0"/>
      </iconSet>
    </cfRule>
  </conditionalFormatting>
  <conditionalFormatting sqref="U126:V126">
    <cfRule type="iconSet" priority="30">
      <iconSet iconSet="3Symbols2" showValue="0">
        <cfvo type="percent" val="0"/>
        <cfvo type="num" val="0"/>
        <cfvo type="num" val="0"/>
      </iconSet>
    </cfRule>
  </conditionalFormatting>
  <conditionalFormatting sqref="U127:V127">
    <cfRule type="iconSet" priority="36">
      <iconSet iconSet="3Symbols2" showValue="0">
        <cfvo type="percent" val="0"/>
        <cfvo type="num" val="0"/>
        <cfvo type="num" val="0"/>
      </iconSet>
    </cfRule>
  </conditionalFormatting>
  <conditionalFormatting sqref="U128:V128">
    <cfRule type="iconSet" priority="42">
      <iconSet iconSet="3Symbols2" showValue="0">
        <cfvo type="percent" val="0"/>
        <cfvo type="num" val="0"/>
        <cfvo type="num" val="0"/>
      </iconSet>
    </cfRule>
  </conditionalFormatting>
  <conditionalFormatting sqref="U129:V129">
    <cfRule type="iconSet" priority="48">
      <iconSet iconSet="3Symbols2" showValue="0">
        <cfvo type="percent" val="0"/>
        <cfvo type="num" val="0"/>
        <cfvo type="num" val="0"/>
      </iconSet>
    </cfRule>
  </conditionalFormatting>
  <conditionalFormatting sqref="U130:V130">
    <cfRule type="iconSet" priority="54">
      <iconSet iconSet="3Symbols2" showValue="0">
        <cfvo type="percent" val="0"/>
        <cfvo type="num" val="0"/>
        <cfvo type="num" val="0"/>
      </iconSet>
    </cfRule>
  </conditionalFormatting>
  <conditionalFormatting sqref="U131:V131">
    <cfRule type="iconSet" priority="12">
      <iconSet iconSet="3Symbols2" showValue="0">
        <cfvo type="percent" val="0"/>
        <cfvo type="num" val="0"/>
        <cfvo type="num" val="0"/>
      </iconSet>
    </cfRule>
  </conditionalFormatting>
  <conditionalFormatting sqref="U132:V132">
    <cfRule type="iconSet" priority="950">
      <iconSet iconSet="3Symbols2" showValue="0">
        <cfvo type="percent" val="0"/>
        <cfvo type="num" val="0"/>
        <cfvo type="num" val="0"/>
      </iconSet>
    </cfRule>
  </conditionalFormatting>
  <conditionalFormatting sqref="U134:V1048576">
    <cfRule type="iconSet" priority="8828">
      <iconSet iconSet="3Symbols2" showValue="0">
        <cfvo type="percent" val="0"/>
        <cfvo type="num" val="0"/>
        <cfvo type="num" val="0"/>
      </iconSet>
    </cfRule>
  </conditionalFormatting>
  <conditionalFormatting sqref="V20:V27">
    <cfRule type="iconSet" priority="351">
      <iconSet iconSet="3Symbols2" showValue="0">
        <cfvo type="percent" val="0"/>
        <cfvo type="num" val="0"/>
        <cfvo type="num" val="0"/>
      </iconSet>
    </cfRule>
  </conditionalFormatting>
  <conditionalFormatting sqref="V30:V37">
    <cfRule type="iconSet" priority="311">
      <iconSet iconSet="3Symbols2" showValue="0">
        <cfvo type="percent" val="0"/>
        <cfvo type="num" val="0"/>
        <cfvo type="num" val="0"/>
      </iconSet>
    </cfRule>
  </conditionalFormatting>
  <conditionalFormatting sqref="V40:V47">
    <cfRule type="iconSet" priority="59">
      <iconSet iconSet="3Symbols2" showValue="0">
        <cfvo type="percent" val="0"/>
        <cfvo type="num" val="0"/>
        <cfvo type="num" val="0"/>
      </iconSet>
    </cfRule>
  </conditionalFormatting>
  <conditionalFormatting sqref="V50:V59">
    <cfRule type="iconSet" priority="229">
      <iconSet iconSet="3Symbols2" showValue="0">
        <cfvo type="percent" val="0"/>
        <cfvo type="num" val="0"/>
        <cfvo type="num" val="0"/>
      </iconSet>
    </cfRule>
  </conditionalFormatting>
  <conditionalFormatting sqref="V62:V69">
    <cfRule type="iconSet" priority="184">
      <iconSet iconSet="3Symbols2" showValue="0">
        <cfvo type="percent" val="0"/>
        <cfvo type="num" val="0"/>
        <cfvo type="num" val="0"/>
      </iconSet>
    </cfRule>
  </conditionalFormatting>
  <conditionalFormatting sqref="K7:K8 M7:Q8">
    <cfRule type="iconSet" priority="153470">
      <iconSet iconSet="3Symbols2" showValue="0">
        <cfvo type="percent" val="0"/>
        <cfvo type="num" val="0"/>
        <cfvo type="num" val="1"/>
      </iconSet>
    </cfRule>
  </conditionalFormatting>
  <conditionalFormatting sqref="Q30:Q37">
    <cfRule type="iconSet" priority="153473">
      <iconSet iconSet="3Symbols2" showValue="0">
        <cfvo type="percent" val="0"/>
        <cfvo type="num" val="0"/>
        <cfvo type="num" val="0"/>
      </iconSet>
    </cfRule>
  </conditionalFormatting>
  <conditionalFormatting sqref="P50:P59">
    <cfRule type="iconSet" priority="153474">
      <iconSet iconSet="3Symbols2" showValue="0">
        <cfvo type="percent" val="0"/>
        <cfvo type="num" val="0"/>
        <cfvo type="num" val="0"/>
      </iconSet>
    </cfRule>
  </conditionalFormatting>
  <conditionalFormatting sqref="N120:N121">
    <cfRule type="iconSet" priority="153475">
      <iconSet iconSet="3Symbols2" showValue="0">
        <cfvo type="percent" val="0"/>
        <cfvo type="num" val="0"/>
        <cfvo type="num" val="0"/>
      </iconSet>
    </cfRule>
  </conditionalFormatting>
  <conditionalFormatting sqref="M134:Q1048576">
    <cfRule type="iconSet" priority="153476">
      <iconSet iconSet="3Symbols2" showValue="0">
        <cfvo type="percent" val="0"/>
        <cfvo type="num" val="0"/>
        <cfvo type="num" val="0"/>
      </iconSet>
    </cfRule>
  </conditionalFormatting>
  <conditionalFormatting sqref="O50:O59">
    <cfRule type="iconSet" priority="4">
      <iconSet iconSet="3Symbols2" showValue="0">
        <cfvo type="percent" val="0"/>
        <cfvo type="num" val="0"/>
        <cfvo type="num" val="0"/>
      </iconSet>
    </cfRule>
  </conditionalFormatting>
  <conditionalFormatting sqref="P62:P69">
    <cfRule type="iconSet" priority="3">
      <iconSet iconSet="3Symbols2" showValue="0">
        <cfvo type="percent" val="0"/>
        <cfvo type="num" val="0"/>
        <cfvo type="num" val="0"/>
      </iconSet>
    </cfRule>
  </conditionalFormatting>
  <conditionalFormatting sqref="P72:P79">
    <cfRule type="iconSet" priority="2">
      <iconSet iconSet="3Symbols2" showValue="0">
        <cfvo type="percent" val="0"/>
        <cfvo type="num" val="0"/>
        <cfvo type="num" val="0"/>
      </iconSet>
    </cfRule>
  </conditionalFormatting>
  <conditionalFormatting sqref="P82:P89">
    <cfRule type="iconSet" priority="1">
      <iconSet iconSet="3Symbols2" showValue="0">
        <cfvo type="percent" val="0"/>
        <cfvo type="num" val="0"/>
        <cfvo type="num" val="0"/>
      </iconSet>
    </cfRule>
  </conditionalFormatting>
  <conditionalFormatting sqref="K12:K17">
    <cfRule type="iconSet" priority="157976">
      <iconSet iconSet="3Symbols2" showValue="0">
        <cfvo type="percent" val="0"/>
        <cfvo type="num" val="0"/>
        <cfvo type="num" val="0"/>
      </iconSet>
    </cfRule>
  </conditionalFormatting>
  <conditionalFormatting sqref="N12:N17">
    <cfRule type="iconSet" priority="157978">
      <iconSet iconSet="3Symbols2" showValue="0">
        <cfvo type="percent" val="0"/>
        <cfvo type="num" val="0"/>
        <cfvo type="num" val="0"/>
      </iconSet>
    </cfRule>
  </conditionalFormatting>
  <conditionalFormatting sqref="S12:T17">
    <cfRule type="iconSet" priority="157980">
      <iconSet iconSet="3Symbols2" showValue="0">
        <cfvo type="percent" val="0"/>
        <cfvo type="num" val="0"/>
        <cfvo type="num" val="0"/>
      </iconSet>
    </cfRule>
  </conditionalFormatting>
  <conditionalFormatting sqref="U12:U17">
    <cfRule type="iconSet" priority="157982">
      <iconSet iconSet="3Symbols2" showValue="0">
        <cfvo type="percent" val="0"/>
        <cfvo type="num" val="0"/>
        <cfvo type="num" val="0"/>
      </iconSet>
    </cfRule>
  </conditionalFormatting>
  <conditionalFormatting sqref="V12:V17">
    <cfRule type="iconSet" priority="157984">
      <iconSet iconSet="3Symbols2" showValue="0">
        <cfvo type="percent" val="0"/>
        <cfvo type="num" val="0"/>
        <cfvo type="num" val="0"/>
      </iconSet>
    </cfRule>
  </conditionalFormatting>
  <conditionalFormatting sqref="O12:Q17">
    <cfRule type="iconSet" priority="157986">
      <iconSet iconSet="3Symbols2" showValue="0">
        <cfvo type="percent" val="0"/>
        <cfvo type="num" val="0"/>
        <cfvo type="num" val="0"/>
      </iconSet>
    </cfRule>
  </conditionalFormatting>
  <pageMargins left="0.7" right="0.7" top="0.75" bottom="0.75" header="0.3" footer="0.3"/>
  <pageSetup scale="6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0FDAC8D8-9780-43F5-B1FC-91F4BCCE796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</xm:sqref>
        </x14:conditionalFormatting>
        <x14:conditionalFormatting xmlns:xm="http://schemas.microsoft.com/office/excel/2006/main">
          <x14:cfRule type="iconSet" priority="912" id="{D7907EE4-AA16-44C5-9D7F-1D491E3C99B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K3</xm:sqref>
        </x14:conditionalFormatting>
        <x14:conditionalFormatting xmlns:xm="http://schemas.microsoft.com/office/excel/2006/main">
          <x14:cfRule type="iconSet" priority="62" id="{8E5DE60D-FF16-46BA-BA91-E2350711A5F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K92:L92</xm:sqref>
        </x14:conditionalFormatting>
        <x14:conditionalFormatting xmlns:xm="http://schemas.microsoft.com/office/excel/2006/main">
          <x14:cfRule type="iconSet" priority="775" id="{B64CD747-B6B0-4954-98CB-EB5F0D2F0A6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K133:L133 K122:L123 K118:L119 K90:L90 K48:L49 K18:L19 K28:K29 K38:L39 K60:L61 K70:L71 K80:L81 K103:L104 K10:L11 K110:L112 K108:L108 K93:L93</xm:sqref>
        </x14:conditionalFormatting>
        <x14:conditionalFormatting xmlns:xm="http://schemas.microsoft.com/office/excel/2006/main">
          <x14:cfRule type="iconSet" priority="6" id="{925B0904-B6F3-48E7-8D72-D3DE515C543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L20:L37</xm:sqref>
        </x14:conditionalFormatting>
        <x14:conditionalFormatting xmlns:xm="http://schemas.microsoft.com/office/excel/2006/main">
          <x14:cfRule type="iconSet" priority="5" id="{9A481EED-5205-4AEC-AA87-0FCB56246F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L40:L47</xm:sqref>
        </x14:conditionalFormatting>
        <x14:conditionalFormatting xmlns:xm="http://schemas.microsoft.com/office/excel/2006/main">
          <x14:cfRule type="iconSet" priority="236" id="{9CAD7A54-785B-4A30-8F12-2D568822A37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L50:L59</xm:sqref>
        </x14:conditionalFormatting>
        <x14:conditionalFormatting xmlns:xm="http://schemas.microsoft.com/office/excel/2006/main">
          <x14:cfRule type="iconSet" priority="192" id="{CAFC1DB0-E9AF-49D4-97A1-FC4AE39B45C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L62:L69</xm:sqref>
        </x14:conditionalFormatting>
        <x14:conditionalFormatting xmlns:xm="http://schemas.microsoft.com/office/excel/2006/main">
          <x14:cfRule type="iconSet" priority="151" id="{35DE16F8-BC98-4584-BF52-B89CB63B3D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L72:L79</xm:sqref>
        </x14:conditionalFormatting>
        <x14:conditionalFormatting xmlns:xm="http://schemas.microsoft.com/office/excel/2006/main">
          <x14:cfRule type="iconSet" priority="113" id="{EC60734B-0480-46FB-A31B-D13B58E9B30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L82:L89</xm:sqref>
        </x14:conditionalFormatting>
        <x14:conditionalFormatting xmlns:xm="http://schemas.microsoft.com/office/excel/2006/main">
          <x14:cfRule type="iconSet" priority="909" id="{D0F60FD0-C782-47B1-98BE-737BEC4B233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L134:L1048576 L7:L8 L120:L121 L113:L117 L105:L107 L94:L102 L124:L132</xm:sqref>
        </x14:conditionalFormatting>
        <x14:conditionalFormatting xmlns:xm="http://schemas.microsoft.com/office/excel/2006/main">
          <x14:cfRule type="iconSet" priority="358" id="{C5059C42-B78F-45B4-B2EB-E2F5896E61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M20:M27</xm:sqref>
        </x14:conditionalFormatting>
        <x14:conditionalFormatting xmlns:xm="http://schemas.microsoft.com/office/excel/2006/main">
          <x14:cfRule type="iconSet" priority="317" id="{32F27614-F2B0-431B-BC24-80421A61F79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M30:M37</xm:sqref>
        </x14:conditionalFormatting>
        <x14:conditionalFormatting xmlns:xm="http://schemas.microsoft.com/office/excel/2006/main">
          <x14:cfRule type="iconSet" priority="280" id="{191F6B52-7BE2-4033-A74F-AB2BF35C55C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M40:M47</xm:sqref>
        </x14:conditionalFormatting>
        <x14:conditionalFormatting xmlns:xm="http://schemas.microsoft.com/office/excel/2006/main">
          <x14:cfRule type="iconSet" priority="235" id="{B738BF24-EF39-4DA0-A571-0AD32E08AF4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M50:M59</xm:sqref>
        </x14:conditionalFormatting>
        <x14:conditionalFormatting xmlns:xm="http://schemas.microsoft.com/office/excel/2006/main">
          <x14:cfRule type="iconSet" priority="191" id="{C739879D-3140-4583-A0CD-64D9CE9E02C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M62:M69</xm:sqref>
        </x14:conditionalFormatting>
        <x14:conditionalFormatting xmlns:xm="http://schemas.microsoft.com/office/excel/2006/main">
          <x14:cfRule type="iconSet" priority="150" id="{924C42BA-502C-4225-BA20-C70901D8068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M72:M79</xm:sqref>
        </x14:conditionalFormatting>
        <x14:conditionalFormatting xmlns:xm="http://schemas.microsoft.com/office/excel/2006/main">
          <x14:cfRule type="iconSet" priority="112" id="{68BF2477-C0C9-435D-9885-D31F8C4F93B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M82:M89</xm:sqref>
        </x14:conditionalFormatting>
        <x14:conditionalFormatting xmlns:xm="http://schemas.microsoft.com/office/excel/2006/main">
          <x14:cfRule type="iconSet" priority="900" id="{028DEF86-4834-49F4-B3E7-251FFC0141B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M105:M107 M120:M121 M113:M117 M94:M102 M124:M132</xm:sqref>
        </x14:conditionalFormatting>
        <x14:conditionalFormatting xmlns:xm="http://schemas.microsoft.com/office/excel/2006/main">
          <x14:cfRule type="iconSet" priority="354" id="{3EDFEC7F-FF70-4A5B-B491-AFE81D24187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R20:R27</xm:sqref>
        </x14:conditionalFormatting>
        <x14:conditionalFormatting xmlns:xm="http://schemas.microsoft.com/office/excel/2006/main">
          <x14:cfRule type="iconSet" priority="313" id="{EC618B19-303A-4FFC-A1B1-93343F5C1DB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R30:R37</xm:sqref>
        </x14:conditionalFormatting>
        <x14:conditionalFormatting xmlns:xm="http://schemas.microsoft.com/office/excel/2006/main">
          <x14:cfRule type="iconSet" priority="276" id="{5DE72D93-BCC1-49F0-8500-9FB3A15C205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R40:R47</xm:sqref>
        </x14:conditionalFormatting>
        <x14:conditionalFormatting xmlns:xm="http://schemas.microsoft.com/office/excel/2006/main">
          <x14:cfRule type="iconSet" priority="232" id="{3F896F25-CD33-429A-8A15-7A57A44A6B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R50:R59</xm:sqref>
        </x14:conditionalFormatting>
        <x14:conditionalFormatting xmlns:xm="http://schemas.microsoft.com/office/excel/2006/main">
          <x14:cfRule type="iconSet" priority="187" id="{8E36AD86-B0C4-479B-8196-87E0B63D428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R62:R69</xm:sqref>
        </x14:conditionalFormatting>
        <x14:conditionalFormatting xmlns:xm="http://schemas.microsoft.com/office/excel/2006/main">
          <x14:cfRule type="iconSet" priority="145" id="{4F2A2B2D-52E1-4EF6-B037-02F0AC971E1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R72:R79</xm:sqref>
        </x14:conditionalFormatting>
        <x14:conditionalFormatting xmlns:xm="http://schemas.microsoft.com/office/excel/2006/main">
          <x14:cfRule type="iconSet" priority="108" id="{A0B1F3CB-0937-4FB1-9616-AFB41A80A3D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R82:R89</xm:sqref>
        </x14:conditionalFormatting>
        <x14:conditionalFormatting xmlns:xm="http://schemas.microsoft.com/office/excel/2006/main">
          <x14:cfRule type="iconSet" priority="899" id="{7F3528EC-CDF0-45BF-84DB-FF94B203CEC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R105:R107 R120:R121 R113:R117 R94:R102 R124:R132</xm:sqref>
        </x14:conditionalFormatting>
        <x14:conditionalFormatting xmlns:xm="http://schemas.microsoft.com/office/excel/2006/main">
          <x14:cfRule type="iconSet" priority="158017" id="{B698E5E6-EC63-40BB-B6A8-688A2A33170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L12:L17</xm:sqref>
        </x14:conditionalFormatting>
        <x14:conditionalFormatting xmlns:xm="http://schemas.microsoft.com/office/excel/2006/main">
          <x14:cfRule type="iconSet" priority="158019" id="{03917E2B-1637-4F31-B894-31EE59C8C66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M12:M17</xm:sqref>
        </x14:conditionalFormatting>
        <x14:conditionalFormatting xmlns:xm="http://schemas.microsoft.com/office/excel/2006/main">
          <x14:cfRule type="iconSet" priority="158021" id="{23EF0A0E-8805-4D75-9EF2-E2EBC395EF8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R12:R17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14720-7929-4C88-8158-409C6DEF3FF4}">
  <sheetPr codeName="Sheet10">
    <tabColor rgb="FF92D050"/>
  </sheetPr>
  <dimension ref="A1:P47"/>
  <sheetViews>
    <sheetView zoomScale="90" zoomScaleNormal="90" workbookViewId="0">
      <selection activeCell="D6" sqref="D6"/>
    </sheetView>
  </sheetViews>
  <sheetFormatPr defaultColWidth="9" defaultRowHeight="13.2"/>
  <cols>
    <col min="1" max="1" width="3.5546875" bestFit="1" customWidth="1"/>
    <col min="2" max="2" width="61.44140625" customWidth="1"/>
    <col min="3" max="6" width="6.5546875" customWidth="1"/>
    <col min="7" max="7" width="0.5546875" style="71" customWidth="1"/>
    <col min="8" max="11" width="5.5546875" bestFit="1" customWidth="1"/>
    <col min="12" max="12" width="0.5546875" style="71" customWidth="1"/>
    <col min="13" max="13" width="31.44140625" customWidth="1"/>
    <col min="14" max="14" width="16.5546875" customWidth="1"/>
    <col min="15" max="15" width="43.44140625" customWidth="1"/>
    <col min="16" max="16" width="49.5546875" bestFit="1" customWidth="1"/>
  </cols>
  <sheetData>
    <row r="1" spans="1:16">
      <c r="C1" s="636" t="s">
        <v>2915</v>
      </c>
      <c r="D1" s="636"/>
      <c r="E1" s="636"/>
      <c r="F1" s="636"/>
      <c r="G1" s="70"/>
      <c r="H1" s="636" t="s">
        <v>2916</v>
      </c>
      <c r="I1" s="636"/>
      <c r="J1" s="636"/>
      <c r="K1" s="636"/>
      <c r="L1" s="70"/>
    </row>
    <row r="2" spans="1:16">
      <c r="C2" t="s">
        <v>2917</v>
      </c>
      <c r="D2" t="s">
        <v>2918</v>
      </c>
      <c r="E2" t="s">
        <v>14</v>
      </c>
      <c r="F2" t="s">
        <v>141</v>
      </c>
      <c r="H2" t="s">
        <v>2917</v>
      </c>
      <c r="I2" t="s">
        <v>2918</v>
      </c>
      <c r="J2" t="s">
        <v>14</v>
      </c>
      <c r="K2" t="s">
        <v>141</v>
      </c>
    </row>
    <row r="3" spans="1:16">
      <c r="A3" s="48">
        <v>1</v>
      </c>
      <c r="B3" s="47" t="s">
        <v>49</v>
      </c>
    </row>
    <row r="4" spans="1:16">
      <c r="A4" s="46">
        <v>1</v>
      </c>
      <c r="B4" s="3" t="s">
        <v>51</v>
      </c>
      <c r="C4" t="s">
        <v>8</v>
      </c>
      <c r="D4" t="s">
        <v>9</v>
      </c>
      <c r="E4" t="s">
        <v>8</v>
      </c>
      <c r="F4" t="s">
        <v>8</v>
      </c>
      <c r="H4" t="s">
        <v>8</v>
      </c>
      <c r="I4" t="s">
        <v>9</v>
      </c>
      <c r="M4" t="s">
        <v>2919</v>
      </c>
      <c r="O4" t="s">
        <v>2920</v>
      </c>
      <c r="P4" t="s">
        <v>2921</v>
      </c>
    </row>
    <row r="5" spans="1:16">
      <c r="A5" s="46">
        <v>2</v>
      </c>
      <c r="B5" s="3" t="s">
        <v>53</v>
      </c>
      <c r="C5" t="s">
        <v>9</v>
      </c>
      <c r="D5" t="s">
        <v>10</v>
      </c>
      <c r="E5" t="s">
        <v>9</v>
      </c>
      <c r="F5" t="s">
        <v>9</v>
      </c>
      <c r="H5" t="s">
        <v>9</v>
      </c>
      <c r="I5" t="s">
        <v>10</v>
      </c>
      <c r="M5" t="s">
        <v>2922</v>
      </c>
      <c r="N5" t="s">
        <v>2923</v>
      </c>
      <c r="O5" t="s">
        <v>2924</v>
      </c>
      <c r="P5" t="s">
        <v>2925</v>
      </c>
    </row>
    <row r="6" spans="1:16">
      <c r="A6" s="46">
        <v>3</v>
      </c>
      <c r="B6" s="3" t="s">
        <v>55</v>
      </c>
      <c r="C6" t="s">
        <v>9</v>
      </c>
      <c r="D6" t="s">
        <v>11</v>
      </c>
      <c r="E6" t="s">
        <v>9</v>
      </c>
      <c r="F6" t="s">
        <v>9</v>
      </c>
      <c r="I6" t="s">
        <v>11</v>
      </c>
      <c r="M6" t="s">
        <v>2926</v>
      </c>
      <c r="N6" t="s">
        <v>2927</v>
      </c>
      <c r="O6" t="s">
        <v>2924</v>
      </c>
      <c r="P6" t="s">
        <v>2925</v>
      </c>
    </row>
    <row r="7" spans="1:16">
      <c r="A7" s="46">
        <v>4</v>
      </c>
      <c r="B7" s="3" t="s">
        <v>57</v>
      </c>
      <c r="C7" t="s">
        <v>10</v>
      </c>
      <c r="D7" t="s">
        <v>11</v>
      </c>
      <c r="E7" t="s">
        <v>10</v>
      </c>
      <c r="F7" t="s">
        <v>10</v>
      </c>
      <c r="I7" t="s">
        <v>11</v>
      </c>
      <c r="M7" t="s">
        <v>2928</v>
      </c>
      <c r="N7" t="s">
        <v>2929</v>
      </c>
      <c r="O7" t="s">
        <v>2924</v>
      </c>
      <c r="P7" t="s">
        <v>2925</v>
      </c>
    </row>
    <row r="8" spans="1:16">
      <c r="A8" s="46">
        <v>5</v>
      </c>
      <c r="B8" s="3" t="s">
        <v>59</v>
      </c>
      <c r="C8" t="s">
        <v>10</v>
      </c>
      <c r="D8" s="68" t="s">
        <v>2930</v>
      </c>
      <c r="E8" t="s">
        <v>10</v>
      </c>
      <c r="F8" t="s">
        <v>10</v>
      </c>
      <c r="I8" s="68" t="s">
        <v>2930</v>
      </c>
      <c r="M8" t="s">
        <v>2931</v>
      </c>
      <c r="N8" t="s">
        <v>2932</v>
      </c>
      <c r="O8" t="s">
        <v>2924</v>
      </c>
      <c r="P8" t="s">
        <v>2925</v>
      </c>
    </row>
    <row r="9" spans="1:16">
      <c r="A9" s="46">
        <v>6</v>
      </c>
      <c r="B9" s="3" t="s">
        <v>61</v>
      </c>
      <c r="C9" t="s">
        <v>11</v>
      </c>
      <c r="D9" s="68" t="s">
        <v>2930</v>
      </c>
      <c r="E9" t="s">
        <v>11</v>
      </c>
      <c r="F9" t="s">
        <v>11</v>
      </c>
      <c r="I9" s="68" t="s">
        <v>2930</v>
      </c>
      <c r="M9" t="s">
        <v>2933</v>
      </c>
      <c r="N9" t="s">
        <v>2934</v>
      </c>
      <c r="O9" t="s">
        <v>2924</v>
      </c>
      <c r="P9" t="s">
        <v>2925</v>
      </c>
    </row>
    <row r="10" spans="1:16" s="68" customFormat="1">
      <c r="A10" s="67">
        <v>7</v>
      </c>
      <c r="B10" s="62" t="s">
        <v>63</v>
      </c>
      <c r="C10" t="s">
        <v>11</v>
      </c>
      <c r="E10" t="s">
        <v>11</v>
      </c>
      <c r="F10" t="s">
        <v>11</v>
      </c>
      <c r="G10" s="72"/>
      <c r="L10" s="72"/>
    </row>
    <row r="11" spans="1:16" s="68" customFormat="1">
      <c r="A11" s="67">
        <v>8</v>
      </c>
      <c r="B11" s="62" t="s">
        <v>65</v>
      </c>
      <c r="C11" t="s">
        <v>11</v>
      </c>
      <c r="D11" s="68" t="s">
        <v>2935</v>
      </c>
      <c r="E11" t="s">
        <v>11</v>
      </c>
      <c r="F11" t="s">
        <v>11</v>
      </c>
      <c r="G11" s="72"/>
      <c r="I11" s="68" t="s">
        <v>2935</v>
      </c>
      <c r="L11" s="72"/>
      <c r="M11" s="68" t="s">
        <v>2936</v>
      </c>
      <c r="O11" s="68" t="s">
        <v>2937</v>
      </c>
    </row>
    <row r="12" spans="1:16" s="68" customFormat="1">
      <c r="A12" s="67">
        <v>9</v>
      </c>
      <c r="B12" s="62" t="s">
        <v>67</v>
      </c>
      <c r="C12" s="68" t="s">
        <v>2930</v>
      </c>
      <c r="D12" s="68" t="s">
        <v>2935</v>
      </c>
      <c r="E12" s="68" t="s">
        <v>2930</v>
      </c>
      <c r="F12" s="68" t="s">
        <v>2930</v>
      </c>
      <c r="G12" s="72"/>
      <c r="I12" s="68" t="s">
        <v>2935</v>
      </c>
      <c r="L12" s="72"/>
      <c r="M12" s="68" t="s">
        <v>2938</v>
      </c>
      <c r="O12" s="68" t="s">
        <v>2939</v>
      </c>
    </row>
    <row r="13" spans="1:16" s="68" customFormat="1" ht="12.6" customHeight="1">
      <c r="A13" s="67">
        <v>10</v>
      </c>
      <c r="B13" s="62" t="s">
        <v>69</v>
      </c>
      <c r="C13" s="68" t="s">
        <v>2930</v>
      </c>
      <c r="E13" s="68" t="s">
        <v>2930</v>
      </c>
      <c r="F13" s="68" t="s">
        <v>2930</v>
      </c>
      <c r="G13" s="72"/>
      <c r="L13" s="72"/>
    </row>
    <row r="14" spans="1:16">
      <c r="A14" s="44"/>
      <c r="B14" s="3"/>
    </row>
    <row r="15" spans="1:16">
      <c r="A15" s="48">
        <v>2</v>
      </c>
      <c r="B15" s="47" t="s">
        <v>71</v>
      </c>
    </row>
    <row r="16" spans="1:16">
      <c r="A16" s="46">
        <v>1</v>
      </c>
      <c r="B16" s="3" t="s">
        <v>73</v>
      </c>
      <c r="C16" t="s">
        <v>9</v>
      </c>
      <c r="D16" t="str">
        <f t="shared" ref="D16:F16" si="0">C16</f>
        <v>Q2</v>
      </c>
      <c r="E16" t="str">
        <f t="shared" si="0"/>
        <v>Q2</v>
      </c>
      <c r="F16" t="str">
        <f t="shared" si="0"/>
        <v>Q2</v>
      </c>
      <c r="H16" t="s">
        <v>9</v>
      </c>
      <c r="I16" t="str">
        <f t="shared" ref="I16:I19" si="1">H16</f>
        <v>Q2</v>
      </c>
      <c r="J16" t="str">
        <f t="shared" ref="J16:J19" si="2">I16</f>
        <v>Q2</v>
      </c>
      <c r="K16" t="str">
        <f t="shared" ref="K16:K19" si="3">J16</f>
        <v>Q2</v>
      </c>
    </row>
    <row r="17" spans="1:11">
      <c r="A17" s="46">
        <v>2</v>
      </c>
      <c r="B17" s="3" t="s">
        <v>75</v>
      </c>
      <c r="C17" t="s">
        <v>9</v>
      </c>
      <c r="D17" t="str">
        <f t="shared" ref="D17:F17" si="4">C17</f>
        <v>Q2</v>
      </c>
      <c r="E17" t="str">
        <f t="shared" si="4"/>
        <v>Q2</v>
      </c>
      <c r="F17" t="str">
        <f t="shared" si="4"/>
        <v>Q2</v>
      </c>
      <c r="H17" t="s">
        <v>9</v>
      </c>
      <c r="I17" t="str">
        <f t="shared" si="1"/>
        <v>Q2</v>
      </c>
      <c r="J17" t="str">
        <f t="shared" si="2"/>
        <v>Q2</v>
      </c>
      <c r="K17" t="str">
        <f t="shared" si="3"/>
        <v>Q2</v>
      </c>
    </row>
    <row r="18" spans="1:11">
      <c r="A18" s="46">
        <v>3</v>
      </c>
      <c r="B18" s="3" t="s">
        <v>77</v>
      </c>
      <c r="C18" t="s">
        <v>10</v>
      </c>
      <c r="D18" t="str">
        <f t="shared" ref="D18:F18" si="5">C18</f>
        <v>Q3</v>
      </c>
      <c r="E18" t="str">
        <f t="shared" si="5"/>
        <v>Q3</v>
      </c>
      <c r="F18" t="str">
        <f t="shared" si="5"/>
        <v>Q3</v>
      </c>
      <c r="H18" t="s">
        <v>10</v>
      </c>
      <c r="I18" t="str">
        <f t="shared" si="1"/>
        <v>Q3</v>
      </c>
      <c r="J18" t="str">
        <f t="shared" si="2"/>
        <v>Q3</v>
      </c>
      <c r="K18" t="str">
        <f t="shared" si="3"/>
        <v>Q3</v>
      </c>
    </row>
    <row r="19" spans="1:11">
      <c r="A19" s="46">
        <v>4</v>
      </c>
      <c r="B19" s="66" t="s">
        <v>79</v>
      </c>
      <c r="C19" t="s">
        <v>11</v>
      </c>
      <c r="D19" t="str">
        <f t="shared" ref="D19:F19" si="6">C19</f>
        <v>Q4</v>
      </c>
      <c r="E19" t="str">
        <f t="shared" si="6"/>
        <v>Q4</v>
      </c>
      <c r="F19" t="str">
        <f t="shared" si="6"/>
        <v>Q4</v>
      </c>
      <c r="H19" t="s">
        <v>11</v>
      </c>
      <c r="I19" t="str">
        <f t="shared" si="1"/>
        <v>Q4</v>
      </c>
      <c r="J19" t="str">
        <f t="shared" si="2"/>
        <v>Q4</v>
      </c>
      <c r="K19" t="str">
        <f t="shared" si="3"/>
        <v>Q4</v>
      </c>
    </row>
    <row r="20" spans="1:11">
      <c r="A20" s="58"/>
      <c r="B20" s="3"/>
    </row>
    <row r="21" spans="1:11">
      <c r="A21" s="58">
        <v>2.1</v>
      </c>
      <c r="B21" s="59" t="s">
        <v>2940</v>
      </c>
    </row>
    <row r="22" spans="1:11">
      <c r="A22" s="46">
        <v>1</v>
      </c>
      <c r="B22" s="3" t="s">
        <v>75</v>
      </c>
      <c r="D22" t="s">
        <v>10</v>
      </c>
      <c r="I22" t="s">
        <v>10</v>
      </c>
    </row>
    <row r="23" spans="1:11">
      <c r="A23" s="46">
        <v>2</v>
      </c>
      <c r="B23" s="3" t="s">
        <v>77</v>
      </c>
      <c r="D23" t="s">
        <v>11</v>
      </c>
      <c r="I23" t="s">
        <v>11</v>
      </c>
    </row>
    <row r="24" spans="1:11">
      <c r="A24" s="46"/>
      <c r="B24" s="3"/>
    </row>
    <row r="25" spans="1:11">
      <c r="A25" s="48">
        <v>3</v>
      </c>
      <c r="B25" s="47" t="s">
        <v>81</v>
      </c>
    </row>
    <row r="26" spans="1:11">
      <c r="A26" s="46">
        <v>1</v>
      </c>
      <c r="B26" s="3" t="s">
        <v>83</v>
      </c>
      <c r="C26" t="s">
        <v>8</v>
      </c>
      <c r="E26" t="s">
        <v>8</v>
      </c>
      <c r="F26" t="s">
        <v>8</v>
      </c>
    </row>
    <row r="27" spans="1:11">
      <c r="A27" s="46">
        <v>2</v>
      </c>
      <c r="B27" s="3" t="s">
        <v>85</v>
      </c>
      <c r="C27" t="s">
        <v>9</v>
      </c>
      <c r="E27" t="s">
        <v>9</v>
      </c>
      <c r="F27" t="s">
        <v>9</v>
      </c>
    </row>
    <row r="28" spans="1:11">
      <c r="A28" s="46">
        <v>3</v>
      </c>
      <c r="B28" s="3" t="s">
        <v>87</v>
      </c>
      <c r="C28" t="s">
        <v>10</v>
      </c>
      <c r="E28" t="s">
        <v>10</v>
      </c>
      <c r="F28" t="s">
        <v>10</v>
      </c>
    </row>
    <row r="29" spans="1:11">
      <c r="A29" s="46">
        <v>4</v>
      </c>
      <c r="B29" s="3" t="s">
        <v>89</v>
      </c>
      <c r="C29" t="s">
        <v>11</v>
      </c>
      <c r="E29" t="s">
        <v>11</v>
      </c>
      <c r="F29" t="s">
        <v>11</v>
      </c>
    </row>
    <row r="30" spans="1:11">
      <c r="A30" s="45"/>
      <c r="B30" s="3"/>
    </row>
    <row r="31" spans="1:11">
      <c r="A31" s="48">
        <v>4</v>
      </c>
      <c r="B31" s="47" t="s">
        <v>2941</v>
      </c>
    </row>
    <row r="32" spans="1:11">
      <c r="A32" s="46">
        <v>1</v>
      </c>
      <c r="B32" s="3" t="s">
        <v>2942</v>
      </c>
      <c r="C32" t="s">
        <v>10</v>
      </c>
      <c r="D32" t="str">
        <f t="shared" ref="D32:F32" si="7">C32</f>
        <v>Q3</v>
      </c>
      <c r="E32" t="str">
        <f t="shared" si="7"/>
        <v>Q3</v>
      </c>
      <c r="F32" t="str">
        <f t="shared" si="7"/>
        <v>Q3</v>
      </c>
      <c r="H32" t="s">
        <v>10</v>
      </c>
      <c r="I32" t="str">
        <f t="shared" ref="I32:I40" si="8">H32</f>
        <v>Q3</v>
      </c>
      <c r="J32" t="str">
        <f t="shared" ref="J32:J40" si="9">I32</f>
        <v>Q3</v>
      </c>
      <c r="K32" t="str">
        <f t="shared" ref="K32:K40" si="10">J32</f>
        <v>Q3</v>
      </c>
    </row>
    <row r="33" spans="1:11">
      <c r="A33" s="46">
        <v>2</v>
      </c>
      <c r="B33" s="3" t="s">
        <v>1066</v>
      </c>
      <c r="C33" t="s">
        <v>10</v>
      </c>
      <c r="D33" t="str">
        <f t="shared" ref="D33:F33" si="11">C33</f>
        <v>Q3</v>
      </c>
      <c r="E33" t="str">
        <f t="shared" si="11"/>
        <v>Q3</v>
      </c>
      <c r="F33" t="str">
        <f t="shared" si="11"/>
        <v>Q3</v>
      </c>
      <c r="H33" t="s">
        <v>10</v>
      </c>
      <c r="I33" t="str">
        <f t="shared" si="8"/>
        <v>Q3</v>
      </c>
      <c r="J33" t="str">
        <f t="shared" si="9"/>
        <v>Q3</v>
      </c>
      <c r="K33" t="str">
        <f t="shared" si="10"/>
        <v>Q3</v>
      </c>
    </row>
    <row r="34" spans="1:11">
      <c r="A34" s="46">
        <v>3</v>
      </c>
      <c r="B34" s="3" t="s">
        <v>2943</v>
      </c>
      <c r="C34" t="s">
        <v>11</v>
      </c>
      <c r="D34" t="str">
        <f t="shared" ref="D34:F34" si="12">C34</f>
        <v>Q4</v>
      </c>
      <c r="E34" t="str">
        <f t="shared" si="12"/>
        <v>Q4</v>
      </c>
      <c r="F34" t="str">
        <f t="shared" si="12"/>
        <v>Q4</v>
      </c>
      <c r="H34" t="s">
        <v>11</v>
      </c>
      <c r="I34" t="str">
        <f t="shared" si="8"/>
        <v>Q4</v>
      </c>
      <c r="J34" t="str">
        <f t="shared" si="9"/>
        <v>Q4</v>
      </c>
      <c r="K34" t="str">
        <f t="shared" si="10"/>
        <v>Q4</v>
      </c>
    </row>
    <row r="35" spans="1:11">
      <c r="A35" s="46">
        <v>4</v>
      </c>
      <c r="B35" s="3" t="s">
        <v>1094</v>
      </c>
      <c r="C35" t="s">
        <v>11</v>
      </c>
      <c r="D35" t="str">
        <f t="shared" ref="D35:F35" si="13">C35</f>
        <v>Q4</v>
      </c>
      <c r="E35" t="str">
        <f t="shared" si="13"/>
        <v>Q4</v>
      </c>
      <c r="F35" t="str">
        <f t="shared" si="13"/>
        <v>Q4</v>
      </c>
      <c r="H35" t="s">
        <v>11</v>
      </c>
      <c r="I35" t="str">
        <f t="shared" si="8"/>
        <v>Q4</v>
      </c>
      <c r="J35" t="str">
        <f t="shared" si="9"/>
        <v>Q4</v>
      </c>
      <c r="K35" t="str">
        <f t="shared" si="10"/>
        <v>Q4</v>
      </c>
    </row>
    <row r="36" spans="1:11" s="68" customFormat="1">
      <c r="A36" s="67">
        <v>5</v>
      </c>
      <c r="B36" s="62" t="s">
        <v>1096</v>
      </c>
      <c r="C36" s="68" t="s">
        <v>2930</v>
      </c>
      <c r="D36" s="68" t="str">
        <f t="shared" ref="D36:F36" si="14">C36</f>
        <v>24 Q1</v>
      </c>
      <c r="E36" s="68" t="str">
        <f t="shared" si="14"/>
        <v>24 Q1</v>
      </c>
      <c r="F36" s="68" t="str">
        <f t="shared" si="14"/>
        <v>24 Q1</v>
      </c>
      <c r="G36" s="72"/>
      <c r="H36" s="68" t="s">
        <v>2930</v>
      </c>
      <c r="I36" s="68" t="str">
        <f t="shared" si="8"/>
        <v>24 Q1</v>
      </c>
      <c r="J36" s="68" t="str">
        <f t="shared" si="9"/>
        <v>24 Q1</v>
      </c>
      <c r="K36" s="68" t="str">
        <f t="shared" si="10"/>
        <v>24 Q1</v>
      </c>
    </row>
    <row r="37" spans="1:11" s="68" customFormat="1">
      <c r="A37" s="67">
        <v>6</v>
      </c>
      <c r="B37" s="62" t="s">
        <v>1098</v>
      </c>
      <c r="C37" s="68" t="s">
        <v>2930</v>
      </c>
      <c r="D37" s="68" t="str">
        <f t="shared" ref="D37:F37" si="15">C37</f>
        <v>24 Q1</v>
      </c>
      <c r="E37" s="68" t="str">
        <f t="shared" si="15"/>
        <v>24 Q1</v>
      </c>
      <c r="F37" s="68" t="str">
        <f t="shared" si="15"/>
        <v>24 Q1</v>
      </c>
      <c r="G37" s="72"/>
      <c r="H37" s="68" t="s">
        <v>2930</v>
      </c>
      <c r="I37" s="68" t="str">
        <f t="shared" si="8"/>
        <v>24 Q1</v>
      </c>
      <c r="J37" s="68" t="str">
        <f t="shared" si="9"/>
        <v>24 Q1</v>
      </c>
      <c r="K37" s="68" t="str">
        <f t="shared" si="10"/>
        <v>24 Q1</v>
      </c>
    </row>
    <row r="38" spans="1:11" s="68" customFormat="1">
      <c r="A38" s="67">
        <v>7</v>
      </c>
      <c r="B38" s="62" t="s">
        <v>2944</v>
      </c>
      <c r="C38" s="68" t="s">
        <v>2935</v>
      </c>
      <c r="D38" s="68" t="str">
        <f t="shared" ref="D38:F38" si="16">C38</f>
        <v>24 Q2</v>
      </c>
      <c r="E38" s="68" t="str">
        <f t="shared" si="16"/>
        <v>24 Q2</v>
      </c>
      <c r="F38" s="68" t="str">
        <f t="shared" si="16"/>
        <v>24 Q2</v>
      </c>
      <c r="G38" s="72"/>
      <c r="H38" s="68" t="s">
        <v>2935</v>
      </c>
      <c r="I38" s="68" t="str">
        <f t="shared" si="8"/>
        <v>24 Q2</v>
      </c>
      <c r="J38" s="68" t="str">
        <f t="shared" si="9"/>
        <v>24 Q2</v>
      </c>
      <c r="K38" s="68" t="str">
        <f t="shared" si="10"/>
        <v>24 Q2</v>
      </c>
    </row>
    <row r="39" spans="1:11" s="68" customFormat="1">
      <c r="A39" s="67">
        <v>8</v>
      </c>
      <c r="B39" s="62" t="s">
        <v>1100</v>
      </c>
      <c r="C39" s="68" t="s">
        <v>2935</v>
      </c>
      <c r="D39" s="68" t="str">
        <f t="shared" ref="D39:F39" si="17">C39</f>
        <v>24 Q2</v>
      </c>
      <c r="E39" s="68" t="str">
        <f t="shared" si="17"/>
        <v>24 Q2</v>
      </c>
      <c r="F39" s="68" t="str">
        <f t="shared" si="17"/>
        <v>24 Q2</v>
      </c>
      <c r="G39" s="72"/>
      <c r="H39" s="68" t="s">
        <v>2935</v>
      </c>
      <c r="I39" s="68" t="str">
        <f t="shared" si="8"/>
        <v>24 Q2</v>
      </c>
      <c r="J39" s="68" t="str">
        <f t="shared" si="9"/>
        <v>24 Q2</v>
      </c>
      <c r="K39" s="68" t="str">
        <f t="shared" si="10"/>
        <v>24 Q2</v>
      </c>
    </row>
    <row r="40" spans="1:11" s="68" customFormat="1">
      <c r="A40" s="67">
        <v>9</v>
      </c>
      <c r="B40" s="62" t="s">
        <v>2945</v>
      </c>
      <c r="C40" s="68" t="s">
        <v>2935</v>
      </c>
      <c r="D40" s="68" t="str">
        <f t="shared" ref="D40:F40" si="18">C40</f>
        <v>24 Q2</v>
      </c>
      <c r="E40" s="68" t="str">
        <f t="shared" si="18"/>
        <v>24 Q2</v>
      </c>
      <c r="F40" s="68" t="str">
        <f t="shared" si="18"/>
        <v>24 Q2</v>
      </c>
      <c r="G40" s="72"/>
      <c r="H40" s="68" t="s">
        <v>2935</v>
      </c>
      <c r="I40" s="68" t="str">
        <f t="shared" si="8"/>
        <v>24 Q2</v>
      </c>
      <c r="J40" s="68" t="str">
        <f t="shared" si="9"/>
        <v>24 Q2</v>
      </c>
      <c r="K40" s="68" t="str">
        <f t="shared" si="10"/>
        <v>24 Q2</v>
      </c>
    </row>
    <row r="41" spans="1:11">
      <c r="A41" s="45"/>
      <c r="B41" s="3"/>
    </row>
    <row r="42" spans="1:11">
      <c r="A42" s="48">
        <v>5</v>
      </c>
      <c r="B42" s="47" t="s">
        <v>108</v>
      </c>
    </row>
    <row r="43" spans="1:11">
      <c r="A43" s="46">
        <v>1</v>
      </c>
      <c r="B43" s="3" t="s">
        <v>110</v>
      </c>
      <c r="C43" s="69" t="s">
        <v>10</v>
      </c>
      <c r="D43" s="69" t="str">
        <f t="shared" ref="D43:F43" si="19">C43</f>
        <v>Q3</v>
      </c>
      <c r="E43" s="69" t="str">
        <f t="shared" si="19"/>
        <v>Q3</v>
      </c>
      <c r="F43" s="69" t="str">
        <f t="shared" si="19"/>
        <v>Q3</v>
      </c>
      <c r="G43" s="73"/>
      <c r="H43" s="69" t="s">
        <v>9</v>
      </c>
      <c r="I43" s="69" t="str">
        <f t="shared" ref="I43:I47" si="20">H43</f>
        <v>Q2</v>
      </c>
      <c r="J43" s="69" t="str">
        <f t="shared" ref="J43:J47" si="21">I43</f>
        <v>Q2</v>
      </c>
      <c r="K43" s="69" t="str">
        <f t="shared" ref="K43:K47" si="22">J43</f>
        <v>Q2</v>
      </c>
    </row>
    <row r="44" spans="1:11">
      <c r="A44" s="46">
        <v>2</v>
      </c>
      <c r="B44" s="3" t="s">
        <v>112</v>
      </c>
      <c r="C44" s="68" t="s">
        <v>2930</v>
      </c>
      <c r="D44" s="69" t="str">
        <f t="shared" ref="D44:F44" si="23">C44</f>
        <v>24 Q1</v>
      </c>
      <c r="E44" s="69" t="str">
        <f t="shared" si="23"/>
        <v>24 Q1</v>
      </c>
      <c r="F44" s="69" t="str">
        <f t="shared" si="23"/>
        <v>24 Q1</v>
      </c>
      <c r="G44" s="73"/>
      <c r="H44" s="69" t="s">
        <v>10</v>
      </c>
      <c r="I44" s="69" t="str">
        <f t="shared" si="20"/>
        <v>Q3</v>
      </c>
      <c r="J44" s="69" t="str">
        <f t="shared" si="21"/>
        <v>Q3</v>
      </c>
      <c r="K44" s="69" t="str">
        <f t="shared" si="22"/>
        <v>Q3</v>
      </c>
    </row>
    <row r="45" spans="1:11">
      <c r="A45" s="46">
        <v>3</v>
      </c>
      <c r="B45" s="3" t="s">
        <v>114</v>
      </c>
      <c r="C45" s="68" t="s">
        <v>2935</v>
      </c>
      <c r="D45" s="69" t="str">
        <f t="shared" ref="D45:F45" si="24">C45</f>
        <v>24 Q2</v>
      </c>
      <c r="E45" s="69" t="str">
        <f t="shared" si="24"/>
        <v>24 Q2</v>
      </c>
      <c r="F45" s="69" t="str">
        <f t="shared" si="24"/>
        <v>24 Q2</v>
      </c>
      <c r="G45" s="73"/>
      <c r="H45" s="69" t="s">
        <v>10</v>
      </c>
      <c r="I45" s="69" t="str">
        <f t="shared" si="20"/>
        <v>Q3</v>
      </c>
      <c r="J45" s="69" t="str">
        <f t="shared" si="21"/>
        <v>Q3</v>
      </c>
      <c r="K45" s="69" t="str">
        <f t="shared" si="22"/>
        <v>Q3</v>
      </c>
    </row>
    <row r="46" spans="1:11">
      <c r="A46" s="46">
        <v>4</v>
      </c>
      <c r="B46" s="3" t="s">
        <v>116</v>
      </c>
      <c r="C46" s="68" t="s">
        <v>2946</v>
      </c>
      <c r="D46" s="69" t="str">
        <f t="shared" ref="D46:F46" si="25">C46</f>
        <v>24 Q3</v>
      </c>
      <c r="E46" s="69" t="str">
        <f t="shared" si="25"/>
        <v>24 Q3</v>
      </c>
      <c r="F46" s="69" t="str">
        <f t="shared" si="25"/>
        <v>24 Q3</v>
      </c>
      <c r="G46" s="73"/>
      <c r="H46" s="69" t="s">
        <v>11</v>
      </c>
      <c r="I46" s="69" t="str">
        <f t="shared" si="20"/>
        <v>Q4</v>
      </c>
      <c r="J46" s="69" t="str">
        <f t="shared" si="21"/>
        <v>Q4</v>
      </c>
      <c r="K46" s="69" t="str">
        <f t="shared" si="22"/>
        <v>Q4</v>
      </c>
    </row>
    <row r="47" spans="1:11">
      <c r="A47" s="46">
        <v>5</v>
      </c>
      <c r="B47" s="3" t="s">
        <v>118</v>
      </c>
      <c r="C47" s="68" t="s">
        <v>2930</v>
      </c>
      <c r="D47" s="68" t="str">
        <f t="shared" ref="D47:F47" si="26">C47</f>
        <v>24 Q1</v>
      </c>
      <c r="E47" s="68" t="str">
        <f t="shared" si="26"/>
        <v>24 Q1</v>
      </c>
      <c r="F47" s="68" t="str">
        <f t="shared" si="26"/>
        <v>24 Q1</v>
      </c>
      <c r="G47" s="72"/>
      <c r="H47" s="68" t="s">
        <v>2930</v>
      </c>
      <c r="I47" s="68" t="str">
        <f t="shared" si="20"/>
        <v>24 Q1</v>
      </c>
      <c r="J47" s="68" t="str">
        <f t="shared" si="21"/>
        <v>24 Q1</v>
      </c>
      <c r="K47" s="68" t="str">
        <f t="shared" si="22"/>
        <v>24 Q1</v>
      </c>
    </row>
  </sheetData>
  <mergeCells count="2">
    <mergeCell ref="C1:F1"/>
    <mergeCell ref="H1:K1"/>
  </mergeCells>
  <phoneticPr fontId="44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D3674-BC4D-4AAD-B75F-28241B0AEBF3}">
  <sheetPr codeName="Sheet2"/>
  <dimension ref="D2:P67"/>
  <sheetViews>
    <sheetView zoomScaleNormal="100" workbookViewId="0">
      <selection activeCell="J43" sqref="J43"/>
    </sheetView>
  </sheetViews>
  <sheetFormatPr defaultColWidth="8.44140625" defaultRowHeight="13.8"/>
  <cols>
    <col min="1" max="3" width="8.44140625" style="55"/>
    <col min="4" max="4" width="33.44140625" style="55" bestFit="1" customWidth="1"/>
    <col min="5" max="5" width="8.44140625" style="55" bestFit="1" customWidth="1"/>
    <col min="6" max="6" width="8.44140625" style="55"/>
    <col min="7" max="7" width="11" style="55" bestFit="1" customWidth="1"/>
    <col min="8" max="8" width="12" style="55" bestFit="1" customWidth="1"/>
    <col min="9" max="12" width="8.44140625" style="55"/>
    <col min="13" max="13" width="13.5546875" style="55" bestFit="1" customWidth="1"/>
    <col min="14" max="14" width="12" style="55" bestFit="1" customWidth="1"/>
    <col min="15" max="15" width="8.44140625" style="55"/>
    <col min="16" max="16" width="10.44140625" style="55" bestFit="1" customWidth="1"/>
    <col min="17" max="16384" width="8.44140625" style="55"/>
  </cols>
  <sheetData>
    <row r="2" spans="4:15">
      <c r="E2" s="56" t="s">
        <v>6</v>
      </c>
      <c r="F2" s="56" t="s">
        <v>13</v>
      </c>
      <c r="G2" s="56" t="s">
        <v>2947</v>
      </c>
      <c r="H2" s="56" t="s">
        <v>2868</v>
      </c>
    </row>
    <row r="4" spans="4:15">
      <c r="D4" s="55" t="s">
        <v>2</v>
      </c>
      <c r="E4" s="60">
        <f>SUM(E6:E20)</f>
        <v>457.8</v>
      </c>
      <c r="F4" s="60">
        <f t="shared" ref="F4:H4" si="0">SUM(F6:F20)</f>
        <v>206.31800000000001</v>
      </c>
      <c r="G4" s="60">
        <f t="shared" si="0"/>
        <v>81.791081978928403</v>
      </c>
      <c r="H4" s="60">
        <f t="shared" si="0"/>
        <v>4.0935699999999997</v>
      </c>
    </row>
    <row r="5" spans="4:15">
      <c r="E5" s="60"/>
      <c r="F5" s="60"/>
      <c r="G5" s="60"/>
      <c r="H5" s="60"/>
    </row>
    <row r="6" spans="4:15">
      <c r="E6" s="63"/>
      <c r="F6" s="60"/>
      <c r="G6" s="60"/>
      <c r="H6" s="60"/>
    </row>
    <row r="7" spans="4:15">
      <c r="D7" s="55" t="s">
        <v>2948</v>
      </c>
      <c r="E7" s="60">
        <v>81.8</v>
      </c>
      <c r="F7" s="60">
        <v>71.843999999999994</v>
      </c>
      <c r="G7" s="60">
        <v>5.516</v>
      </c>
      <c r="H7" s="60"/>
      <c r="M7" s="55" t="s">
        <v>2949</v>
      </c>
      <c r="N7" s="61">
        <v>1059284</v>
      </c>
      <c r="O7" s="55" t="s">
        <v>2950</v>
      </c>
    </row>
    <row r="8" spans="4:15" hidden="1">
      <c r="D8" s="55" t="s">
        <v>2951</v>
      </c>
      <c r="E8" s="64">
        <v>0</v>
      </c>
      <c r="F8" s="60">
        <v>0</v>
      </c>
      <c r="G8" s="60">
        <v>0</v>
      </c>
      <c r="H8" s="60">
        <v>0</v>
      </c>
      <c r="N8" s="61"/>
    </row>
    <row r="9" spans="4:15" hidden="1">
      <c r="D9" s="55" t="s">
        <v>2952</v>
      </c>
      <c r="E9" s="64">
        <v>0</v>
      </c>
      <c r="F9" s="60">
        <v>0</v>
      </c>
      <c r="G9" s="60">
        <v>0</v>
      </c>
      <c r="H9" s="60">
        <v>0</v>
      </c>
      <c r="N9" s="61"/>
    </row>
    <row r="10" spans="4:15" hidden="1">
      <c r="D10" s="55" t="s">
        <v>2953</v>
      </c>
      <c r="E10" s="64">
        <v>0</v>
      </c>
      <c r="F10" s="60">
        <v>0</v>
      </c>
      <c r="G10" s="60">
        <v>0</v>
      </c>
      <c r="H10" s="60">
        <v>0</v>
      </c>
      <c r="N10" s="61"/>
    </row>
    <row r="11" spans="4:15" hidden="1">
      <c r="D11" s="55" t="s">
        <v>2954</v>
      </c>
      <c r="E11" s="64">
        <v>0</v>
      </c>
      <c r="F11" s="60">
        <v>0</v>
      </c>
      <c r="G11" s="60">
        <v>0</v>
      </c>
      <c r="H11" s="60">
        <v>0</v>
      </c>
      <c r="N11" s="61"/>
    </row>
    <row r="12" spans="4:15" hidden="1">
      <c r="D12" s="55" t="s">
        <v>2955</v>
      </c>
      <c r="E12" s="64">
        <v>0</v>
      </c>
      <c r="F12" s="60">
        <v>0</v>
      </c>
      <c r="G12" s="60">
        <v>0</v>
      </c>
      <c r="H12" s="60">
        <v>0</v>
      </c>
      <c r="N12" s="61"/>
    </row>
    <row r="13" spans="4:15" hidden="1">
      <c r="D13" s="55" t="s">
        <v>2956</v>
      </c>
      <c r="E13" s="64">
        <v>0</v>
      </c>
      <c r="F13" s="60">
        <v>0</v>
      </c>
      <c r="G13" s="60">
        <v>0</v>
      </c>
      <c r="H13" s="60">
        <v>0</v>
      </c>
      <c r="N13" s="61"/>
    </row>
    <row r="14" spans="4:15" hidden="1">
      <c r="D14" s="55" t="s">
        <v>2957</v>
      </c>
      <c r="E14" s="64"/>
      <c r="F14" s="60">
        <v>0</v>
      </c>
      <c r="G14" s="60">
        <v>0</v>
      </c>
      <c r="H14" s="60">
        <v>0</v>
      </c>
      <c r="N14" s="61"/>
    </row>
    <row r="15" spans="4:15">
      <c r="D15" s="55" t="s">
        <v>2958</v>
      </c>
      <c r="E15" s="60">
        <v>192.77</v>
      </c>
      <c r="F15" s="60">
        <v>132.73400000000001</v>
      </c>
      <c r="G15" s="60">
        <v>28.58</v>
      </c>
      <c r="H15" s="60">
        <v>0.01</v>
      </c>
      <c r="M15" s="55" t="s">
        <v>2959</v>
      </c>
      <c r="N15" s="61">
        <v>201690.96599999999</v>
      </c>
      <c r="O15" s="55" t="s">
        <v>2950</v>
      </c>
    </row>
    <row r="16" spans="4:15" hidden="1">
      <c r="D16" s="55" t="s">
        <v>2960</v>
      </c>
      <c r="E16" s="63">
        <v>0</v>
      </c>
      <c r="F16" s="60">
        <v>0</v>
      </c>
      <c r="G16" s="60">
        <v>0</v>
      </c>
      <c r="H16" s="60">
        <v>0</v>
      </c>
      <c r="N16" s="61"/>
    </row>
    <row r="17" spans="4:16">
      <c r="D17" s="55" t="s">
        <v>81</v>
      </c>
      <c r="E17" s="65">
        <v>167.11</v>
      </c>
      <c r="F17" s="60"/>
      <c r="G17" s="60">
        <f>E17*N27</f>
        <v>35.086081978928405</v>
      </c>
      <c r="H17" s="60">
        <f>0.03%*E4</f>
        <v>0.13733999999999999</v>
      </c>
      <c r="M17" s="55" t="s">
        <v>2961</v>
      </c>
      <c r="N17" s="61">
        <v>160.52000000000001</v>
      </c>
    </row>
    <row r="18" spans="4:16">
      <c r="D18" s="57" t="s">
        <v>2962</v>
      </c>
      <c r="E18" s="60">
        <v>13.96</v>
      </c>
      <c r="F18" s="60">
        <v>1.74</v>
      </c>
      <c r="G18" s="60">
        <v>12.22</v>
      </c>
      <c r="H18" s="60">
        <v>1.1634</v>
      </c>
      <c r="M18" s="55" t="s">
        <v>2963</v>
      </c>
      <c r="N18" s="61">
        <v>63.61</v>
      </c>
      <c r="P18" s="61"/>
    </row>
    <row r="19" spans="4:16">
      <c r="D19" s="55" t="s">
        <v>108</v>
      </c>
      <c r="E19" s="60">
        <v>2.16</v>
      </c>
      <c r="F19" s="60"/>
      <c r="G19" s="60">
        <v>0.38900000000000001</v>
      </c>
      <c r="H19" s="60">
        <f>0.0164+1.4091+0.19853+1.1588</f>
        <v>2.7828300000000001</v>
      </c>
      <c r="M19" s="55" t="s">
        <v>2964</v>
      </c>
      <c r="N19" s="61">
        <v>4755</v>
      </c>
    </row>
    <row r="20" spans="4:16">
      <c r="E20" s="60"/>
      <c r="F20" s="60"/>
      <c r="G20" s="60"/>
      <c r="H20" s="60"/>
    </row>
    <row r="21" spans="4:16">
      <c r="E21" s="60"/>
      <c r="F21" s="60"/>
      <c r="G21" s="60"/>
      <c r="H21" s="60"/>
    </row>
    <row r="22" spans="4:16">
      <c r="D22" s="55" t="s">
        <v>2965</v>
      </c>
      <c r="E22" s="60"/>
      <c r="F22" s="60"/>
      <c r="G22" s="60"/>
      <c r="H22" s="60"/>
    </row>
    <row r="23" spans="4:16">
      <c r="E23" s="60">
        <f>E4*5%</f>
        <v>22.89</v>
      </c>
      <c r="F23" s="60">
        <f>F4*3%</f>
        <v>6.18954</v>
      </c>
      <c r="G23" s="60">
        <f>G4*2%</f>
        <v>1.6358216395785681</v>
      </c>
      <c r="H23" s="60">
        <f>H4*7%</f>
        <v>0.28654990000000002</v>
      </c>
      <c r="L23" s="55" t="s">
        <v>2966</v>
      </c>
    </row>
    <row r="24" spans="4:16">
      <c r="E24" s="60">
        <f>'Design Fee'!X5</f>
        <v>22.890000000000004</v>
      </c>
      <c r="F24" s="60">
        <f>'Design Fee'!BG5</f>
        <v>6.18954</v>
      </c>
      <c r="G24" s="60">
        <f>'Design Fee'!CP5</f>
        <v>1.6358216395785683</v>
      </c>
      <c r="H24" s="60">
        <f>'Design Fee'!DZ5</f>
        <v>0.28616490000000006</v>
      </c>
      <c r="M24" s="55" t="s">
        <v>13</v>
      </c>
      <c r="N24" s="55" t="s">
        <v>2947</v>
      </c>
      <c r="O24" s="55" t="s">
        <v>2868</v>
      </c>
    </row>
    <row r="25" spans="4:16">
      <c r="E25" s="60">
        <f>E23-E24</f>
        <v>0</v>
      </c>
      <c r="F25" s="60">
        <f>F23-F24</f>
        <v>0</v>
      </c>
      <c r="G25" s="60">
        <f>G23-G24</f>
        <v>0</v>
      </c>
      <c r="H25" s="60">
        <f>H23-H24</f>
        <v>3.849999999999687E-4</v>
      </c>
      <c r="L25" s="55" t="s">
        <v>2967</v>
      </c>
      <c r="M25" s="55">
        <v>0.40537547336013041</v>
      </c>
      <c r="N25" s="55">
        <v>0.68467614451174641</v>
      </c>
      <c r="O25" s="55">
        <v>0.18918614891909849</v>
      </c>
    </row>
    <row r="26" spans="4:16">
      <c r="L26" s="55" t="s">
        <v>2968</v>
      </c>
      <c r="M26" s="55">
        <v>0.24616034793780259</v>
      </c>
      <c r="N26" s="55">
        <v>0.68467614451174641</v>
      </c>
      <c r="O26" s="55">
        <v>0.12865421736665428</v>
      </c>
    </row>
    <row r="27" spans="4:16">
      <c r="L27" s="55" t="s">
        <v>2969</v>
      </c>
      <c r="N27" s="55">
        <v>0.20995800358403688</v>
      </c>
      <c r="O27" s="55">
        <v>2.4272470376831569E-3</v>
      </c>
    </row>
    <row r="30" spans="4:16">
      <c r="G30" s="61"/>
      <c r="H30" s="61"/>
    </row>
    <row r="60" spans="4:4">
      <c r="D60" s="571"/>
    </row>
    <row r="61" spans="4:4">
      <c r="D61" s="571"/>
    </row>
    <row r="66" spans="4:4">
      <c r="D66" s="571"/>
    </row>
    <row r="67" spans="4:4">
      <c r="D67" s="571"/>
    </row>
  </sheetData>
  <sheetProtection selectLockedCells="1" selectUnlockedCell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447-873D-4A56-8813-ECF3CAC65F96}">
  <sheetPr codeName="Sheet7">
    <outlinePr summaryBelow="0" summaryRight="0"/>
  </sheetPr>
  <dimension ref="A2:AK160"/>
  <sheetViews>
    <sheetView zoomScaleNormal="100" workbookViewId="0">
      <pane xSplit="5" ySplit="4" topLeftCell="G5" activePane="bottomRight" state="frozen"/>
      <selection pane="topRight" activeCell="F1" sqref="F1"/>
      <selection pane="bottomLeft" activeCell="A5" sqref="A5"/>
      <selection pane="bottomRight" activeCell="H169" sqref="H169"/>
    </sheetView>
  </sheetViews>
  <sheetFormatPr defaultColWidth="8.5546875" defaultRowHeight="13.2" outlineLevelRow="2"/>
  <cols>
    <col min="1" max="1" width="8.5546875" style="17"/>
    <col min="2" max="2" width="3.44140625" style="18" bestFit="1" customWidth="1"/>
    <col min="3" max="3" width="5.5546875" style="18" bestFit="1" customWidth="1"/>
    <col min="4" max="4" width="7" style="21" customWidth="1"/>
    <col min="5" max="5" width="50.44140625" style="17" bestFit="1" customWidth="1"/>
    <col min="6" max="6" width="0.5546875" style="17" customWidth="1"/>
    <col min="7" max="7" width="8.44140625" style="17" bestFit="1" customWidth="1"/>
    <col min="8" max="8" width="11.44140625" style="17" bestFit="1" customWidth="1"/>
    <col min="9" max="9" width="5.5546875" style="41" bestFit="1" customWidth="1"/>
    <col min="10" max="10" width="10" style="20" bestFit="1" customWidth="1"/>
    <col min="11" max="11" width="8" style="20" customWidth="1"/>
    <col min="12" max="12" width="10.44140625" style="20" bestFit="1" customWidth="1"/>
    <col min="13" max="24" width="10.44140625" style="20" customWidth="1"/>
    <col min="25" max="25" width="10.44140625" style="20" bestFit="1" customWidth="1"/>
    <col min="26" max="37" width="10.44140625" style="20" customWidth="1"/>
    <col min="38" max="16384" width="8.5546875" style="17"/>
  </cols>
  <sheetData>
    <row r="2" spans="1:37" s="1" customFormat="1" ht="12.75" customHeight="1">
      <c r="A2" s="22" t="s">
        <v>178</v>
      </c>
      <c r="B2" s="23"/>
      <c r="C2" s="24"/>
      <c r="D2" s="25"/>
      <c r="E2" s="23"/>
      <c r="F2" s="26"/>
      <c r="G2" s="640" t="s">
        <v>179</v>
      </c>
      <c r="H2" s="640" t="s">
        <v>180</v>
      </c>
      <c r="I2" s="641" t="s">
        <v>181</v>
      </c>
      <c r="J2" s="641" t="s">
        <v>2970</v>
      </c>
      <c r="K2" s="641"/>
      <c r="L2" s="642" t="s">
        <v>2971</v>
      </c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637" t="s">
        <v>2972</v>
      </c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</row>
    <row r="3" spans="1:37" s="1" customFormat="1" ht="3" customHeight="1">
      <c r="A3" s="22"/>
      <c r="B3" s="23"/>
      <c r="C3" s="24"/>
      <c r="D3" s="25"/>
      <c r="E3" s="23"/>
      <c r="F3" s="26"/>
      <c r="G3" s="640"/>
      <c r="H3" s="640"/>
      <c r="I3" s="641"/>
      <c r="J3" s="30"/>
      <c r="K3" s="31"/>
      <c r="L3" s="642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638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</row>
    <row r="4" spans="1:37" s="1" customFormat="1" ht="17.399999999999999">
      <c r="A4" s="32" t="s">
        <v>2867</v>
      </c>
      <c r="B4" s="33"/>
      <c r="C4" s="34"/>
      <c r="D4" s="35"/>
      <c r="E4" s="33"/>
      <c r="F4" s="26"/>
      <c r="G4" s="640"/>
      <c r="H4" s="640"/>
      <c r="I4" s="641"/>
      <c r="J4" s="54" t="s">
        <v>2973</v>
      </c>
      <c r="K4" s="6" t="s">
        <v>183</v>
      </c>
      <c r="L4" s="642"/>
      <c r="M4" s="49" t="s">
        <v>2974</v>
      </c>
      <c r="N4" s="49" t="s">
        <v>2975</v>
      </c>
      <c r="O4" s="49" t="s">
        <v>2976</v>
      </c>
      <c r="P4" s="49" t="s">
        <v>2977</v>
      </c>
      <c r="Q4" s="49" t="s">
        <v>2978</v>
      </c>
      <c r="R4" s="49" t="s">
        <v>2979</v>
      </c>
      <c r="S4" s="49" t="s">
        <v>2980</v>
      </c>
      <c r="T4" s="49" t="s">
        <v>2981</v>
      </c>
      <c r="U4" s="49" t="s">
        <v>2982</v>
      </c>
      <c r="V4" s="49" t="s">
        <v>2983</v>
      </c>
      <c r="W4" s="49" t="s">
        <v>2984</v>
      </c>
      <c r="X4" s="49" t="s">
        <v>2985</v>
      </c>
      <c r="Y4" s="639"/>
      <c r="Z4" s="49" t="s">
        <v>2974</v>
      </c>
      <c r="AA4" s="49" t="s">
        <v>2975</v>
      </c>
      <c r="AB4" s="49" t="s">
        <v>2976</v>
      </c>
      <c r="AC4" s="49" t="s">
        <v>2977</v>
      </c>
      <c r="AD4" s="49" t="s">
        <v>2978</v>
      </c>
      <c r="AE4" s="49" t="s">
        <v>2979</v>
      </c>
      <c r="AF4" s="49" t="s">
        <v>2980</v>
      </c>
      <c r="AG4" s="49" t="s">
        <v>2981</v>
      </c>
      <c r="AH4" s="49" t="s">
        <v>2982</v>
      </c>
      <c r="AI4" s="49" t="s">
        <v>2983</v>
      </c>
      <c r="AJ4" s="49" t="s">
        <v>2984</v>
      </c>
      <c r="AK4" s="49" t="s">
        <v>2985</v>
      </c>
    </row>
    <row r="5" spans="1:37" s="1" customFormat="1" ht="3" customHeight="1">
      <c r="A5" s="22"/>
      <c r="B5" s="23"/>
      <c r="C5" s="24"/>
      <c r="D5" s="25"/>
      <c r="E5" s="23"/>
      <c r="F5" s="26"/>
      <c r="G5" s="23"/>
      <c r="H5" s="27"/>
      <c r="I5" s="27"/>
      <c r="J5" s="28"/>
      <c r="K5" s="29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1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</row>
    <row r="6" spans="1:37" s="19" customFormat="1" collapsed="1">
      <c r="A6" s="22" t="s">
        <v>2986</v>
      </c>
      <c r="B6" s="8"/>
      <c r="C6" s="8"/>
      <c r="D6" s="7"/>
      <c r="E6" s="9"/>
      <c r="F6" s="9"/>
      <c r="G6" s="42" t="s">
        <v>179</v>
      </c>
      <c r="H6" s="42" t="s">
        <v>180</v>
      </c>
      <c r="I6" s="43" t="s">
        <v>181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 hidden="1" outlineLevel="1">
      <c r="A7" s="10"/>
      <c r="B7" s="8" t="s">
        <v>2868</v>
      </c>
      <c r="C7" s="11" t="s">
        <v>2987</v>
      </c>
      <c r="D7" s="7"/>
      <c r="E7" s="40" t="s">
        <v>2988</v>
      </c>
      <c r="F7" s="37"/>
      <c r="G7" s="8" t="s">
        <v>2989</v>
      </c>
      <c r="H7" s="5" t="str">
        <f>CONCATENATE(B7,"-",G7,"-",I7)</f>
        <v>LS-T01-4</v>
      </c>
      <c r="I7" s="38">
        <v>4</v>
      </c>
      <c r="J7" s="13">
        <v>1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</row>
    <row r="8" spans="1:37" ht="3" customHeight="1">
      <c r="A8" s="10"/>
      <c r="B8" s="8"/>
      <c r="C8" s="11"/>
      <c r="D8" s="7"/>
      <c r="E8" s="40"/>
      <c r="F8" s="37"/>
      <c r="G8" s="8"/>
      <c r="H8" s="5"/>
      <c r="I8" s="38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</row>
    <row r="9" spans="1:37" s="19" customFormat="1" collapsed="1">
      <c r="A9" s="22" t="s">
        <v>2990</v>
      </c>
      <c r="B9" s="8"/>
      <c r="C9" s="8"/>
      <c r="D9" s="7"/>
      <c r="E9" s="40"/>
      <c r="F9" s="9"/>
      <c r="G9" s="42" t="s">
        <v>179</v>
      </c>
      <c r="H9" s="42" t="s">
        <v>180</v>
      </c>
      <c r="I9" s="43" t="s">
        <v>181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</row>
    <row r="10" spans="1:37" hidden="1" outlineLevel="1">
      <c r="A10" s="10"/>
      <c r="B10" s="8" t="s">
        <v>2868</v>
      </c>
      <c r="C10" s="8" t="s">
        <v>2991</v>
      </c>
      <c r="D10" s="7"/>
      <c r="E10" s="40" t="s">
        <v>2992</v>
      </c>
      <c r="F10" s="37"/>
      <c r="G10" s="8" t="s">
        <v>2991</v>
      </c>
      <c r="H10" s="5" t="str">
        <f>CONCATENATE(B10,"-",G10,"-",I10)</f>
        <v>LS-T2V-4</v>
      </c>
      <c r="I10" s="38">
        <v>4</v>
      </c>
      <c r="J10" s="13">
        <v>1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</row>
    <row r="11" spans="1:37" ht="3" customHeight="1">
      <c r="A11" s="10"/>
      <c r="B11" s="8"/>
      <c r="C11" s="11"/>
      <c r="D11" s="7"/>
      <c r="E11" s="40"/>
      <c r="F11" s="37"/>
      <c r="G11" s="8"/>
      <c r="H11" s="5"/>
      <c r="I11" s="38"/>
      <c r="J11" s="12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</row>
    <row r="12" spans="1:37" s="19" customFormat="1" collapsed="1">
      <c r="A12" s="22" t="s">
        <v>2993</v>
      </c>
      <c r="B12" s="8"/>
      <c r="C12" s="8"/>
      <c r="D12" s="7"/>
      <c r="E12" s="40"/>
      <c r="F12" s="9"/>
      <c r="G12" s="42" t="s">
        <v>179</v>
      </c>
      <c r="H12" s="42" t="s">
        <v>180</v>
      </c>
      <c r="I12" s="43" t="s">
        <v>181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37" hidden="1" outlineLevel="1">
      <c r="A13" s="10"/>
      <c r="B13" s="8" t="s">
        <v>2868</v>
      </c>
      <c r="C13" s="11" t="s">
        <v>2994</v>
      </c>
      <c r="D13" s="7"/>
      <c r="E13" s="40" t="s">
        <v>2995</v>
      </c>
      <c r="F13" s="37"/>
      <c r="G13" s="11" t="s">
        <v>2994</v>
      </c>
      <c r="H13" s="5" t="str">
        <f>CONCATENATE(B13,"-",G13,"-",I13)</f>
        <v>LS-T2S-4</v>
      </c>
      <c r="I13" s="38">
        <v>4</v>
      </c>
      <c r="J13" s="13">
        <v>1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</row>
    <row r="14" spans="1:37" s="19" customFormat="1" hidden="1" outlineLevel="2">
      <c r="A14" s="14"/>
      <c r="B14" s="8" t="s">
        <v>2868</v>
      </c>
      <c r="C14" s="11" t="s">
        <v>2994</v>
      </c>
      <c r="D14" s="7"/>
      <c r="E14" s="40" t="s">
        <v>2996</v>
      </c>
      <c r="F14" s="37"/>
      <c r="G14" s="11" t="s">
        <v>2994</v>
      </c>
      <c r="H14" s="5" t="str">
        <f>CONCATENATE("LS-",G14,"-",I14)</f>
        <v>LS-T2S-4</v>
      </c>
      <c r="I14" s="38">
        <v>4</v>
      </c>
      <c r="J14" s="13">
        <v>1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</row>
    <row r="15" spans="1:37" s="19" customFormat="1" hidden="1" outlineLevel="2">
      <c r="A15" s="14"/>
      <c r="B15" s="8" t="s">
        <v>2868</v>
      </c>
      <c r="C15" s="11" t="s">
        <v>2994</v>
      </c>
      <c r="D15" s="7"/>
      <c r="E15" s="40" t="s">
        <v>2882</v>
      </c>
      <c r="F15" s="37"/>
      <c r="G15" s="11" t="s">
        <v>2994</v>
      </c>
      <c r="H15" s="5" t="str">
        <f t="shared" ref="H15:H23" si="0">CONCATENATE("LS-",G15,"-",I15)</f>
        <v>LS-T2S-4</v>
      </c>
      <c r="I15" s="38">
        <v>4</v>
      </c>
      <c r="J15" s="13">
        <v>1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</row>
    <row r="16" spans="1:37" s="19" customFormat="1" hidden="1" outlineLevel="2">
      <c r="A16" s="14"/>
      <c r="B16" s="8" t="s">
        <v>2868</v>
      </c>
      <c r="C16" s="11" t="s">
        <v>2994</v>
      </c>
      <c r="D16" s="7"/>
      <c r="E16" s="40" t="s">
        <v>2883</v>
      </c>
      <c r="F16" s="37"/>
      <c r="G16" s="11" t="s">
        <v>2994</v>
      </c>
      <c r="H16" s="5" t="str">
        <f t="shared" si="0"/>
        <v>LS-T2S-4</v>
      </c>
      <c r="I16" s="38">
        <v>4</v>
      </c>
      <c r="J16" s="13">
        <v>1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</row>
    <row r="17" spans="1:12" s="19" customFormat="1" hidden="1" outlineLevel="2">
      <c r="A17" s="14"/>
      <c r="B17" s="8" t="s">
        <v>2868</v>
      </c>
      <c r="C17" s="11" t="s">
        <v>2994</v>
      </c>
      <c r="D17" s="7"/>
      <c r="E17" s="40" t="s">
        <v>2997</v>
      </c>
      <c r="F17" s="37"/>
      <c r="G17" s="11" t="s">
        <v>2994</v>
      </c>
      <c r="H17" s="5" t="str">
        <f t="shared" si="0"/>
        <v>LS-T2S-4</v>
      </c>
      <c r="I17" s="38">
        <v>4</v>
      </c>
      <c r="J17" s="13">
        <v>1</v>
      </c>
      <c r="K17" s="13"/>
      <c r="L17" s="13"/>
    </row>
    <row r="18" spans="1:12" s="19" customFormat="1" hidden="1" outlineLevel="2">
      <c r="A18" s="14"/>
      <c r="B18" s="8" t="s">
        <v>2868</v>
      </c>
      <c r="C18" s="11" t="s">
        <v>2994</v>
      </c>
      <c r="D18" s="7"/>
      <c r="E18" s="40" t="s">
        <v>2998</v>
      </c>
      <c r="F18" s="37"/>
      <c r="G18" s="11" t="s">
        <v>2994</v>
      </c>
      <c r="H18" s="5" t="str">
        <f t="shared" si="0"/>
        <v>LS-T2S-4</v>
      </c>
      <c r="I18" s="38">
        <v>4</v>
      </c>
      <c r="J18" s="13">
        <v>1</v>
      </c>
      <c r="K18" s="13"/>
      <c r="L18" s="13"/>
    </row>
    <row r="19" spans="1:12" s="19" customFormat="1" hidden="1" outlineLevel="2">
      <c r="A19" s="14"/>
      <c r="B19" s="8" t="s">
        <v>2868</v>
      </c>
      <c r="C19" s="11" t="s">
        <v>2994</v>
      </c>
      <c r="D19" s="7"/>
      <c r="E19" s="40" t="s">
        <v>2888</v>
      </c>
      <c r="F19" s="37"/>
      <c r="G19" s="11" t="s">
        <v>2994</v>
      </c>
      <c r="H19" s="5" t="str">
        <f t="shared" si="0"/>
        <v>LS-T2S-4</v>
      </c>
      <c r="I19" s="38">
        <v>4</v>
      </c>
      <c r="J19" s="13">
        <v>1</v>
      </c>
      <c r="K19" s="13"/>
    </row>
    <row r="20" spans="1:12" s="19" customFormat="1" hidden="1" outlineLevel="2">
      <c r="A20" s="14"/>
      <c r="B20" s="8" t="s">
        <v>2868</v>
      </c>
      <c r="C20" s="11" t="s">
        <v>2994</v>
      </c>
      <c r="D20" s="7"/>
      <c r="E20" s="40" t="s">
        <v>2885</v>
      </c>
      <c r="F20" s="37"/>
      <c r="G20" s="11" t="s">
        <v>2994</v>
      </c>
      <c r="H20" s="5" t="str">
        <f t="shared" si="0"/>
        <v>LS-T2S-4</v>
      </c>
      <c r="I20" s="38">
        <v>4</v>
      </c>
      <c r="J20" s="13">
        <v>1</v>
      </c>
      <c r="K20" s="13"/>
    </row>
    <row r="21" spans="1:12" s="19" customFormat="1" hidden="1" outlineLevel="2">
      <c r="A21" s="14"/>
      <c r="B21" s="8" t="s">
        <v>2868</v>
      </c>
      <c r="C21" s="11" t="s">
        <v>2994</v>
      </c>
      <c r="D21" s="7"/>
      <c r="E21" s="40" t="s">
        <v>2886</v>
      </c>
      <c r="F21" s="37"/>
      <c r="G21" s="11" t="s">
        <v>2994</v>
      </c>
      <c r="H21" s="5" t="str">
        <f t="shared" si="0"/>
        <v>LS-T2S-4</v>
      </c>
      <c r="I21" s="38">
        <v>4</v>
      </c>
      <c r="J21" s="13">
        <v>1</v>
      </c>
      <c r="K21" s="13"/>
    </row>
    <row r="22" spans="1:12" s="19" customFormat="1" hidden="1" outlineLevel="2">
      <c r="A22" s="14"/>
      <c r="B22" s="8" t="s">
        <v>2868</v>
      </c>
      <c r="C22" s="11" t="s">
        <v>2994</v>
      </c>
      <c r="D22" s="7"/>
      <c r="E22" s="40" t="s">
        <v>2889</v>
      </c>
      <c r="F22" s="37"/>
      <c r="G22" s="11" t="s">
        <v>2994</v>
      </c>
      <c r="H22" s="5" t="str">
        <f t="shared" si="0"/>
        <v>LS-T2S-4</v>
      </c>
      <c r="I22" s="38">
        <v>4</v>
      </c>
      <c r="J22" s="13">
        <v>1</v>
      </c>
      <c r="K22" s="13"/>
    </row>
    <row r="23" spans="1:12" s="19" customFormat="1" hidden="1" outlineLevel="2">
      <c r="A23" s="14"/>
      <c r="B23" s="8" t="s">
        <v>2868</v>
      </c>
      <c r="C23" s="11" t="s">
        <v>2994</v>
      </c>
      <c r="D23" s="7"/>
      <c r="E23" s="40" t="s">
        <v>2890</v>
      </c>
      <c r="F23" s="37"/>
      <c r="G23" s="11" t="s">
        <v>2994</v>
      </c>
      <c r="H23" s="5" t="str">
        <f t="shared" si="0"/>
        <v>LS-T2S-4</v>
      </c>
      <c r="I23" s="38">
        <v>4</v>
      </c>
      <c r="J23" s="13">
        <v>1</v>
      </c>
      <c r="K23" s="13"/>
    </row>
    <row r="24" spans="1:12" ht="3" customHeight="1">
      <c r="A24" s="10"/>
      <c r="B24" s="8"/>
      <c r="C24" s="11"/>
      <c r="D24" s="7"/>
      <c r="E24" s="40"/>
      <c r="F24" s="37"/>
      <c r="G24" s="8"/>
      <c r="H24" s="5"/>
      <c r="I24" s="38"/>
      <c r="J24" s="12"/>
      <c r="K24" s="13"/>
      <c r="L24" s="13"/>
    </row>
    <row r="25" spans="1:12" s="19" customFormat="1" collapsed="1">
      <c r="A25" s="22" t="s">
        <v>2999</v>
      </c>
      <c r="B25" s="8"/>
      <c r="C25" s="8"/>
      <c r="D25" s="7"/>
      <c r="E25" s="40"/>
      <c r="F25" s="9"/>
      <c r="G25" s="42" t="s">
        <v>179</v>
      </c>
      <c r="H25" s="42" t="s">
        <v>180</v>
      </c>
      <c r="I25" s="43" t="s">
        <v>181</v>
      </c>
      <c r="J25" s="4"/>
      <c r="K25" s="4"/>
      <c r="L25" s="4"/>
    </row>
    <row r="26" spans="1:12" hidden="1" outlineLevel="1">
      <c r="A26" s="10"/>
      <c r="B26" s="8" t="s">
        <v>2868</v>
      </c>
      <c r="C26" s="11" t="s">
        <v>3000</v>
      </c>
      <c r="D26" s="7"/>
      <c r="E26" s="40" t="s">
        <v>3001</v>
      </c>
      <c r="F26" s="37"/>
      <c r="G26" s="11" t="s">
        <v>3002</v>
      </c>
      <c r="H26" s="5" t="str">
        <f>CONCATENATE(B26,"-",G26,"-",I26)</f>
        <v>LS-TXV-4</v>
      </c>
      <c r="I26" s="38">
        <v>4</v>
      </c>
      <c r="J26" s="12"/>
      <c r="K26" s="13"/>
      <c r="L26" s="13">
        <v>1</v>
      </c>
    </row>
    <row r="27" spans="1:12" ht="3" customHeight="1">
      <c r="A27" s="10"/>
      <c r="B27" s="8"/>
      <c r="C27" s="11"/>
      <c r="D27" s="7"/>
      <c r="E27" s="40"/>
      <c r="F27" s="37"/>
      <c r="G27" s="8"/>
      <c r="H27" s="5"/>
      <c r="I27" s="38"/>
      <c r="J27" s="12"/>
      <c r="K27" s="13"/>
      <c r="L27" s="13"/>
    </row>
    <row r="28" spans="1:12" s="19" customFormat="1" collapsed="1">
      <c r="A28" s="22" t="s">
        <v>3003</v>
      </c>
      <c r="B28" s="8"/>
      <c r="C28" s="8"/>
      <c r="D28" s="7"/>
      <c r="E28" s="40"/>
      <c r="F28" s="9"/>
      <c r="G28" s="42" t="s">
        <v>179</v>
      </c>
      <c r="H28" s="42" t="s">
        <v>180</v>
      </c>
      <c r="I28" s="43" t="s">
        <v>181</v>
      </c>
      <c r="J28" s="4"/>
      <c r="K28" s="4"/>
      <c r="L28" s="4"/>
    </row>
    <row r="29" spans="1:12" hidden="1" outlineLevel="1">
      <c r="A29" s="10"/>
      <c r="B29" s="8" t="s">
        <v>2868</v>
      </c>
      <c r="C29" s="11" t="s">
        <v>3004</v>
      </c>
      <c r="D29" s="7"/>
      <c r="E29" s="40" t="s">
        <v>3005</v>
      </c>
      <c r="F29" s="37"/>
      <c r="G29" s="11" t="s">
        <v>3006</v>
      </c>
      <c r="H29" s="5" t="str">
        <f>CONCATENATE(B29,"-",G29,"-",I29)</f>
        <v>LS-TXS-4</v>
      </c>
      <c r="I29" s="38">
        <v>4</v>
      </c>
      <c r="J29" s="13"/>
      <c r="K29" s="13"/>
      <c r="L29" s="13">
        <v>1</v>
      </c>
    </row>
    <row r="30" spans="1:12" s="19" customFormat="1" hidden="1" outlineLevel="2">
      <c r="A30" s="14"/>
      <c r="B30" s="8" t="s">
        <v>2868</v>
      </c>
      <c r="C30" s="11" t="s">
        <v>3004</v>
      </c>
      <c r="D30" s="7"/>
      <c r="E30" s="40" t="s">
        <v>2996</v>
      </c>
      <c r="F30" s="37"/>
      <c r="G30" s="11" t="s">
        <v>3006</v>
      </c>
      <c r="H30" s="5" t="str">
        <f>CONCATENATE("LS-",G30,"-",I30)</f>
        <v>LS-TXS-4</v>
      </c>
      <c r="I30" s="38">
        <v>4</v>
      </c>
      <c r="J30" s="13"/>
      <c r="K30" s="13"/>
      <c r="L30" s="13">
        <v>1</v>
      </c>
    </row>
    <row r="31" spans="1:12" s="19" customFormat="1" hidden="1" outlineLevel="2">
      <c r="A31" s="14"/>
      <c r="B31" s="8" t="s">
        <v>2868</v>
      </c>
      <c r="C31" s="11" t="s">
        <v>3004</v>
      </c>
      <c r="D31" s="7"/>
      <c r="E31" s="40" t="s">
        <v>2882</v>
      </c>
      <c r="F31" s="37"/>
      <c r="G31" s="11" t="s">
        <v>3006</v>
      </c>
      <c r="H31" s="5" t="str">
        <f t="shared" ref="H31:H39" si="1">CONCATENATE("LS-",G31,"-",I31)</f>
        <v>LS-TXS-4</v>
      </c>
      <c r="I31" s="38">
        <v>4</v>
      </c>
      <c r="J31" s="13"/>
      <c r="K31" s="13"/>
      <c r="L31" s="13">
        <v>1</v>
      </c>
    </row>
    <row r="32" spans="1:12" s="19" customFormat="1" hidden="1" outlineLevel="2">
      <c r="A32" s="14"/>
      <c r="B32" s="8" t="s">
        <v>2868</v>
      </c>
      <c r="C32" s="11" t="s">
        <v>3004</v>
      </c>
      <c r="D32" s="7"/>
      <c r="E32" s="40" t="s">
        <v>2883</v>
      </c>
      <c r="F32" s="37"/>
      <c r="G32" s="11" t="s">
        <v>3006</v>
      </c>
      <c r="H32" s="5" t="str">
        <f t="shared" si="1"/>
        <v>LS-TXS-4</v>
      </c>
      <c r="I32" s="38">
        <v>4</v>
      </c>
      <c r="J32" s="13"/>
      <c r="K32" s="13"/>
      <c r="L32" s="13">
        <v>1</v>
      </c>
    </row>
    <row r="33" spans="1:12" s="19" customFormat="1" hidden="1" outlineLevel="2">
      <c r="A33" s="14"/>
      <c r="B33" s="8" t="s">
        <v>2868</v>
      </c>
      <c r="C33" s="11" t="s">
        <v>3004</v>
      </c>
      <c r="D33" s="7"/>
      <c r="E33" s="40" t="s">
        <v>2997</v>
      </c>
      <c r="F33" s="37"/>
      <c r="G33" s="11" t="s">
        <v>3006</v>
      </c>
      <c r="H33" s="5" t="str">
        <f t="shared" si="1"/>
        <v>LS-TXS-4</v>
      </c>
      <c r="I33" s="38">
        <v>4</v>
      </c>
      <c r="J33" s="13"/>
      <c r="K33" s="13"/>
      <c r="L33" s="13">
        <v>1</v>
      </c>
    </row>
    <row r="34" spans="1:12" s="19" customFormat="1" hidden="1" outlineLevel="2">
      <c r="A34" s="14"/>
      <c r="B34" s="8" t="s">
        <v>2868</v>
      </c>
      <c r="C34" s="11" t="s">
        <v>3004</v>
      </c>
      <c r="D34" s="7"/>
      <c r="E34" s="40" t="s">
        <v>2998</v>
      </c>
      <c r="F34" s="37"/>
      <c r="G34" s="11" t="s">
        <v>3006</v>
      </c>
      <c r="H34" s="5" t="str">
        <f t="shared" si="1"/>
        <v>LS-TXS-4</v>
      </c>
      <c r="I34" s="38">
        <v>4</v>
      </c>
      <c r="J34" s="13"/>
      <c r="K34" s="13"/>
      <c r="L34" s="13">
        <v>1</v>
      </c>
    </row>
    <row r="35" spans="1:12" s="19" customFormat="1" hidden="1" outlineLevel="2">
      <c r="A35" s="14"/>
      <c r="B35" s="8" t="s">
        <v>2868</v>
      </c>
      <c r="C35" s="11" t="s">
        <v>3004</v>
      </c>
      <c r="D35" s="7"/>
      <c r="E35" s="40" t="s">
        <v>2888</v>
      </c>
      <c r="F35" s="37"/>
      <c r="G35" s="11" t="s">
        <v>3006</v>
      </c>
      <c r="H35" s="5" t="str">
        <f t="shared" si="1"/>
        <v>LS-TXS-4</v>
      </c>
      <c r="I35" s="38">
        <v>4</v>
      </c>
      <c r="J35" s="13"/>
      <c r="K35" s="13"/>
      <c r="L35" s="13">
        <v>1</v>
      </c>
    </row>
    <row r="36" spans="1:12" s="19" customFormat="1" hidden="1" outlineLevel="2">
      <c r="A36" s="14"/>
      <c r="B36" s="8" t="s">
        <v>2868</v>
      </c>
      <c r="C36" s="11" t="s">
        <v>3004</v>
      </c>
      <c r="D36" s="7"/>
      <c r="E36" s="40" t="s">
        <v>2885</v>
      </c>
      <c r="F36" s="37"/>
      <c r="G36" s="11" t="s">
        <v>3006</v>
      </c>
      <c r="H36" s="5" t="str">
        <f t="shared" si="1"/>
        <v>LS-TXS-4</v>
      </c>
      <c r="I36" s="38">
        <v>4</v>
      </c>
      <c r="J36" s="13"/>
      <c r="K36" s="13"/>
      <c r="L36" s="13">
        <v>1</v>
      </c>
    </row>
    <row r="37" spans="1:12" s="19" customFormat="1" hidden="1" outlineLevel="2">
      <c r="A37" s="14"/>
      <c r="B37" s="8" t="s">
        <v>2868</v>
      </c>
      <c r="C37" s="11" t="s">
        <v>3004</v>
      </c>
      <c r="D37" s="7"/>
      <c r="E37" s="40" t="s">
        <v>2886</v>
      </c>
      <c r="F37" s="37"/>
      <c r="G37" s="11" t="s">
        <v>3006</v>
      </c>
      <c r="H37" s="5" t="str">
        <f t="shared" si="1"/>
        <v>LS-TXS-4</v>
      </c>
      <c r="I37" s="38">
        <v>4</v>
      </c>
      <c r="J37" s="13"/>
      <c r="K37" s="13"/>
      <c r="L37" s="13">
        <v>1</v>
      </c>
    </row>
    <row r="38" spans="1:12" s="19" customFormat="1" hidden="1" outlineLevel="2">
      <c r="A38" s="14"/>
      <c r="B38" s="8" t="s">
        <v>2868</v>
      </c>
      <c r="C38" s="11" t="s">
        <v>3004</v>
      </c>
      <c r="D38" s="7"/>
      <c r="E38" s="40" t="s">
        <v>2889</v>
      </c>
      <c r="F38" s="37"/>
      <c r="G38" s="11" t="s">
        <v>3006</v>
      </c>
      <c r="H38" s="5" t="str">
        <f t="shared" si="1"/>
        <v>LS-TXS-4</v>
      </c>
      <c r="I38" s="38">
        <v>4</v>
      </c>
      <c r="J38" s="13"/>
      <c r="K38" s="13"/>
      <c r="L38" s="13">
        <v>1</v>
      </c>
    </row>
    <row r="39" spans="1:12" s="19" customFormat="1" hidden="1" outlineLevel="2">
      <c r="A39" s="14"/>
      <c r="B39" s="8" t="s">
        <v>2868</v>
      </c>
      <c r="C39" s="11" t="s">
        <v>3004</v>
      </c>
      <c r="D39" s="7"/>
      <c r="E39" s="40" t="s">
        <v>2890</v>
      </c>
      <c r="F39" s="37"/>
      <c r="G39" s="11" t="s">
        <v>3006</v>
      </c>
      <c r="H39" s="5" t="str">
        <f t="shared" si="1"/>
        <v>LS-TXS-4</v>
      </c>
      <c r="I39" s="38">
        <v>4</v>
      </c>
      <c r="J39" s="13"/>
      <c r="K39" s="13"/>
      <c r="L39" s="13"/>
    </row>
    <row r="40" spans="1:12" ht="3" customHeight="1">
      <c r="A40" s="10"/>
      <c r="B40" s="8"/>
      <c r="C40" s="11"/>
      <c r="D40" s="7"/>
      <c r="E40" s="40"/>
      <c r="F40" s="37"/>
      <c r="G40" s="8"/>
      <c r="H40" s="5"/>
      <c r="I40" s="38"/>
      <c r="J40" s="12"/>
      <c r="K40" s="13"/>
      <c r="L40" s="13"/>
    </row>
    <row r="41" spans="1:12" s="19" customFormat="1" collapsed="1">
      <c r="A41" s="22" t="s">
        <v>3007</v>
      </c>
      <c r="B41" s="8"/>
      <c r="C41" s="8"/>
      <c r="D41" s="7"/>
      <c r="E41" s="40"/>
      <c r="F41" s="9"/>
      <c r="G41" s="42" t="s">
        <v>179</v>
      </c>
      <c r="H41" s="42" t="s">
        <v>180</v>
      </c>
      <c r="I41" s="43" t="s">
        <v>181</v>
      </c>
      <c r="J41" s="4"/>
      <c r="K41" s="4"/>
      <c r="L41" s="4"/>
    </row>
    <row r="42" spans="1:12" hidden="1" outlineLevel="1">
      <c r="A42" s="10"/>
      <c r="B42" s="8" t="s">
        <v>2868</v>
      </c>
      <c r="C42" s="8" t="s">
        <v>3008</v>
      </c>
      <c r="D42" s="7"/>
      <c r="E42" s="40" t="s">
        <v>3009</v>
      </c>
      <c r="F42" s="37"/>
      <c r="G42" s="8" t="s">
        <v>3008</v>
      </c>
      <c r="H42" s="5" t="str">
        <f>CONCATENATE(B42,"-",G42,"-",I42)</f>
        <v>LS-T6V-4</v>
      </c>
      <c r="I42" s="38">
        <v>4</v>
      </c>
      <c r="J42" s="13">
        <v>1</v>
      </c>
      <c r="K42" s="13"/>
      <c r="L42" s="13"/>
    </row>
    <row r="43" spans="1:12" ht="3" customHeight="1">
      <c r="A43" s="10"/>
      <c r="B43" s="8"/>
      <c r="C43" s="11"/>
      <c r="D43" s="7"/>
      <c r="E43" s="40"/>
      <c r="F43" s="37"/>
      <c r="G43" s="8"/>
      <c r="H43" s="5"/>
      <c r="I43" s="38"/>
      <c r="J43" s="12"/>
      <c r="K43" s="13"/>
      <c r="L43" s="13"/>
    </row>
    <row r="44" spans="1:12" s="19" customFormat="1" collapsed="1">
      <c r="A44" s="22" t="s">
        <v>3010</v>
      </c>
      <c r="B44" s="8"/>
      <c r="C44" s="8"/>
      <c r="D44" s="7"/>
      <c r="E44" s="40"/>
      <c r="F44" s="9"/>
      <c r="G44" s="42" t="s">
        <v>179</v>
      </c>
      <c r="H44" s="42" t="s">
        <v>180</v>
      </c>
      <c r="I44" s="43" t="s">
        <v>181</v>
      </c>
      <c r="J44" s="4"/>
      <c r="K44" s="4"/>
      <c r="L44" s="4"/>
    </row>
    <row r="45" spans="1:12" hidden="1" outlineLevel="1">
      <c r="A45" s="10"/>
      <c r="B45" s="8" t="s">
        <v>2868</v>
      </c>
      <c r="C45" s="11" t="s">
        <v>3011</v>
      </c>
      <c r="D45" s="7"/>
      <c r="E45" s="40" t="s">
        <v>3012</v>
      </c>
      <c r="F45" s="37"/>
      <c r="G45" s="11" t="s">
        <v>3011</v>
      </c>
      <c r="H45" s="5" t="str">
        <f>CONCATENATE(B45,"-",G45,"-",I45)</f>
        <v>LS-T6S-4</v>
      </c>
      <c r="I45" s="38">
        <v>4</v>
      </c>
      <c r="J45" s="13"/>
      <c r="K45" s="13"/>
      <c r="L45" s="13">
        <v>1</v>
      </c>
    </row>
    <row r="46" spans="1:12" s="19" customFormat="1" hidden="1" outlineLevel="2">
      <c r="A46" s="14"/>
      <c r="B46" s="8" t="s">
        <v>2868</v>
      </c>
      <c r="C46" s="11" t="s">
        <v>3011</v>
      </c>
      <c r="D46" s="7"/>
      <c r="E46" s="40" t="s">
        <v>2996</v>
      </c>
      <c r="F46" s="37"/>
      <c r="G46" s="11" t="s">
        <v>3011</v>
      </c>
      <c r="H46" s="5" t="str">
        <f>CONCATENATE("LS-",G46,"-",I46)</f>
        <v>LS-T6S-4</v>
      </c>
      <c r="I46" s="38">
        <v>4</v>
      </c>
      <c r="J46" s="13"/>
      <c r="K46" s="13"/>
      <c r="L46" s="13">
        <v>1</v>
      </c>
    </row>
    <row r="47" spans="1:12" s="19" customFormat="1" hidden="1" outlineLevel="2">
      <c r="A47" s="14"/>
      <c r="B47" s="8" t="s">
        <v>2868</v>
      </c>
      <c r="C47" s="11" t="s">
        <v>3011</v>
      </c>
      <c r="D47" s="7"/>
      <c r="E47" s="40" t="s">
        <v>2882</v>
      </c>
      <c r="F47" s="37"/>
      <c r="G47" s="11" t="s">
        <v>3011</v>
      </c>
      <c r="H47" s="5" t="str">
        <f t="shared" ref="H47:H55" si="2">CONCATENATE("LS-",G47,"-",I47)</f>
        <v>LS-T6S-4</v>
      </c>
      <c r="I47" s="38">
        <v>4</v>
      </c>
      <c r="J47" s="13"/>
      <c r="K47" s="13"/>
      <c r="L47" s="13">
        <v>1</v>
      </c>
    </row>
    <row r="48" spans="1:12" s="19" customFormat="1" hidden="1" outlineLevel="2">
      <c r="A48" s="14"/>
      <c r="B48" s="8" t="s">
        <v>2868</v>
      </c>
      <c r="C48" s="11" t="s">
        <v>3011</v>
      </c>
      <c r="D48" s="7"/>
      <c r="E48" s="40" t="s">
        <v>2883</v>
      </c>
      <c r="F48" s="37"/>
      <c r="G48" s="11" t="s">
        <v>3011</v>
      </c>
      <c r="H48" s="5" t="str">
        <f t="shared" si="2"/>
        <v>LS-T6S-4</v>
      </c>
      <c r="I48" s="38">
        <v>4</v>
      </c>
      <c r="J48" s="13"/>
      <c r="K48" s="13"/>
      <c r="L48" s="13">
        <v>1</v>
      </c>
    </row>
    <row r="49" spans="1:12" s="19" customFormat="1" hidden="1" outlineLevel="2">
      <c r="A49" s="14"/>
      <c r="B49" s="8" t="s">
        <v>2868</v>
      </c>
      <c r="C49" s="11" t="s">
        <v>3011</v>
      </c>
      <c r="D49" s="7"/>
      <c r="E49" s="40" t="s">
        <v>2997</v>
      </c>
      <c r="F49" s="37"/>
      <c r="G49" s="11" t="s">
        <v>3011</v>
      </c>
      <c r="H49" s="5" t="str">
        <f t="shared" si="2"/>
        <v>LS-T6S-4</v>
      </c>
      <c r="I49" s="38">
        <v>4</v>
      </c>
      <c r="J49" s="13"/>
      <c r="K49" s="13"/>
      <c r="L49" s="13">
        <v>1</v>
      </c>
    </row>
    <row r="50" spans="1:12" s="19" customFormat="1" hidden="1" outlineLevel="2">
      <c r="A50" s="14"/>
      <c r="B50" s="8" t="s">
        <v>2868</v>
      </c>
      <c r="C50" s="11" t="s">
        <v>3011</v>
      </c>
      <c r="D50" s="7"/>
      <c r="E50" s="40" t="s">
        <v>2998</v>
      </c>
      <c r="F50" s="37"/>
      <c r="G50" s="11" t="s">
        <v>3011</v>
      </c>
      <c r="H50" s="5" t="str">
        <f t="shared" si="2"/>
        <v>LS-T6S-4</v>
      </c>
      <c r="I50" s="38">
        <v>4</v>
      </c>
      <c r="J50" s="13"/>
      <c r="K50" s="13"/>
      <c r="L50" s="13">
        <v>1</v>
      </c>
    </row>
    <row r="51" spans="1:12" s="19" customFormat="1" hidden="1" outlineLevel="2">
      <c r="A51" s="14"/>
      <c r="B51" s="8" t="s">
        <v>2868</v>
      </c>
      <c r="C51" s="11" t="s">
        <v>3011</v>
      </c>
      <c r="D51" s="7"/>
      <c r="E51" s="40" t="s">
        <v>2888</v>
      </c>
      <c r="F51" s="37"/>
      <c r="G51" s="11" t="s">
        <v>3011</v>
      </c>
      <c r="H51" s="5" t="str">
        <f t="shared" si="2"/>
        <v>LS-T6S-4</v>
      </c>
      <c r="I51" s="38">
        <v>4</v>
      </c>
      <c r="J51" s="13"/>
      <c r="K51" s="13"/>
      <c r="L51" s="13">
        <v>1</v>
      </c>
    </row>
    <row r="52" spans="1:12" s="19" customFormat="1" hidden="1" outlineLevel="2">
      <c r="A52" s="14"/>
      <c r="B52" s="8" t="s">
        <v>2868</v>
      </c>
      <c r="C52" s="11" t="s">
        <v>3011</v>
      </c>
      <c r="D52" s="7"/>
      <c r="E52" s="40" t="s">
        <v>2885</v>
      </c>
      <c r="F52" s="37"/>
      <c r="G52" s="11" t="s">
        <v>3011</v>
      </c>
      <c r="H52" s="5" t="str">
        <f t="shared" si="2"/>
        <v>LS-T6S-4</v>
      </c>
      <c r="I52" s="38">
        <v>4</v>
      </c>
      <c r="J52" s="13"/>
      <c r="K52" s="13"/>
      <c r="L52" s="13">
        <v>1</v>
      </c>
    </row>
    <row r="53" spans="1:12" s="19" customFormat="1" hidden="1" outlineLevel="2">
      <c r="A53" s="14"/>
      <c r="B53" s="8" t="s">
        <v>2868</v>
      </c>
      <c r="C53" s="11" t="s">
        <v>3011</v>
      </c>
      <c r="D53" s="7"/>
      <c r="E53" s="40" t="s">
        <v>2886</v>
      </c>
      <c r="F53" s="37"/>
      <c r="G53" s="11" t="s">
        <v>3011</v>
      </c>
      <c r="H53" s="5" t="str">
        <f t="shared" si="2"/>
        <v>LS-T6S-4</v>
      </c>
      <c r="I53" s="38">
        <v>4</v>
      </c>
      <c r="J53" s="13"/>
      <c r="K53" s="13"/>
      <c r="L53" s="13">
        <v>1</v>
      </c>
    </row>
    <row r="54" spans="1:12" s="19" customFormat="1" hidden="1" outlineLevel="2">
      <c r="A54" s="14"/>
      <c r="B54" s="8" t="s">
        <v>2868</v>
      </c>
      <c r="C54" s="11" t="s">
        <v>3011</v>
      </c>
      <c r="D54" s="7"/>
      <c r="E54" s="40" t="s">
        <v>2889</v>
      </c>
      <c r="F54" s="37"/>
      <c r="G54" s="11" t="s">
        <v>3011</v>
      </c>
      <c r="H54" s="5" t="str">
        <f t="shared" si="2"/>
        <v>LS-T6S-4</v>
      </c>
      <c r="I54" s="38">
        <v>4</v>
      </c>
      <c r="J54" s="13"/>
      <c r="K54" s="13"/>
      <c r="L54" s="13">
        <v>1</v>
      </c>
    </row>
    <row r="55" spans="1:12" s="19" customFormat="1" hidden="1" outlineLevel="2">
      <c r="A55" s="14"/>
      <c r="B55" s="8" t="s">
        <v>2868</v>
      </c>
      <c r="C55" s="11" t="s">
        <v>3011</v>
      </c>
      <c r="D55" s="7"/>
      <c r="E55" s="40" t="s">
        <v>2890</v>
      </c>
      <c r="F55" s="37"/>
      <c r="G55" s="11" t="s">
        <v>3011</v>
      </c>
      <c r="H55" s="5" t="str">
        <f t="shared" si="2"/>
        <v>LS-T6S-4</v>
      </c>
      <c r="I55" s="38">
        <v>4</v>
      </c>
      <c r="J55" s="13"/>
      <c r="K55" s="13"/>
      <c r="L55" s="13">
        <v>1</v>
      </c>
    </row>
    <row r="56" spans="1:12" ht="3" customHeight="1">
      <c r="A56" s="10"/>
      <c r="B56" s="8"/>
      <c r="C56" s="11"/>
      <c r="D56" s="7"/>
      <c r="E56" s="40"/>
      <c r="F56" s="37"/>
      <c r="G56" s="8"/>
      <c r="H56" s="5"/>
      <c r="I56" s="38"/>
      <c r="J56" s="12"/>
      <c r="K56" s="13"/>
      <c r="L56" s="13"/>
    </row>
    <row r="57" spans="1:12" s="19" customFormat="1" collapsed="1">
      <c r="A57" s="22" t="s">
        <v>3013</v>
      </c>
      <c r="B57" s="8"/>
      <c r="C57" s="8"/>
      <c r="D57" s="7"/>
      <c r="E57" s="40"/>
      <c r="F57" s="9"/>
      <c r="G57" s="42" t="s">
        <v>179</v>
      </c>
      <c r="H57" s="42" t="s">
        <v>180</v>
      </c>
      <c r="I57" s="43" t="s">
        <v>181</v>
      </c>
      <c r="J57" s="4"/>
      <c r="K57" s="4"/>
      <c r="L57" s="4"/>
    </row>
    <row r="58" spans="1:12" hidden="1" outlineLevel="1">
      <c r="A58" s="10"/>
      <c r="B58" s="8" t="s">
        <v>2868</v>
      </c>
      <c r="C58" s="11" t="s">
        <v>3014</v>
      </c>
      <c r="D58" s="7"/>
      <c r="E58" s="40" t="s">
        <v>3015</v>
      </c>
      <c r="F58" s="37"/>
      <c r="G58" s="11" t="s">
        <v>3016</v>
      </c>
      <c r="H58" s="5" t="str">
        <f>CONCATENATE(B58,"-",G58,"-",I58)</f>
        <v>LS-T07-4</v>
      </c>
      <c r="I58" s="38">
        <v>4</v>
      </c>
      <c r="J58" s="13">
        <v>1</v>
      </c>
      <c r="K58" s="13"/>
      <c r="L58" s="13"/>
    </row>
    <row r="59" spans="1:12" ht="3" customHeight="1">
      <c r="A59" s="10"/>
      <c r="B59" s="8"/>
      <c r="C59" s="11"/>
      <c r="D59" s="7"/>
      <c r="E59" s="40"/>
      <c r="F59" s="37"/>
      <c r="G59" s="8"/>
      <c r="H59" s="5"/>
      <c r="I59" s="38"/>
      <c r="J59" s="12"/>
      <c r="K59" s="13"/>
      <c r="L59" s="13"/>
    </row>
    <row r="60" spans="1:12" s="19" customFormat="1" collapsed="1">
      <c r="A60" s="22" t="s">
        <v>1171</v>
      </c>
      <c r="B60" s="8"/>
      <c r="C60" s="8"/>
      <c r="D60" s="7"/>
      <c r="E60" s="9"/>
      <c r="F60" s="9"/>
      <c r="G60" s="42" t="s">
        <v>179</v>
      </c>
      <c r="H60" s="42" t="s">
        <v>180</v>
      </c>
      <c r="I60" s="43" t="s">
        <v>181</v>
      </c>
      <c r="J60" s="4"/>
      <c r="K60" s="4"/>
      <c r="L60" s="4"/>
    </row>
    <row r="61" spans="1:12" hidden="1" outlineLevel="1">
      <c r="A61" s="10"/>
      <c r="B61" s="8" t="s">
        <v>2868</v>
      </c>
      <c r="C61" s="11" t="s">
        <v>3017</v>
      </c>
      <c r="D61" s="7"/>
      <c r="E61" s="40" t="s">
        <v>2988</v>
      </c>
      <c r="F61" s="37"/>
      <c r="G61" s="8" t="s">
        <v>2170</v>
      </c>
      <c r="H61" s="5" t="str">
        <f>CONCATENATE(B61,"-",G61,"-",I61)</f>
        <v>LS-T08-4</v>
      </c>
      <c r="I61" s="38">
        <v>4</v>
      </c>
      <c r="J61" s="13">
        <v>1</v>
      </c>
      <c r="K61" s="13"/>
      <c r="L61" s="13"/>
    </row>
    <row r="62" spans="1:12" s="19" customFormat="1" collapsed="1">
      <c r="A62" s="22" t="s">
        <v>3018</v>
      </c>
      <c r="B62" s="8"/>
      <c r="C62" s="8"/>
      <c r="D62" s="7"/>
      <c r="E62" s="40"/>
      <c r="F62" s="9"/>
      <c r="G62" s="42" t="s">
        <v>179</v>
      </c>
      <c r="H62" s="42" t="s">
        <v>180</v>
      </c>
      <c r="I62" s="43" t="s">
        <v>181</v>
      </c>
      <c r="J62" s="4"/>
      <c r="K62" s="4"/>
      <c r="L62" s="4"/>
    </row>
    <row r="63" spans="1:12" hidden="1" outlineLevel="1">
      <c r="A63" s="10"/>
      <c r="B63" s="8" t="s">
        <v>2868</v>
      </c>
      <c r="C63" s="11" t="s">
        <v>3019</v>
      </c>
      <c r="D63" s="7"/>
      <c r="E63" s="40" t="s">
        <v>3020</v>
      </c>
      <c r="F63" s="39"/>
      <c r="G63" s="11" t="s">
        <v>3021</v>
      </c>
      <c r="H63" s="5" t="str">
        <f>CONCATENATE(B63,"-",G63,"-",I63)</f>
        <v>LS-T09-4</v>
      </c>
      <c r="I63" s="38">
        <v>4</v>
      </c>
      <c r="J63" s="12"/>
      <c r="K63" s="13"/>
      <c r="L63" s="13">
        <v>1</v>
      </c>
    </row>
    <row r="65" spans="1:12" s="19" customFormat="1" collapsed="1">
      <c r="A65" s="7" t="s">
        <v>3022</v>
      </c>
      <c r="B65" s="7"/>
      <c r="C65" s="8"/>
      <c r="D65" s="7"/>
      <c r="E65" s="40"/>
      <c r="F65" s="9"/>
      <c r="G65" s="9"/>
      <c r="H65" s="9"/>
      <c r="I65" s="36"/>
      <c r="J65" s="4"/>
      <c r="K65" s="4"/>
      <c r="L65" s="4"/>
    </row>
    <row r="66" spans="1:12" s="19" customFormat="1" hidden="1" outlineLevel="1">
      <c r="A66" s="14"/>
      <c r="B66" s="8" t="s">
        <v>2868</v>
      </c>
      <c r="C66" s="11" t="s">
        <v>3023</v>
      </c>
      <c r="D66" s="7"/>
      <c r="E66" s="40" t="s">
        <v>2996</v>
      </c>
      <c r="F66" s="37"/>
      <c r="G66" s="11" t="s">
        <v>3024</v>
      </c>
      <c r="H66" s="5" t="str">
        <f>CONCATENATE("LS-",G66,"-",I66)</f>
        <v>LS-V01-3</v>
      </c>
      <c r="I66" s="38">
        <v>3</v>
      </c>
      <c r="J66" s="13"/>
      <c r="K66" s="13"/>
      <c r="L66" s="13">
        <v>1</v>
      </c>
    </row>
    <row r="67" spans="1:12" s="19" customFormat="1" hidden="1" outlineLevel="1">
      <c r="A67" s="14"/>
      <c r="B67" s="8" t="s">
        <v>2868</v>
      </c>
      <c r="C67" s="11" t="s">
        <v>3023</v>
      </c>
      <c r="D67" s="7"/>
      <c r="E67" s="40" t="s">
        <v>2882</v>
      </c>
      <c r="F67" s="37"/>
      <c r="G67" s="11" t="s">
        <v>3024</v>
      </c>
      <c r="H67" s="5" t="str">
        <f t="shared" ref="H67:H74" si="3">CONCATENATE("LS-",G67,"-",I67)</f>
        <v>LS-V01-3</v>
      </c>
      <c r="I67" s="38">
        <v>3</v>
      </c>
      <c r="J67" s="13"/>
      <c r="K67" s="13"/>
      <c r="L67" s="13">
        <v>1</v>
      </c>
    </row>
    <row r="68" spans="1:12" s="19" customFormat="1" hidden="1" outlineLevel="1">
      <c r="A68" s="14"/>
      <c r="B68" s="8" t="s">
        <v>2868</v>
      </c>
      <c r="C68" s="11" t="s">
        <v>3023</v>
      </c>
      <c r="D68" s="7"/>
      <c r="E68" s="40" t="s">
        <v>2883</v>
      </c>
      <c r="F68" s="37"/>
      <c r="G68" s="11" t="s">
        <v>3024</v>
      </c>
      <c r="H68" s="5" t="str">
        <f t="shared" si="3"/>
        <v>LS-V01-3</v>
      </c>
      <c r="I68" s="38">
        <v>3</v>
      </c>
      <c r="J68" s="13"/>
      <c r="K68" s="13"/>
      <c r="L68" s="13">
        <v>1</v>
      </c>
    </row>
    <row r="69" spans="1:12" s="19" customFormat="1" hidden="1" outlineLevel="1">
      <c r="A69" s="14"/>
      <c r="B69" s="8" t="s">
        <v>2868</v>
      </c>
      <c r="C69" s="11" t="s">
        <v>3023</v>
      </c>
      <c r="D69" s="7"/>
      <c r="E69" s="40" t="s">
        <v>2997</v>
      </c>
      <c r="F69" s="37"/>
      <c r="G69" s="11" t="s">
        <v>3024</v>
      </c>
      <c r="H69" s="5" t="str">
        <f t="shared" si="3"/>
        <v>LS-V01-3</v>
      </c>
      <c r="I69" s="38">
        <v>3</v>
      </c>
      <c r="J69" s="13"/>
      <c r="K69" s="13"/>
      <c r="L69" s="13">
        <v>1</v>
      </c>
    </row>
    <row r="70" spans="1:12" s="19" customFormat="1" hidden="1" outlineLevel="1">
      <c r="A70" s="14"/>
      <c r="B70" s="8" t="s">
        <v>2868</v>
      </c>
      <c r="C70" s="11" t="s">
        <v>3023</v>
      </c>
      <c r="D70" s="7"/>
      <c r="E70" s="40" t="s">
        <v>2998</v>
      </c>
      <c r="F70" s="37"/>
      <c r="G70" s="11" t="s">
        <v>3024</v>
      </c>
      <c r="H70" s="5" t="str">
        <f t="shared" si="3"/>
        <v>LS-V01-3</v>
      </c>
      <c r="I70" s="38">
        <v>3</v>
      </c>
      <c r="J70" s="13"/>
      <c r="K70" s="13"/>
      <c r="L70" s="13">
        <v>1</v>
      </c>
    </row>
    <row r="71" spans="1:12" s="19" customFormat="1" hidden="1" outlineLevel="1">
      <c r="A71" s="14"/>
      <c r="B71" s="8" t="s">
        <v>2868</v>
      </c>
      <c r="C71" s="11" t="s">
        <v>3023</v>
      </c>
      <c r="D71" s="7"/>
      <c r="E71" s="40" t="s">
        <v>2888</v>
      </c>
      <c r="F71" s="37"/>
      <c r="G71" s="11" t="s">
        <v>3024</v>
      </c>
      <c r="H71" s="5" t="str">
        <f t="shared" si="3"/>
        <v>LS-V01-3</v>
      </c>
      <c r="I71" s="38">
        <v>3</v>
      </c>
      <c r="J71" s="13"/>
      <c r="K71" s="13"/>
      <c r="L71" s="13">
        <v>1</v>
      </c>
    </row>
    <row r="72" spans="1:12" s="19" customFormat="1" hidden="1" outlineLevel="1">
      <c r="A72" s="14"/>
      <c r="B72" s="8" t="s">
        <v>2868</v>
      </c>
      <c r="C72" s="11" t="s">
        <v>3023</v>
      </c>
      <c r="D72" s="7"/>
      <c r="E72" s="40" t="s">
        <v>2885</v>
      </c>
      <c r="F72" s="37"/>
      <c r="G72" s="11" t="s">
        <v>3024</v>
      </c>
      <c r="H72" s="5" t="str">
        <f t="shared" si="3"/>
        <v>LS-V01-3</v>
      </c>
      <c r="I72" s="38">
        <v>3</v>
      </c>
      <c r="J72" s="13"/>
      <c r="K72" s="13"/>
      <c r="L72" s="13">
        <v>1</v>
      </c>
    </row>
    <row r="73" spans="1:12" s="19" customFormat="1" hidden="1" outlineLevel="1">
      <c r="A73" s="14"/>
      <c r="B73" s="8" t="s">
        <v>2868</v>
      </c>
      <c r="C73" s="11" t="s">
        <v>3023</v>
      </c>
      <c r="D73" s="7"/>
      <c r="E73" s="40" t="s">
        <v>2886</v>
      </c>
      <c r="F73" s="37"/>
      <c r="G73" s="11" t="s">
        <v>3024</v>
      </c>
      <c r="H73" s="5" t="str">
        <f t="shared" si="3"/>
        <v>LS-V01-3</v>
      </c>
      <c r="I73" s="38">
        <v>3</v>
      </c>
      <c r="J73" s="13"/>
      <c r="K73" s="13"/>
      <c r="L73" s="13">
        <v>1</v>
      </c>
    </row>
    <row r="74" spans="1:12" s="19" customFormat="1" hidden="1" outlineLevel="1">
      <c r="A74" s="14"/>
      <c r="B74" s="8" t="s">
        <v>2868</v>
      </c>
      <c r="C74" s="11" t="s">
        <v>3023</v>
      </c>
      <c r="D74" s="7"/>
      <c r="E74" s="40" t="s">
        <v>2890</v>
      </c>
      <c r="F74" s="37"/>
      <c r="G74" s="11" t="s">
        <v>3024</v>
      </c>
      <c r="H74" s="5" t="str">
        <f t="shared" si="3"/>
        <v>LS-V01-3</v>
      </c>
      <c r="I74" s="38">
        <v>3</v>
      </c>
      <c r="J74" s="13"/>
      <c r="K74" s="13"/>
      <c r="L74" s="13">
        <v>1</v>
      </c>
    </row>
    <row r="75" spans="1:12" s="19" customFormat="1" collapsed="1">
      <c r="A75" s="7" t="s">
        <v>3025</v>
      </c>
      <c r="B75" s="7"/>
      <c r="C75" s="8"/>
      <c r="D75" s="7"/>
      <c r="E75" s="40"/>
      <c r="F75" s="9"/>
      <c r="G75" s="9"/>
      <c r="H75" s="9"/>
      <c r="I75" s="36"/>
      <c r="J75" s="4"/>
      <c r="K75" s="4"/>
      <c r="L75" s="4"/>
    </row>
    <row r="76" spans="1:12" s="19" customFormat="1" hidden="1" outlineLevel="1">
      <c r="A76" s="14"/>
      <c r="B76" s="8" t="s">
        <v>2868</v>
      </c>
      <c r="C76" s="11" t="s">
        <v>3023</v>
      </c>
      <c r="D76" s="7"/>
      <c r="E76" s="40" t="s">
        <v>2996</v>
      </c>
      <c r="F76" s="37"/>
      <c r="G76" s="11" t="s">
        <v>3026</v>
      </c>
      <c r="H76" s="5" t="str">
        <f>CONCATENATE("LS-",G76,"-",I76)</f>
        <v>LS-V03-3</v>
      </c>
      <c r="I76" s="38">
        <v>3</v>
      </c>
      <c r="J76" s="13"/>
      <c r="K76" s="13"/>
      <c r="L76" s="13">
        <v>1</v>
      </c>
    </row>
    <row r="77" spans="1:12" s="19" customFormat="1" hidden="1" outlineLevel="1">
      <c r="A77" s="14"/>
      <c r="B77" s="8" t="s">
        <v>2868</v>
      </c>
      <c r="C77" s="11" t="s">
        <v>3023</v>
      </c>
      <c r="D77" s="7"/>
      <c r="E77" s="40" t="s">
        <v>2882</v>
      </c>
      <c r="F77" s="37"/>
      <c r="G77" s="11" t="s">
        <v>3026</v>
      </c>
      <c r="H77" s="5" t="str">
        <f t="shared" ref="H77:H84" si="4">CONCATENATE("LS-",G77,"-",I77)</f>
        <v>LS-V03-3</v>
      </c>
      <c r="I77" s="38">
        <v>3</v>
      </c>
      <c r="J77" s="13"/>
      <c r="K77" s="13"/>
      <c r="L77" s="13">
        <v>1</v>
      </c>
    </row>
    <row r="78" spans="1:12" s="19" customFormat="1" hidden="1" outlineLevel="1">
      <c r="A78" s="14"/>
      <c r="B78" s="8" t="s">
        <v>2868</v>
      </c>
      <c r="C78" s="11" t="s">
        <v>3023</v>
      </c>
      <c r="D78" s="7"/>
      <c r="E78" s="40" t="s">
        <v>2883</v>
      </c>
      <c r="F78" s="37"/>
      <c r="G78" s="11" t="s">
        <v>3026</v>
      </c>
      <c r="H78" s="5" t="str">
        <f t="shared" si="4"/>
        <v>LS-V03-3</v>
      </c>
      <c r="I78" s="38">
        <v>3</v>
      </c>
      <c r="J78" s="13"/>
      <c r="K78" s="13"/>
      <c r="L78" s="13">
        <v>1</v>
      </c>
    </row>
    <row r="79" spans="1:12" s="19" customFormat="1" hidden="1" outlineLevel="1">
      <c r="A79" s="14"/>
      <c r="B79" s="8" t="s">
        <v>2868</v>
      </c>
      <c r="C79" s="11" t="s">
        <v>3023</v>
      </c>
      <c r="D79" s="7"/>
      <c r="E79" s="40" t="s">
        <v>2997</v>
      </c>
      <c r="F79" s="37"/>
      <c r="G79" s="11" t="s">
        <v>3026</v>
      </c>
      <c r="H79" s="5" t="str">
        <f t="shared" si="4"/>
        <v>LS-V03-3</v>
      </c>
      <c r="I79" s="38">
        <v>3</v>
      </c>
      <c r="J79" s="13"/>
      <c r="K79" s="13"/>
      <c r="L79" s="13">
        <v>1</v>
      </c>
    </row>
    <row r="80" spans="1:12" s="19" customFormat="1" hidden="1" outlineLevel="1">
      <c r="A80" s="14"/>
      <c r="B80" s="8" t="s">
        <v>2868</v>
      </c>
      <c r="C80" s="11" t="s">
        <v>3023</v>
      </c>
      <c r="D80" s="7"/>
      <c r="E80" s="40" t="s">
        <v>2998</v>
      </c>
      <c r="F80" s="37"/>
      <c r="G80" s="11" t="s">
        <v>3026</v>
      </c>
      <c r="H80" s="5" t="str">
        <f t="shared" si="4"/>
        <v>LS-V03-3</v>
      </c>
      <c r="I80" s="38">
        <v>3</v>
      </c>
      <c r="J80" s="13"/>
      <c r="K80" s="13"/>
      <c r="L80" s="13">
        <v>1</v>
      </c>
    </row>
    <row r="81" spans="1:12" s="19" customFormat="1" hidden="1" outlineLevel="1">
      <c r="A81" s="14"/>
      <c r="B81" s="8" t="s">
        <v>2868</v>
      </c>
      <c r="C81" s="11" t="s">
        <v>3023</v>
      </c>
      <c r="D81" s="7"/>
      <c r="E81" s="40" t="s">
        <v>2888</v>
      </c>
      <c r="F81" s="37"/>
      <c r="G81" s="11" t="s">
        <v>3026</v>
      </c>
      <c r="H81" s="5" t="str">
        <f t="shared" si="4"/>
        <v>LS-V03-3</v>
      </c>
      <c r="I81" s="38">
        <v>3</v>
      </c>
      <c r="J81" s="13"/>
      <c r="K81" s="13"/>
      <c r="L81" s="13">
        <v>1</v>
      </c>
    </row>
    <row r="82" spans="1:12" s="19" customFormat="1" hidden="1" outlineLevel="1">
      <c r="A82" s="14"/>
      <c r="B82" s="8" t="s">
        <v>2868</v>
      </c>
      <c r="C82" s="11" t="s">
        <v>3023</v>
      </c>
      <c r="D82" s="7"/>
      <c r="E82" s="40" t="s">
        <v>2885</v>
      </c>
      <c r="F82" s="37"/>
      <c r="G82" s="11" t="s">
        <v>3026</v>
      </c>
      <c r="H82" s="5" t="str">
        <f t="shared" si="4"/>
        <v>LS-V03-3</v>
      </c>
      <c r="I82" s="38">
        <v>3</v>
      </c>
      <c r="J82" s="13"/>
      <c r="K82" s="13"/>
      <c r="L82" s="13">
        <v>1</v>
      </c>
    </row>
    <row r="83" spans="1:12" s="19" customFormat="1" hidden="1" outlineLevel="1">
      <c r="A83" s="14"/>
      <c r="B83" s="8" t="s">
        <v>2868</v>
      </c>
      <c r="C83" s="11" t="s">
        <v>3023</v>
      </c>
      <c r="D83" s="7"/>
      <c r="E83" s="40" t="s">
        <v>2886</v>
      </c>
      <c r="F83" s="37"/>
      <c r="G83" s="11" t="s">
        <v>3026</v>
      </c>
      <c r="H83" s="5" t="str">
        <f t="shared" si="4"/>
        <v>LS-V03-3</v>
      </c>
      <c r="I83" s="38">
        <v>3</v>
      </c>
      <c r="J83" s="13"/>
      <c r="K83" s="13"/>
      <c r="L83" s="13">
        <v>1</v>
      </c>
    </row>
    <row r="84" spans="1:12" s="19" customFormat="1" hidden="1" outlineLevel="1">
      <c r="A84" s="14"/>
      <c r="B84" s="8" t="s">
        <v>2868</v>
      </c>
      <c r="C84" s="11" t="s">
        <v>3023</v>
      </c>
      <c r="D84" s="7"/>
      <c r="E84" s="40" t="s">
        <v>2890</v>
      </c>
      <c r="F84" s="37"/>
      <c r="G84" s="11" t="s">
        <v>3026</v>
      </c>
      <c r="H84" s="5" t="str">
        <f t="shared" si="4"/>
        <v>LS-V03-3</v>
      </c>
      <c r="I84" s="38">
        <v>3</v>
      </c>
      <c r="J84" s="13"/>
      <c r="K84" s="13"/>
      <c r="L84" s="13">
        <v>1</v>
      </c>
    </row>
    <row r="85" spans="1:12" ht="3" customHeight="1">
      <c r="A85" s="10"/>
      <c r="B85" s="8"/>
      <c r="C85" s="11"/>
      <c r="D85" s="7"/>
      <c r="E85" s="40"/>
      <c r="F85" s="37"/>
      <c r="G85" s="8"/>
      <c r="H85" s="5"/>
      <c r="I85" s="38"/>
      <c r="J85" s="12"/>
      <c r="K85" s="13"/>
      <c r="L85" s="13"/>
    </row>
    <row r="86" spans="1:12" collapsed="1">
      <c r="A86" s="2" t="s">
        <v>2467</v>
      </c>
      <c r="B86" s="8"/>
      <c r="C86" s="8"/>
      <c r="D86" s="7"/>
      <c r="E86" s="40"/>
      <c r="F86" s="9"/>
      <c r="G86" s="42" t="s">
        <v>179</v>
      </c>
      <c r="H86" s="42" t="s">
        <v>180</v>
      </c>
      <c r="I86" s="43" t="s">
        <v>181</v>
      </c>
      <c r="J86" s="4"/>
      <c r="K86" s="4"/>
      <c r="L86" s="4"/>
    </row>
    <row r="87" spans="1:12" s="19" customFormat="1" hidden="1" outlineLevel="1">
      <c r="A87" s="7"/>
      <c r="B87" s="7" t="s">
        <v>3027</v>
      </c>
      <c r="C87" s="8"/>
      <c r="D87" s="7"/>
      <c r="E87" s="40"/>
      <c r="F87" s="9"/>
      <c r="G87" s="9"/>
      <c r="H87" s="9"/>
      <c r="I87" s="36"/>
      <c r="J87" s="4"/>
      <c r="K87" s="4"/>
      <c r="L87" s="4"/>
    </row>
    <row r="88" spans="1:12" s="19" customFormat="1" hidden="1" outlineLevel="2">
      <c r="A88" s="14"/>
      <c r="B88" s="8" t="s">
        <v>2868</v>
      </c>
      <c r="C88" s="11" t="s">
        <v>3028</v>
      </c>
      <c r="D88" s="7"/>
      <c r="E88" s="40" t="s">
        <v>2996</v>
      </c>
      <c r="F88" s="37"/>
      <c r="G88" s="11" t="s">
        <v>3028</v>
      </c>
      <c r="H88" s="5" t="str">
        <f>CONCATENATE("LS-",G88,"-",I88)</f>
        <v>LS-V50-1</v>
      </c>
      <c r="I88" s="38">
        <v>1</v>
      </c>
      <c r="J88" s="13">
        <v>1</v>
      </c>
      <c r="K88" s="13"/>
      <c r="L88" s="13"/>
    </row>
    <row r="89" spans="1:12" s="19" customFormat="1" hidden="1" outlineLevel="2">
      <c r="A89" s="14"/>
      <c r="B89" s="8" t="s">
        <v>2868</v>
      </c>
      <c r="C89" s="11" t="s">
        <v>3028</v>
      </c>
      <c r="D89" s="7"/>
      <c r="E89" s="40" t="s">
        <v>2882</v>
      </c>
      <c r="F89" s="37"/>
      <c r="G89" s="11" t="s">
        <v>3028</v>
      </c>
      <c r="H89" s="5" t="str">
        <f t="shared" ref="H89:H97" si="5">CONCATENATE("LS-",G89,"-",I89)</f>
        <v>LS-V50-1</v>
      </c>
      <c r="I89" s="38">
        <v>1</v>
      </c>
      <c r="J89" s="13">
        <v>1</v>
      </c>
      <c r="K89" s="13"/>
      <c r="L89" s="13"/>
    </row>
    <row r="90" spans="1:12" s="19" customFormat="1" hidden="1" outlineLevel="2">
      <c r="A90" s="14"/>
      <c r="B90" s="8" t="s">
        <v>2868</v>
      </c>
      <c r="C90" s="11" t="s">
        <v>3028</v>
      </c>
      <c r="D90" s="7"/>
      <c r="E90" s="40" t="s">
        <v>2883</v>
      </c>
      <c r="F90" s="37"/>
      <c r="G90" s="11" t="s">
        <v>3028</v>
      </c>
      <c r="H90" s="5" t="str">
        <f t="shared" si="5"/>
        <v>LS-V50-1</v>
      </c>
      <c r="I90" s="38">
        <v>1</v>
      </c>
      <c r="J90" s="13">
        <v>1</v>
      </c>
      <c r="K90" s="13"/>
      <c r="L90" s="13"/>
    </row>
    <row r="91" spans="1:12" s="19" customFormat="1" hidden="1" outlineLevel="2">
      <c r="A91" s="14"/>
      <c r="B91" s="8" t="s">
        <v>2868</v>
      </c>
      <c r="C91" s="11" t="s">
        <v>3028</v>
      </c>
      <c r="D91" s="7"/>
      <c r="E91" s="40" t="s">
        <v>2997</v>
      </c>
      <c r="F91" s="37"/>
      <c r="G91" s="11" t="s">
        <v>3028</v>
      </c>
      <c r="H91" s="5" t="str">
        <f t="shared" si="5"/>
        <v>LS-V50-1</v>
      </c>
      <c r="I91" s="38">
        <v>1</v>
      </c>
      <c r="J91" s="13">
        <v>1</v>
      </c>
      <c r="K91" s="13"/>
      <c r="L91" s="13"/>
    </row>
    <row r="92" spans="1:12" s="19" customFormat="1" hidden="1" outlineLevel="2">
      <c r="A92" s="14"/>
      <c r="B92" s="8" t="s">
        <v>2868</v>
      </c>
      <c r="C92" s="11" t="s">
        <v>3028</v>
      </c>
      <c r="D92" s="7"/>
      <c r="E92" s="40" t="s">
        <v>2998</v>
      </c>
      <c r="F92" s="37"/>
      <c r="G92" s="11" t="s">
        <v>3028</v>
      </c>
      <c r="H92" s="5" t="str">
        <f t="shared" si="5"/>
        <v>LS-V50-1</v>
      </c>
      <c r="I92" s="38">
        <v>1</v>
      </c>
      <c r="J92" s="13">
        <v>1</v>
      </c>
      <c r="K92" s="13"/>
      <c r="L92" s="13"/>
    </row>
    <row r="93" spans="1:12" s="19" customFormat="1" hidden="1" outlineLevel="2">
      <c r="A93" s="14"/>
      <c r="B93" s="8" t="s">
        <v>2868</v>
      </c>
      <c r="C93" s="11" t="s">
        <v>3028</v>
      </c>
      <c r="D93" s="7"/>
      <c r="E93" s="40" t="s">
        <v>2888</v>
      </c>
      <c r="F93" s="37"/>
      <c r="G93" s="11" t="s">
        <v>3028</v>
      </c>
      <c r="H93" s="5" t="str">
        <f t="shared" si="5"/>
        <v>LS-V50-1</v>
      </c>
      <c r="I93" s="38">
        <v>1</v>
      </c>
      <c r="J93" s="13">
        <v>1</v>
      </c>
      <c r="K93" s="13"/>
      <c r="L93" s="13"/>
    </row>
    <row r="94" spans="1:12" s="19" customFormat="1" hidden="1" outlineLevel="2">
      <c r="A94" s="14"/>
      <c r="B94" s="8" t="s">
        <v>2868</v>
      </c>
      <c r="C94" s="11" t="s">
        <v>3028</v>
      </c>
      <c r="D94" s="7"/>
      <c r="E94" s="40" t="s">
        <v>2885</v>
      </c>
      <c r="F94" s="37"/>
      <c r="G94" s="11" t="s">
        <v>3028</v>
      </c>
      <c r="H94" s="5" t="str">
        <f t="shared" si="5"/>
        <v>LS-V50-1</v>
      </c>
      <c r="I94" s="38">
        <v>1</v>
      </c>
      <c r="J94" s="13">
        <v>1</v>
      </c>
      <c r="K94" s="13"/>
      <c r="L94" s="13"/>
    </row>
    <row r="95" spans="1:12" s="19" customFormat="1" hidden="1" outlineLevel="2">
      <c r="A95" s="14"/>
      <c r="B95" s="8" t="s">
        <v>2868</v>
      </c>
      <c r="C95" s="11" t="s">
        <v>3028</v>
      </c>
      <c r="D95" s="7"/>
      <c r="E95" s="40" t="s">
        <v>2886</v>
      </c>
      <c r="F95" s="37"/>
      <c r="G95" s="11" t="s">
        <v>3028</v>
      </c>
      <c r="H95" s="5" t="str">
        <f t="shared" si="5"/>
        <v>LS-V50-1</v>
      </c>
      <c r="I95" s="38">
        <v>1</v>
      </c>
      <c r="J95" s="13">
        <v>1</v>
      </c>
      <c r="K95" s="13"/>
      <c r="L95" s="13"/>
    </row>
    <row r="96" spans="1:12" s="19" customFormat="1" hidden="1" outlineLevel="2">
      <c r="A96" s="14"/>
      <c r="B96" s="8" t="s">
        <v>2868</v>
      </c>
      <c r="C96" s="11" t="s">
        <v>3028</v>
      </c>
      <c r="D96" s="7"/>
      <c r="E96" s="40" t="s">
        <v>2889</v>
      </c>
      <c r="F96" s="37"/>
      <c r="G96" s="11" t="s">
        <v>3028</v>
      </c>
      <c r="H96" s="5" t="str">
        <f t="shared" si="5"/>
        <v>LS-V50-1</v>
      </c>
      <c r="I96" s="38">
        <v>1</v>
      </c>
      <c r="J96" s="13">
        <v>1</v>
      </c>
      <c r="K96" s="13"/>
      <c r="L96" s="13"/>
    </row>
    <row r="97" spans="1:12" s="19" customFormat="1" hidden="1" outlineLevel="2">
      <c r="A97" s="14"/>
      <c r="B97" s="8" t="s">
        <v>2868</v>
      </c>
      <c r="C97" s="11" t="s">
        <v>3028</v>
      </c>
      <c r="D97" s="7"/>
      <c r="E97" s="40" t="s">
        <v>2890</v>
      </c>
      <c r="F97" s="37"/>
      <c r="G97" s="11" t="s">
        <v>3028</v>
      </c>
      <c r="H97" s="5" t="str">
        <f t="shared" si="5"/>
        <v>LS-V50-1</v>
      </c>
      <c r="I97" s="38">
        <v>1</v>
      </c>
      <c r="J97" s="13">
        <v>1</v>
      </c>
      <c r="K97" s="13"/>
      <c r="L97" s="13"/>
    </row>
    <row r="98" spans="1:12" ht="3" hidden="1" customHeight="1" outlineLevel="1">
      <c r="A98" s="10"/>
      <c r="B98" s="8"/>
      <c r="C98" s="11"/>
      <c r="D98" s="7"/>
      <c r="E98" s="40"/>
      <c r="F98" s="37"/>
      <c r="G98" s="8"/>
      <c r="H98" s="5"/>
      <c r="I98" s="38"/>
      <c r="J98" s="12"/>
      <c r="K98" s="13"/>
      <c r="L98" s="13"/>
    </row>
    <row r="99" spans="1:12" s="19" customFormat="1" hidden="1" outlineLevel="1">
      <c r="A99" s="7"/>
      <c r="B99" s="7" t="s">
        <v>3029</v>
      </c>
      <c r="C99" s="8"/>
      <c r="D99" s="7"/>
      <c r="E99" s="40"/>
      <c r="F99" s="9"/>
      <c r="G99" s="9"/>
      <c r="H99" s="9"/>
      <c r="I99" s="36"/>
      <c r="J99" s="4"/>
      <c r="K99" s="4"/>
      <c r="L99" s="4"/>
    </row>
    <row r="100" spans="1:12" s="19" customFormat="1" hidden="1" outlineLevel="2">
      <c r="A100" s="14"/>
      <c r="B100" s="8" t="s">
        <v>2868</v>
      </c>
      <c r="C100" s="11" t="s">
        <v>3030</v>
      </c>
      <c r="D100" s="7"/>
      <c r="E100" s="40" t="s">
        <v>2996</v>
      </c>
      <c r="F100" s="37"/>
      <c r="G100" s="11" t="s">
        <v>3030</v>
      </c>
      <c r="H100" s="5" t="str">
        <f t="shared" ref="H100:H107" si="6">CONCATENATE("LS-",G100,"-",I100)</f>
        <v>LS-L30-1</v>
      </c>
      <c r="I100" s="38">
        <v>1</v>
      </c>
      <c r="J100" s="13">
        <v>1</v>
      </c>
      <c r="K100" s="13"/>
      <c r="L100" s="13"/>
    </row>
    <row r="101" spans="1:12" s="19" customFormat="1" hidden="1" outlineLevel="2">
      <c r="A101" s="14"/>
      <c r="B101" s="8" t="s">
        <v>2868</v>
      </c>
      <c r="C101" s="11" t="s">
        <v>3030</v>
      </c>
      <c r="D101" s="7"/>
      <c r="E101" s="40" t="s">
        <v>2882</v>
      </c>
      <c r="F101" s="37"/>
      <c r="G101" s="11" t="s">
        <v>3030</v>
      </c>
      <c r="H101" s="5" t="str">
        <f t="shared" si="6"/>
        <v>LS-L30-1</v>
      </c>
      <c r="I101" s="38">
        <v>1</v>
      </c>
      <c r="J101" s="13">
        <v>1</v>
      </c>
      <c r="K101" s="13"/>
      <c r="L101" s="13"/>
    </row>
    <row r="102" spans="1:12" s="19" customFormat="1" hidden="1" outlineLevel="2">
      <c r="A102" s="14"/>
      <c r="B102" s="8" t="s">
        <v>2868</v>
      </c>
      <c r="C102" s="11" t="s">
        <v>3030</v>
      </c>
      <c r="D102" s="7"/>
      <c r="E102" s="40" t="s">
        <v>2883</v>
      </c>
      <c r="F102" s="37"/>
      <c r="G102" s="11" t="s">
        <v>3030</v>
      </c>
      <c r="H102" s="5" t="str">
        <f t="shared" si="6"/>
        <v>LS-L30-1</v>
      </c>
      <c r="I102" s="38">
        <v>1</v>
      </c>
      <c r="J102" s="13">
        <v>1</v>
      </c>
      <c r="K102" s="13"/>
      <c r="L102" s="13"/>
    </row>
    <row r="103" spans="1:12" s="19" customFormat="1" hidden="1" outlineLevel="2">
      <c r="A103" s="14"/>
      <c r="B103" s="8" t="s">
        <v>2868</v>
      </c>
      <c r="C103" s="11" t="s">
        <v>3030</v>
      </c>
      <c r="D103" s="7"/>
      <c r="E103" s="40" t="s">
        <v>2997</v>
      </c>
      <c r="F103" s="37"/>
      <c r="G103" s="11" t="s">
        <v>3030</v>
      </c>
      <c r="H103" s="5" t="str">
        <f t="shared" si="6"/>
        <v>LS-L30-1</v>
      </c>
      <c r="I103" s="38">
        <v>1</v>
      </c>
      <c r="J103" s="13">
        <v>1</v>
      </c>
      <c r="K103" s="13"/>
      <c r="L103" s="13"/>
    </row>
    <row r="104" spans="1:12" s="19" customFormat="1" hidden="1" outlineLevel="2">
      <c r="A104" s="14"/>
      <c r="B104" s="8" t="s">
        <v>2868</v>
      </c>
      <c r="C104" s="11" t="s">
        <v>3030</v>
      </c>
      <c r="D104" s="7"/>
      <c r="E104" s="40" t="s">
        <v>2998</v>
      </c>
      <c r="F104" s="37"/>
      <c r="G104" s="11" t="s">
        <v>3030</v>
      </c>
      <c r="H104" s="5" t="str">
        <f t="shared" si="6"/>
        <v>LS-L30-1</v>
      </c>
      <c r="I104" s="38">
        <v>1</v>
      </c>
      <c r="J104" s="13">
        <v>1</v>
      </c>
      <c r="K104" s="13"/>
      <c r="L104" s="13"/>
    </row>
    <row r="105" spans="1:12" s="19" customFormat="1" hidden="1" outlineLevel="2">
      <c r="A105" s="14"/>
      <c r="B105" s="8" t="s">
        <v>2868</v>
      </c>
      <c r="C105" s="11" t="s">
        <v>3030</v>
      </c>
      <c r="D105" s="7"/>
      <c r="E105" s="40" t="s">
        <v>2888</v>
      </c>
      <c r="F105" s="37"/>
      <c r="G105" s="11" t="s">
        <v>3030</v>
      </c>
      <c r="H105" s="5" t="str">
        <f t="shared" si="6"/>
        <v>LS-L30-1</v>
      </c>
      <c r="I105" s="38">
        <v>1</v>
      </c>
      <c r="J105" s="13">
        <v>1</v>
      </c>
      <c r="K105" s="13"/>
      <c r="L105" s="13"/>
    </row>
    <row r="106" spans="1:12" s="19" customFormat="1" hidden="1" outlineLevel="2">
      <c r="A106" s="14"/>
      <c r="B106" s="8" t="s">
        <v>2868</v>
      </c>
      <c r="C106" s="11" t="s">
        <v>3030</v>
      </c>
      <c r="D106" s="7"/>
      <c r="E106" s="40" t="s">
        <v>2885</v>
      </c>
      <c r="F106" s="37"/>
      <c r="G106" s="11" t="s">
        <v>3030</v>
      </c>
      <c r="H106" s="5" t="str">
        <f t="shared" si="6"/>
        <v>LS-L30-1</v>
      </c>
      <c r="I106" s="38">
        <v>1</v>
      </c>
      <c r="J106" s="13">
        <v>1</v>
      </c>
      <c r="K106" s="13"/>
      <c r="L106" s="13"/>
    </row>
    <row r="107" spans="1:12" s="19" customFormat="1" hidden="1" outlineLevel="2">
      <c r="A107" s="14"/>
      <c r="B107" s="8" t="s">
        <v>2868</v>
      </c>
      <c r="C107" s="11" t="s">
        <v>3030</v>
      </c>
      <c r="D107" s="7"/>
      <c r="E107" s="40" t="s">
        <v>2886</v>
      </c>
      <c r="F107" s="37"/>
      <c r="G107" s="11" t="s">
        <v>3030</v>
      </c>
      <c r="H107" s="5" t="str">
        <f t="shared" si="6"/>
        <v>LS-L30-1</v>
      </c>
      <c r="I107" s="38">
        <v>1</v>
      </c>
      <c r="J107" s="13">
        <v>1</v>
      </c>
      <c r="K107" s="13"/>
      <c r="L107" s="13"/>
    </row>
    <row r="108" spans="1:12" ht="3" hidden="1" customHeight="1" outlineLevel="1">
      <c r="A108" s="10"/>
      <c r="B108" s="8"/>
      <c r="C108" s="11"/>
      <c r="D108" s="7"/>
      <c r="E108" s="40"/>
      <c r="F108" s="37"/>
      <c r="G108" s="8"/>
      <c r="H108" s="5"/>
      <c r="I108" s="38"/>
      <c r="J108" s="12"/>
      <c r="K108" s="13"/>
      <c r="L108" s="13"/>
    </row>
    <row r="109" spans="1:12" s="19" customFormat="1" hidden="1" outlineLevel="1">
      <c r="A109" s="7"/>
      <c r="B109" s="7" t="s">
        <v>3031</v>
      </c>
      <c r="C109" s="8"/>
      <c r="D109" s="7"/>
      <c r="E109" s="40"/>
      <c r="F109" s="9"/>
      <c r="G109" s="9"/>
      <c r="H109" s="9"/>
      <c r="I109" s="36"/>
      <c r="J109" s="4"/>
      <c r="K109" s="4"/>
      <c r="L109" s="4"/>
    </row>
    <row r="110" spans="1:12" s="19" customFormat="1" hidden="1" outlineLevel="2">
      <c r="A110" s="14"/>
      <c r="B110" s="8" t="s">
        <v>2868</v>
      </c>
      <c r="C110" s="11" t="s">
        <v>3032</v>
      </c>
      <c r="D110" s="7"/>
      <c r="E110" s="40" t="s">
        <v>2996</v>
      </c>
      <c r="F110" s="37"/>
      <c r="G110" s="11" t="s">
        <v>3032</v>
      </c>
      <c r="H110" s="5" t="str">
        <f t="shared" ref="H110:H117" si="7">CONCATENATE("LS-",G110,"-",I110)</f>
        <v>LS-V40-1</v>
      </c>
      <c r="I110" s="38">
        <v>1</v>
      </c>
      <c r="J110" s="13"/>
      <c r="K110" s="13"/>
      <c r="L110" s="13">
        <v>1</v>
      </c>
    </row>
    <row r="111" spans="1:12" s="19" customFormat="1" hidden="1" outlineLevel="2">
      <c r="A111" s="14"/>
      <c r="B111" s="8" t="s">
        <v>2868</v>
      </c>
      <c r="C111" s="11" t="s">
        <v>3032</v>
      </c>
      <c r="D111" s="7"/>
      <c r="E111" s="40" t="s">
        <v>2882</v>
      </c>
      <c r="F111" s="37"/>
      <c r="G111" s="11" t="s">
        <v>3032</v>
      </c>
      <c r="H111" s="5" t="str">
        <f t="shared" si="7"/>
        <v>LS-V40-1</v>
      </c>
      <c r="I111" s="38">
        <v>1</v>
      </c>
      <c r="J111" s="13"/>
      <c r="K111" s="13"/>
      <c r="L111" s="13">
        <v>1</v>
      </c>
    </row>
    <row r="112" spans="1:12" s="19" customFormat="1" hidden="1" outlineLevel="2">
      <c r="A112" s="14"/>
      <c r="B112" s="8" t="s">
        <v>2868</v>
      </c>
      <c r="C112" s="11" t="s">
        <v>3032</v>
      </c>
      <c r="D112" s="7"/>
      <c r="E112" s="40" t="s">
        <v>2883</v>
      </c>
      <c r="F112" s="37"/>
      <c r="G112" s="11" t="s">
        <v>3032</v>
      </c>
      <c r="H112" s="5" t="str">
        <f t="shared" si="7"/>
        <v>LS-V40-1</v>
      </c>
      <c r="I112" s="38">
        <v>1</v>
      </c>
      <c r="J112" s="13"/>
      <c r="K112" s="13"/>
      <c r="L112" s="13">
        <v>1</v>
      </c>
    </row>
    <row r="113" spans="2:12" s="19" customFormat="1" hidden="1" outlineLevel="2">
      <c r="B113" s="8" t="s">
        <v>2868</v>
      </c>
      <c r="C113" s="11" t="s">
        <v>3032</v>
      </c>
      <c r="D113" s="7"/>
      <c r="E113" s="40" t="s">
        <v>2997</v>
      </c>
      <c r="F113" s="37"/>
      <c r="G113" s="11" t="s">
        <v>3032</v>
      </c>
      <c r="H113" s="5" t="str">
        <f t="shared" si="7"/>
        <v>LS-V40-1</v>
      </c>
      <c r="I113" s="38">
        <v>1</v>
      </c>
      <c r="J113" s="13"/>
      <c r="K113" s="13"/>
      <c r="L113" s="13">
        <v>1</v>
      </c>
    </row>
    <row r="114" spans="2:12" s="19" customFormat="1" hidden="1" outlineLevel="2">
      <c r="B114" s="8" t="s">
        <v>2868</v>
      </c>
      <c r="C114" s="11" t="s">
        <v>3032</v>
      </c>
      <c r="D114" s="7"/>
      <c r="E114" s="40" t="s">
        <v>2998</v>
      </c>
      <c r="F114" s="37"/>
      <c r="G114" s="11" t="s">
        <v>3032</v>
      </c>
      <c r="H114" s="5" t="str">
        <f t="shared" si="7"/>
        <v>LS-V40-1</v>
      </c>
      <c r="I114" s="38">
        <v>1</v>
      </c>
      <c r="J114" s="13"/>
      <c r="K114" s="13"/>
      <c r="L114" s="13">
        <v>1</v>
      </c>
    </row>
    <row r="115" spans="2:12" s="19" customFormat="1" hidden="1" outlineLevel="2">
      <c r="B115" s="8" t="s">
        <v>2868</v>
      </c>
      <c r="C115" s="11" t="s">
        <v>3032</v>
      </c>
      <c r="D115" s="7"/>
      <c r="E115" s="40" t="s">
        <v>2888</v>
      </c>
      <c r="F115" s="37"/>
      <c r="G115" s="11" t="s">
        <v>3032</v>
      </c>
      <c r="H115" s="5" t="str">
        <f t="shared" si="7"/>
        <v>LS-V40-1</v>
      </c>
      <c r="I115" s="38">
        <v>1</v>
      </c>
      <c r="J115" s="13"/>
      <c r="K115" s="13"/>
      <c r="L115" s="13">
        <v>1</v>
      </c>
    </row>
    <row r="116" spans="2:12" s="19" customFormat="1" hidden="1" outlineLevel="2">
      <c r="B116" s="8" t="s">
        <v>2868</v>
      </c>
      <c r="C116" s="11" t="s">
        <v>3032</v>
      </c>
      <c r="D116" s="7"/>
      <c r="E116" s="40" t="s">
        <v>2885</v>
      </c>
      <c r="F116" s="37"/>
      <c r="G116" s="11" t="s">
        <v>3032</v>
      </c>
      <c r="H116" s="5" t="str">
        <f t="shared" si="7"/>
        <v>LS-V40-1</v>
      </c>
      <c r="I116" s="38">
        <v>1</v>
      </c>
      <c r="J116" s="13"/>
      <c r="K116" s="13"/>
      <c r="L116" s="13">
        <v>1</v>
      </c>
    </row>
    <row r="117" spans="2:12" s="19" customFormat="1" hidden="1" outlineLevel="2">
      <c r="B117" s="8" t="s">
        <v>2868</v>
      </c>
      <c r="C117" s="11" t="s">
        <v>3032</v>
      </c>
      <c r="D117" s="7"/>
      <c r="E117" s="40" t="s">
        <v>2886</v>
      </c>
      <c r="F117" s="37"/>
      <c r="G117" s="11" t="s">
        <v>3032</v>
      </c>
      <c r="H117" s="5" t="str">
        <f t="shared" si="7"/>
        <v>LS-V40-1</v>
      </c>
      <c r="I117" s="38">
        <v>1</v>
      </c>
      <c r="J117" s="13"/>
      <c r="K117" s="13"/>
      <c r="L117" s="13">
        <v>1</v>
      </c>
    </row>
    <row r="118" spans="2:12" ht="3" hidden="1" customHeight="1" outlineLevel="1">
      <c r="B118" s="8"/>
      <c r="C118" s="11"/>
      <c r="D118" s="7"/>
      <c r="E118" s="40"/>
      <c r="F118" s="37"/>
      <c r="G118" s="8"/>
      <c r="H118" s="5"/>
      <c r="I118" s="38"/>
      <c r="J118" s="12"/>
      <c r="K118" s="13"/>
      <c r="L118" s="13"/>
    </row>
    <row r="119" spans="2:12" s="19" customFormat="1" hidden="1" outlineLevel="1">
      <c r="B119" s="7" t="s">
        <v>3033</v>
      </c>
      <c r="C119" s="8"/>
      <c r="D119" s="7"/>
      <c r="E119" s="40"/>
      <c r="F119" s="9"/>
      <c r="G119" s="9"/>
      <c r="H119" s="9"/>
      <c r="I119" s="36"/>
      <c r="J119" s="4"/>
      <c r="K119" s="4"/>
      <c r="L119" s="4"/>
    </row>
    <row r="120" spans="2:12" s="19" customFormat="1" hidden="1" outlineLevel="2">
      <c r="B120" s="8" t="s">
        <v>2868</v>
      </c>
      <c r="C120" s="11" t="s">
        <v>3034</v>
      </c>
      <c r="D120" s="7"/>
      <c r="E120" s="40" t="s">
        <v>2996</v>
      </c>
      <c r="F120" s="37"/>
      <c r="G120" s="11" t="s">
        <v>3034</v>
      </c>
      <c r="H120" s="5" t="str">
        <f t="shared" ref="H120:H126" si="8">CONCATENATE("LS-",G120,"-",I120)</f>
        <v>LS-C20-1</v>
      </c>
      <c r="I120" s="38">
        <v>1</v>
      </c>
      <c r="J120" s="13">
        <v>1</v>
      </c>
      <c r="K120" s="13"/>
      <c r="L120" s="13"/>
    </row>
    <row r="121" spans="2:12" s="19" customFormat="1" hidden="1" outlineLevel="2">
      <c r="B121" s="8" t="s">
        <v>2868</v>
      </c>
      <c r="C121" s="11" t="s">
        <v>3034</v>
      </c>
      <c r="D121" s="7"/>
      <c r="E121" s="40" t="s">
        <v>2882</v>
      </c>
      <c r="F121" s="37"/>
      <c r="G121" s="11" t="s">
        <v>3034</v>
      </c>
      <c r="H121" s="5" t="str">
        <f t="shared" si="8"/>
        <v>LS-C20-1</v>
      </c>
      <c r="I121" s="38">
        <v>1</v>
      </c>
      <c r="J121" s="13">
        <v>1</v>
      </c>
      <c r="K121" s="13"/>
      <c r="L121" s="13"/>
    </row>
    <row r="122" spans="2:12" s="19" customFormat="1" hidden="1" outlineLevel="2">
      <c r="B122" s="8" t="s">
        <v>2868</v>
      </c>
      <c r="C122" s="11" t="s">
        <v>3034</v>
      </c>
      <c r="D122" s="7"/>
      <c r="E122" s="40" t="s">
        <v>2883</v>
      </c>
      <c r="F122" s="37"/>
      <c r="G122" s="11" t="s">
        <v>3034</v>
      </c>
      <c r="H122" s="5" t="str">
        <f t="shared" si="8"/>
        <v>LS-C20-1</v>
      </c>
      <c r="I122" s="38">
        <v>1</v>
      </c>
      <c r="J122" s="13">
        <v>1</v>
      </c>
      <c r="K122" s="13"/>
      <c r="L122" s="13"/>
    </row>
    <row r="123" spans="2:12" s="19" customFormat="1" hidden="1" outlineLevel="2">
      <c r="B123" s="8" t="s">
        <v>2868</v>
      </c>
      <c r="C123" s="11" t="s">
        <v>3034</v>
      </c>
      <c r="D123" s="7"/>
      <c r="E123" s="40" t="s">
        <v>2997</v>
      </c>
      <c r="F123" s="37"/>
      <c r="G123" s="11" t="s">
        <v>3034</v>
      </c>
      <c r="H123" s="5" t="str">
        <f t="shared" si="8"/>
        <v>LS-C20-1</v>
      </c>
      <c r="I123" s="38">
        <v>1</v>
      </c>
      <c r="J123" s="13">
        <v>1</v>
      </c>
      <c r="K123" s="13"/>
      <c r="L123" s="13"/>
    </row>
    <row r="124" spans="2:12" s="19" customFormat="1" hidden="1" outlineLevel="2">
      <c r="B124" s="8" t="s">
        <v>2868</v>
      </c>
      <c r="C124" s="11" t="s">
        <v>3034</v>
      </c>
      <c r="D124" s="7"/>
      <c r="E124" s="40" t="s">
        <v>2998</v>
      </c>
      <c r="F124" s="37"/>
      <c r="G124" s="11" t="s">
        <v>3034</v>
      </c>
      <c r="H124" s="5" t="str">
        <f t="shared" si="8"/>
        <v>LS-C20-1</v>
      </c>
      <c r="I124" s="38">
        <v>1</v>
      </c>
      <c r="J124" s="13">
        <v>1</v>
      </c>
      <c r="K124" s="13"/>
      <c r="L124" s="13"/>
    </row>
    <row r="125" spans="2:12" s="19" customFormat="1" hidden="1" outlineLevel="2">
      <c r="B125" s="8" t="s">
        <v>2868</v>
      </c>
      <c r="C125" s="11" t="s">
        <v>3034</v>
      </c>
      <c r="D125" s="7"/>
      <c r="E125" s="40" t="s">
        <v>2885</v>
      </c>
      <c r="F125" s="37"/>
      <c r="G125" s="11" t="s">
        <v>3034</v>
      </c>
      <c r="H125" s="5" t="str">
        <f t="shared" si="8"/>
        <v>LS-C20-1</v>
      </c>
      <c r="I125" s="38">
        <v>1</v>
      </c>
      <c r="J125" s="13">
        <v>1</v>
      </c>
      <c r="K125" s="13"/>
      <c r="L125" s="13"/>
    </row>
    <row r="126" spans="2:12" s="19" customFormat="1" hidden="1" outlineLevel="2">
      <c r="B126" s="8" t="s">
        <v>2868</v>
      </c>
      <c r="C126" s="11" t="s">
        <v>3034</v>
      </c>
      <c r="D126" s="7"/>
      <c r="E126" s="40" t="s">
        <v>2886</v>
      </c>
      <c r="F126" s="37"/>
      <c r="G126" s="11" t="s">
        <v>3034</v>
      </c>
      <c r="H126" s="5" t="str">
        <f t="shared" si="8"/>
        <v>LS-C20-1</v>
      </c>
      <c r="I126" s="38">
        <v>1</v>
      </c>
      <c r="J126" s="13">
        <v>1</v>
      </c>
      <c r="K126" s="13"/>
      <c r="L126" s="13"/>
    </row>
    <row r="127" spans="2:12" ht="3" hidden="1" customHeight="1" outlineLevel="1">
      <c r="B127" s="8"/>
      <c r="C127" s="11"/>
      <c r="D127" s="7"/>
      <c r="E127" s="40"/>
      <c r="F127" s="37"/>
      <c r="G127" s="8"/>
      <c r="H127" s="5"/>
      <c r="I127" s="38"/>
      <c r="J127" s="12"/>
      <c r="K127" s="13"/>
      <c r="L127" s="13"/>
    </row>
    <row r="128" spans="2:12" s="19" customFormat="1" hidden="1" outlineLevel="1">
      <c r="B128" s="7" t="s">
        <v>3035</v>
      </c>
      <c r="C128" s="8"/>
      <c r="D128" s="7"/>
      <c r="E128" s="40"/>
      <c r="F128" s="9"/>
      <c r="G128" s="9"/>
      <c r="H128" s="9"/>
      <c r="I128" s="36"/>
      <c r="J128" s="4"/>
      <c r="K128" s="4"/>
      <c r="L128" s="4"/>
    </row>
    <row r="129" spans="1:12" s="19" customFormat="1" hidden="1" outlineLevel="2">
      <c r="A129" s="14"/>
      <c r="B129" s="8" t="s">
        <v>2868</v>
      </c>
      <c r="C129" s="11" t="s">
        <v>3036</v>
      </c>
      <c r="D129" s="7"/>
      <c r="E129" s="40" t="s">
        <v>2996</v>
      </c>
      <c r="F129" s="37"/>
      <c r="G129" s="11" t="s">
        <v>3036</v>
      </c>
      <c r="H129" s="5" t="str">
        <f t="shared" ref="H129:H136" si="9">CONCATENATE("LS-",G129,"-",I129)</f>
        <v>LS-L45-1</v>
      </c>
      <c r="I129" s="38">
        <v>1</v>
      </c>
      <c r="J129" s="13"/>
      <c r="K129" s="13"/>
      <c r="L129" s="13">
        <v>1</v>
      </c>
    </row>
    <row r="130" spans="1:12" s="19" customFormat="1" hidden="1" outlineLevel="2">
      <c r="A130" s="14"/>
      <c r="B130" s="8" t="s">
        <v>2868</v>
      </c>
      <c r="C130" s="11" t="s">
        <v>3036</v>
      </c>
      <c r="D130" s="7"/>
      <c r="E130" s="40" t="s">
        <v>2882</v>
      </c>
      <c r="F130" s="37"/>
      <c r="G130" s="11" t="s">
        <v>3036</v>
      </c>
      <c r="H130" s="5" t="str">
        <f t="shared" si="9"/>
        <v>LS-L45-1</v>
      </c>
      <c r="I130" s="38">
        <v>1</v>
      </c>
      <c r="J130" s="13"/>
      <c r="K130" s="13"/>
      <c r="L130" s="13">
        <v>1</v>
      </c>
    </row>
    <row r="131" spans="1:12" s="19" customFormat="1" hidden="1" outlineLevel="2">
      <c r="A131" s="14"/>
      <c r="B131" s="8" t="s">
        <v>2868</v>
      </c>
      <c r="C131" s="11" t="s">
        <v>3036</v>
      </c>
      <c r="D131" s="7"/>
      <c r="E131" s="40" t="s">
        <v>2883</v>
      </c>
      <c r="F131" s="37"/>
      <c r="G131" s="11" t="s">
        <v>3036</v>
      </c>
      <c r="H131" s="5" t="str">
        <f t="shared" si="9"/>
        <v>LS-L45-1</v>
      </c>
      <c r="I131" s="38">
        <v>1</v>
      </c>
      <c r="J131" s="13"/>
      <c r="K131" s="13"/>
      <c r="L131" s="13">
        <v>1</v>
      </c>
    </row>
    <row r="132" spans="1:12" s="19" customFormat="1" hidden="1" outlineLevel="2">
      <c r="A132" s="14"/>
      <c r="B132" s="8" t="s">
        <v>2868</v>
      </c>
      <c r="C132" s="11" t="s">
        <v>3036</v>
      </c>
      <c r="D132" s="7"/>
      <c r="E132" s="40" t="s">
        <v>2997</v>
      </c>
      <c r="F132" s="37"/>
      <c r="G132" s="11" t="s">
        <v>3036</v>
      </c>
      <c r="H132" s="5" t="str">
        <f t="shared" si="9"/>
        <v>LS-L45-1</v>
      </c>
      <c r="I132" s="38">
        <v>1</v>
      </c>
      <c r="J132" s="13"/>
      <c r="K132" s="13"/>
      <c r="L132" s="13">
        <v>1</v>
      </c>
    </row>
    <row r="133" spans="1:12" s="19" customFormat="1" hidden="1" outlineLevel="2">
      <c r="A133" s="14"/>
      <c r="B133" s="8" t="s">
        <v>2868</v>
      </c>
      <c r="C133" s="11" t="s">
        <v>3036</v>
      </c>
      <c r="D133" s="7"/>
      <c r="E133" s="40" t="s">
        <v>2998</v>
      </c>
      <c r="F133" s="37"/>
      <c r="G133" s="11" t="s">
        <v>3036</v>
      </c>
      <c r="H133" s="5" t="str">
        <f t="shared" si="9"/>
        <v>LS-L45-1</v>
      </c>
      <c r="I133" s="38">
        <v>1</v>
      </c>
      <c r="J133" s="13"/>
      <c r="K133" s="13"/>
      <c r="L133" s="13">
        <v>1</v>
      </c>
    </row>
    <row r="134" spans="1:12" s="19" customFormat="1" hidden="1" outlineLevel="2">
      <c r="A134" s="14"/>
      <c r="B134" s="8" t="s">
        <v>2868</v>
      </c>
      <c r="C134" s="11" t="s">
        <v>3036</v>
      </c>
      <c r="D134" s="7"/>
      <c r="E134" s="40" t="s">
        <v>2888</v>
      </c>
      <c r="F134" s="37"/>
      <c r="G134" s="11" t="s">
        <v>3036</v>
      </c>
      <c r="H134" s="5" t="str">
        <f t="shared" si="9"/>
        <v>LS-L45-1</v>
      </c>
      <c r="I134" s="38">
        <v>1</v>
      </c>
      <c r="J134" s="13"/>
      <c r="K134" s="13"/>
      <c r="L134" s="13">
        <v>1</v>
      </c>
    </row>
    <row r="135" spans="1:12" s="19" customFormat="1" hidden="1" outlineLevel="2">
      <c r="A135" s="14"/>
      <c r="B135" s="8" t="s">
        <v>2868</v>
      </c>
      <c r="C135" s="11" t="s">
        <v>3036</v>
      </c>
      <c r="D135" s="7"/>
      <c r="E135" s="40" t="s">
        <v>2885</v>
      </c>
      <c r="F135" s="37"/>
      <c r="G135" s="11" t="s">
        <v>3036</v>
      </c>
      <c r="H135" s="5" t="str">
        <f t="shared" si="9"/>
        <v>LS-L45-1</v>
      </c>
      <c r="I135" s="38">
        <v>1</v>
      </c>
      <c r="J135" s="13"/>
      <c r="K135" s="13"/>
      <c r="L135" s="13">
        <v>1</v>
      </c>
    </row>
    <row r="136" spans="1:12" s="19" customFormat="1" hidden="1" outlineLevel="2">
      <c r="A136" s="14"/>
      <c r="B136" s="8" t="s">
        <v>2868</v>
      </c>
      <c r="C136" s="11" t="s">
        <v>3036</v>
      </c>
      <c r="D136" s="7"/>
      <c r="E136" s="40" t="s">
        <v>2886</v>
      </c>
      <c r="F136" s="37"/>
      <c r="G136" s="11" t="s">
        <v>3036</v>
      </c>
      <c r="H136" s="5" t="str">
        <f t="shared" si="9"/>
        <v>LS-L45-1</v>
      </c>
      <c r="I136" s="38">
        <v>1</v>
      </c>
      <c r="J136" s="13"/>
      <c r="K136" s="13"/>
      <c r="L136" s="13">
        <v>1</v>
      </c>
    </row>
    <row r="137" spans="1:12" ht="3" customHeight="1">
      <c r="A137" s="10"/>
      <c r="B137" s="8"/>
      <c r="C137" s="11"/>
      <c r="D137" s="7"/>
      <c r="E137" s="40"/>
      <c r="F137" s="37"/>
      <c r="G137" s="8"/>
      <c r="H137" s="5"/>
      <c r="I137" s="38"/>
      <c r="J137" s="12"/>
      <c r="K137" s="13"/>
      <c r="L137" s="13"/>
    </row>
    <row r="138" spans="1:12" s="19" customFormat="1" ht="14.25" customHeight="1" collapsed="1">
      <c r="A138" s="22" t="s">
        <v>102</v>
      </c>
      <c r="B138" s="8"/>
      <c r="C138" s="8"/>
      <c r="D138" s="7"/>
      <c r="E138" s="40"/>
      <c r="F138" s="9"/>
      <c r="G138" s="42" t="s">
        <v>179</v>
      </c>
      <c r="H138" s="42" t="s">
        <v>180</v>
      </c>
      <c r="I138" s="43" t="s">
        <v>181</v>
      </c>
      <c r="J138" s="4"/>
      <c r="K138" s="4"/>
      <c r="L138" s="4"/>
    </row>
    <row r="139" spans="1:12" s="19" customFormat="1" ht="14.25" hidden="1" customHeight="1" outlineLevel="1">
      <c r="A139" s="15"/>
      <c r="B139" s="8" t="s">
        <v>2868</v>
      </c>
      <c r="C139" s="8" t="s">
        <v>2891</v>
      </c>
      <c r="D139" s="16"/>
      <c r="E139" s="40" t="s">
        <v>3037</v>
      </c>
      <c r="F139" s="37"/>
      <c r="G139" s="11" t="s">
        <v>3038</v>
      </c>
      <c r="H139" s="5" t="str">
        <f t="shared" ref="H139:H151" si="10">CONCATENATE(B139,"-",G139,"-",I139)</f>
        <v>LS-SDV-1</v>
      </c>
      <c r="I139" s="38">
        <v>1</v>
      </c>
      <c r="J139" s="12"/>
      <c r="K139" s="13"/>
      <c r="L139" s="13">
        <v>1</v>
      </c>
    </row>
    <row r="140" spans="1:12" s="19" customFormat="1" ht="14.25" hidden="1" customHeight="1" outlineLevel="1">
      <c r="A140" s="15"/>
      <c r="B140" s="8" t="s">
        <v>2868</v>
      </c>
      <c r="C140" s="8" t="s">
        <v>2891</v>
      </c>
      <c r="D140" s="16"/>
      <c r="E140" s="40" t="s">
        <v>2996</v>
      </c>
      <c r="F140" s="37"/>
      <c r="G140" s="11" t="s">
        <v>3038</v>
      </c>
      <c r="H140" s="5" t="str">
        <f t="shared" si="10"/>
        <v>LS-SDV-2</v>
      </c>
      <c r="I140" s="38">
        <v>2</v>
      </c>
      <c r="J140" s="12"/>
      <c r="K140" s="13"/>
      <c r="L140" s="13">
        <v>1</v>
      </c>
    </row>
    <row r="141" spans="1:12" s="19" customFormat="1" ht="14.25" hidden="1" customHeight="1" outlineLevel="1">
      <c r="A141" s="15"/>
      <c r="B141" s="8" t="s">
        <v>2868</v>
      </c>
      <c r="C141" s="8" t="s">
        <v>2891</v>
      </c>
      <c r="D141" s="16"/>
      <c r="E141" s="40" t="s">
        <v>2882</v>
      </c>
      <c r="F141" s="37"/>
      <c r="G141" s="11" t="s">
        <v>3038</v>
      </c>
      <c r="H141" s="5" t="str">
        <f t="shared" si="10"/>
        <v>LS-SDV-1</v>
      </c>
      <c r="I141" s="38">
        <v>1</v>
      </c>
      <c r="J141" s="12"/>
      <c r="K141" s="13"/>
      <c r="L141" s="13">
        <v>1</v>
      </c>
    </row>
    <row r="142" spans="1:12" s="19" customFormat="1" ht="14.25" hidden="1" customHeight="1" outlineLevel="1">
      <c r="A142" s="15"/>
      <c r="B142" s="8" t="s">
        <v>2868</v>
      </c>
      <c r="C142" s="8" t="s">
        <v>2891</v>
      </c>
      <c r="D142" s="16"/>
      <c r="E142" s="40" t="s">
        <v>3039</v>
      </c>
      <c r="F142" s="37"/>
      <c r="G142" s="11" t="s">
        <v>3038</v>
      </c>
      <c r="H142" s="5" t="str">
        <f t="shared" si="10"/>
        <v>LS-SDV-2</v>
      </c>
      <c r="I142" s="38">
        <v>2</v>
      </c>
      <c r="J142" s="12"/>
      <c r="K142" s="13"/>
      <c r="L142" s="13">
        <v>1</v>
      </c>
    </row>
    <row r="143" spans="1:12" s="19" customFormat="1" ht="14.25" hidden="1" customHeight="1" outlineLevel="1">
      <c r="A143" s="15"/>
      <c r="B143" s="8" t="s">
        <v>2868</v>
      </c>
      <c r="C143" s="8" t="s">
        <v>2891</v>
      </c>
      <c r="D143" s="16"/>
      <c r="E143" s="40" t="s">
        <v>2883</v>
      </c>
      <c r="F143" s="37"/>
      <c r="G143" s="11" t="s">
        <v>3038</v>
      </c>
      <c r="H143" s="5" t="str">
        <f t="shared" si="10"/>
        <v>LS-SDV-2</v>
      </c>
      <c r="I143" s="38">
        <v>2</v>
      </c>
      <c r="J143" s="12"/>
      <c r="K143" s="13"/>
      <c r="L143" s="13">
        <v>1</v>
      </c>
    </row>
    <row r="144" spans="1:12" s="19" customFormat="1" hidden="1" outlineLevel="1">
      <c r="A144" s="15"/>
      <c r="B144" s="8" t="s">
        <v>2868</v>
      </c>
      <c r="C144" s="8" t="s">
        <v>2891</v>
      </c>
      <c r="D144" s="16"/>
      <c r="E144" s="40" t="s">
        <v>2997</v>
      </c>
      <c r="F144" s="37"/>
      <c r="G144" s="11" t="s">
        <v>3038</v>
      </c>
      <c r="H144" s="5" t="str">
        <f t="shared" si="10"/>
        <v>LS-SDV-1</v>
      </c>
      <c r="I144" s="38">
        <v>1</v>
      </c>
      <c r="J144" s="12"/>
      <c r="K144" s="13"/>
      <c r="L144" s="13">
        <v>1</v>
      </c>
    </row>
    <row r="145" spans="1:12" s="19" customFormat="1" ht="14.25" hidden="1" customHeight="1" outlineLevel="1">
      <c r="A145" s="15"/>
      <c r="B145" s="8" t="s">
        <v>2868</v>
      </c>
      <c r="C145" s="8" t="s">
        <v>2891</v>
      </c>
      <c r="D145" s="16"/>
      <c r="E145" s="40" t="s">
        <v>2998</v>
      </c>
      <c r="F145" s="37"/>
      <c r="G145" s="11" t="s">
        <v>3038</v>
      </c>
      <c r="H145" s="5" t="str">
        <f t="shared" si="10"/>
        <v>LS-SDV-1</v>
      </c>
      <c r="I145" s="38">
        <v>1</v>
      </c>
      <c r="J145" s="12"/>
      <c r="K145" s="13"/>
      <c r="L145" s="13">
        <v>1</v>
      </c>
    </row>
    <row r="146" spans="1:12" s="19" customFormat="1" ht="14.25" hidden="1" customHeight="1" outlineLevel="1">
      <c r="A146" s="15"/>
      <c r="B146" s="8" t="s">
        <v>2868</v>
      </c>
      <c r="C146" s="8" t="s">
        <v>2891</v>
      </c>
      <c r="D146" s="16"/>
      <c r="E146" s="40" t="s">
        <v>3040</v>
      </c>
      <c r="F146" s="37"/>
      <c r="G146" s="11" t="s">
        <v>3038</v>
      </c>
      <c r="H146" s="5" t="str">
        <f t="shared" si="10"/>
        <v>LS-SDV-1</v>
      </c>
      <c r="I146" s="38">
        <v>1</v>
      </c>
      <c r="J146" s="12"/>
      <c r="K146" s="13"/>
      <c r="L146" s="13">
        <v>1</v>
      </c>
    </row>
    <row r="147" spans="1:12" s="19" customFormat="1" ht="14.25" hidden="1" customHeight="1" outlineLevel="1">
      <c r="A147" s="15"/>
      <c r="B147" s="8" t="s">
        <v>2868</v>
      </c>
      <c r="C147" s="8" t="s">
        <v>2891</v>
      </c>
      <c r="D147" s="16"/>
      <c r="E147" s="40" t="s">
        <v>2888</v>
      </c>
      <c r="F147" s="37"/>
      <c r="G147" s="11" t="s">
        <v>3038</v>
      </c>
      <c r="H147" s="5" t="str">
        <f t="shared" si="10"/>
        <v>LS-SDV-9</v>
      </c>
      <c r="I147" s="38">
        <v>9</v>
      </c>
      <c r="J147" s="12"/>
      <c r="K147" s="13"/>
      <c r="L147" s="13">
        <v>1</v>
      </c>
    </row>
    <row r="148" spans="1:12" s="19" customFormat="1" ht="14.25" hidden="1" customHeight="1" outlineLevel="1">
      <c r="A148" s="15"/>
      <c r="B148" s="8" t="s">
        <v>2868</v>
      </c>
      <c r="C148" s="8" t="s">
        <v>2891</v>
      </c>
      <c r="D148" s="16"/>
      <c r="E148" s="40" t="s">
        <v>2885</v>
      </c>
      <c r="F148" s="37"/>
      <c r="G148" s="11" t="s">
        <v>3038</v>
      </c>
      <c r="H148" s="5" t="str">
        <f t="shared" si="10"/>
        <v>LS-SDV-9</v>
      </c>
      <c r="I148" s="38">
        <v>9</v>
      </c>
      <c r="J148" s="12"/>
      <c r="K148" s="13"/>
      <c r="L148" s="13">
        <v>1</v>
      </c>
    </row>
    <row r="149" spans="1:12" s="19" customFormat="1" ht="14.25" hidden="1" customHeight="1" outlineLevel="1">
      <c r="A149" s="15"/>
      <c r="B149" s="8" t="s">
        <v>2868</v>
      </c>
      <c r="C149" s="8" t="s">
        <v>2891</v>
      </c>
      <c r="D149" s="16"/>
      <c r="E149" s="40" t="s">
        <v>2886</v>
      </c>
      <c r="F149" s="37"/>
      <c r="G149" s="11" t="s">
        <v>3038</v>
      </c>
      <c r="H149" s="5" t="str">
        <f t="shared" si="10"/>
        <v>LS-SDV-2</v>
      </c>
      <c r="I149" s="38">
        <v>2</v>
      </c>
      <c r="J149" s="12"/>
      <c r="K149" s="13"/>
      <c r="L149" s="13">
        <v>1</v>
      </c>
    </row>
    <row r="150" spans="1:12" s="19" customFormat="1" ht="14.25" hidden="1" customHeight="1" outlineLevel="1">
      <c r="A150" s="15"/>
      <c r="B150" s="8" t="s">
        <v>2868</v>
      </c>
      <c r="C150" s="8" t="s">
        <v>2891</v>
      </c>
      <c r="D150" s="16"/>
      <c r="E150" s="40" t="s">
        <v>3041</v>
      </c>
      <c r="F150" s="37"/>
      <c r="G150" s="11" t="s">
        <v>3038</v>
      </c>
      <c r="H150" s="5" t="str">
        <f t="shared" si="10"/>
        <v>LS-SDV-9</v>
      </c>
      <c r="I150" s="38">
        <v>9</v>
      </c>
      <c r="J150" s="12"/>
      <c r="K150" s="13"/>
      <c r="L150" s="13">
        <v>1</v>
      </c>
    </row>
    <row r="151" spans="1:12" s="19" customFormat="1" ht="14.25" hidden="1" customHeight="1" outlineLevel="1">
      <c r="A151" s="15"/>
      <c r="B151" s="8" t="s">
        <v>2868</v>
      </c>
      <c r="C151" s="8" t="s">
        <v>2891</v>
      </c>
      <c r="D151" s="16"/>
      <c r="E151" s="40" t="s">
        <v>3042</v>
      </c>
      <c r="F151" s="37"/>
      <c r="G151" s="11" t="s">
        <v>3038</v>
      </c>
      <c r="H151" s="5" t="str">
        <f t="shared" si="10"/>
        <v>LS-SDV-9</v>
      </c>
      <c r="I151" s="38">
        <v>9</v>
      </c>
      <c r="J151" s="12"/>
      <c r="K151" s="13"/>
      <c r="L151" s="13">
        <v>1</v>
      </c>
    </row>
    <row r="152" spans="1:12" ht="3" customHeight="1">
      <c r="A152" s="10"/>
      <c r="B152" s="8"/>
      <c r="C152" s="11"/>
      <c r="D152" s="7"/>
      <c r="E152" s="40"/>
      <c r="F152" s="37"/>
      <c r="G152" s="8"/>
      <c r="H152" s="5"/>
      <c r="I152" s="38"/>
      <c r="J152" s="12"/>
      <c r="K152" s="13"/>
      <c r="L152" s="13"/>
    </row>
    <row r="153" spans="1:12" s="19" customFormat="1" ht="14.25" customHeight="1" collapsed="1">
      <c r="A153" s="22" t="s">
        <v>27</v>
      </c>
      <c r="B153" s="8"/>
      <c r="C153" s="8"/>
      <c r="D153" s="7"/>
      <c r="E153" s="40"/>
      <c r="F153" s="9"/>
      <c r="G153" s="42" t="s">
        <v>179</v>
      </c>
      <c r="H153" s="42" t="s">
        <v>180</v>
      </c>
      <c r="I153" s="43" t="s">
        <v>181</v>
      </c>
      <c r="J153" s="4"/>
      <c r="K153" s="4"/>
      <c r="L153" s="4"/>
    </row>
    <row r="154" spans="1:12" s="19" customFormat="1" ht="14.25" hidden="1" customHeight="1" outlineLevel="1">
      <c r="A154" s="15"/>
      <c r="B154" s="8" t="s">
        <v>2868</v>
      </c>
      <c r="C154" s="8" t="s">
        <v>2854</v>
      </c>
      <c r="D154" s="16"/>
      <c r="E154" s="40" t="s">
        <v>3043</v>
      </c>
      <c r="F154" s="37"/>
      <c r="G154" s="11" t="s">
        <v>3044</v>
      </c>
      <c r="H154" s="5" t="str">
        <f t="shared" ref="H154:H160" si="11">CONCATENATE(B154,"-",G154,"-",I154)</f>
        <v>LS-AMN-2</v>
      </c>
      <c r="I154" s="38">
        <v>2</v>
      </c>
      <c r="J154" s="12"/>
      <c r="K154" s="13"/>
      <c r="L154" s="13">
        <v>1</v>
      </c>
    </row>
    <row r="155" spans="1:12" s="19" customFormat="1" ht="14.25" hidden="1" customHeight="1" outlineLevel="1">
      <c r="A155" s="15"/>
      <c r="B155" s="8" t="s">
        <v>2868</v>
      </c>
      <c r="C155" s="8" t="s">
        <v>2854</v>
      </c>
      <c r="D155" s="16"/>
      <c r="E155" s="40" t="s">
        <v>3045</v>
      </c>
      <c r="F155" s="37"/>
      <c r="G155" s="11" t="s">
        <v>3044</v>
      </c>
      <c r="H155" s="5" t="str">
        <f t="shared" si="11"/>
        <v>LS-AMN-2</v>
      </c>
      <c r="I155" s="38">
        <v>2</v>
      </c>
      <c r="J155" s="12"/>
      <c r="K155" s="13"/>
      <c r="L155" s="13">
        <v>1</v>
      </c>
    </row>
    <row r="156" spans="1:12" s="19" customFormat="1" ht="14.25" hidden="1" customHeight="1" outlineLevel="1">
      <c r="A156" s="15"/>
      <c r="B156" s="8" t="s">
        <v>2868</v>
      </c>
      <c r="C156" s="8" t="s">
        <v>2854</v>
      </c>
      <c r="D156" s="16"/>
      <c r="E156" s="40" t="s">
        <v>3046</v>
      </c>
      <c r="F156" s="37"/>
      <c r="G156" s="11" t="s">
        <v>3044</v>
      </c>
      <c r="H156" s="5" t="str">
        <f t="shared" si="11"/>
        <v>LS-AMN-3</v>
      </c>
      <c r="I156" s="38">
        <v>3</v>
      </c>
      <c r="J156" s="12"/>
      <c r="K156" s="13"/>
      <c r="L156" s="13">
        <v>1</v>
      </c>
    </row>
    <row r="157" spans="1:12" s="19" customFormat="1" ht="14.25" hidden="1" customHeight="1" outlineLevel="1">
      <c r="A157" s="15"/>
      <c r="B157" s="8" t="s">
        <v>2868</v>
      </c>
      <c r="C157" s="8" t="s">
        <v>3044</v>
      </c>
      <c r="D157" s="16"/>
      <c r="E157" s="40" t="s">
        <v>3047</v>
      </c>
      <c r="F157" s="37"/>
      <c r="G157" s="11" t="s">
        <v>3044</v>
      </c>
      <c r="H157" s="5" t="str">
        <f t="shared" si="11"/>
        <v>LS-AMN-4</v>
      </c>
      <c r="I157" s="38">
        <v>4</v>
      </c>
      <c r="J157" s="12"/>
      <c r="K157" s="12"/>
      <c r="L157" s="13">
        <v>1</v>
      </c>
    </row>
    <row r="158" spans="1:12" s="19" customFormat="1" ht="14.25" hidden="1" customHeight="1" outlineLevel="1">
      <c r="A158" s="15"/>
      <c r="B158" s="8" t="s">
        <v>2868</v>
      </c>
      <c r="C158" s="8" t="s">
        <v>3044</v>
      </c>
      <c r="D158" s="16"/>
      <c r="E158" s="40" t="s">
        <v>3048</v>
      </c>
      <c r="F158" s="37"/>
      <c r="G158" s="11" t="s">
        <v>3044</v>
      </c>
      <c r="H158" s="5" t="str">
        <f t="shared" si="11"/>
        <v>LS-AMN-4</v>
      </c>
      <c r="I158" s="38">
        <v>4</v>
      </c>
      <c r="J158" s="12"/>
      <c r="K158" s="13"/>
      <c r="L158" s="13">
        <v>1</v>
      </c>
    </row>
    <row r="159" spans="1:12" s="19" customFormat="1" ht="14.25" hidden="1" customHeight="1" outlineLevel="1">
      <c r="A159" s="15"/>
      <c r="B159" s="8" t="s">
        <v>2868</v>
      </c>
      <c r="C159" s="8" t="s">
        <v>3044</v>
      </c>
      <c r="D159" s="16"/>
      <c r="E159" s="40" t="s">
        <v>3049</v>
      </c>
      <c r="F159" s="37"/>
      <c r="G159" s="11" t="s">
        <v>3044</v>
      </c>
      <c r="H159" s="5" t="str">
        <f t="shared" si="11"/>
        <v>LS-AMN-4</v>
      </c>
      <c r="I159" s="38">
        <v>4</v>
      </c>
      <c r="J159" s="12"/>
      <c r="K159" s="13"/>
      <c r="L159" s="13">
        <v>1</v>
      </c>
    </row>
    <row r="160" spans="1:12" s="19" customFormat="1" ht="14.25" hidden="1" customHeight="1" outlineLevel="1">
      <c r="A160" s="15"/>
      <c r="B160" s="8" t="s">
        <v>2868</v>
      </c>
      <c r="C160" s="8" t="s">
        <v>3044</v>
      </c>
      <c r="D160" s="16"/>
      <c r="E160" s="40" t="s">
        <v>3050</v>
      </c>
      <c r="F160" s="37"/>
      <c r="G160" s="11" t="s">
        <v>3044</v>
      </c>
      <c r="H160" s="5" t="str">
        <f t="shared" si="11"/>
        <v>LS-AMN-4</v>
      </c>
      <c r="I160" s="38">
        <v>4</v>
      </c>
      <c r="J160" s="12"/>
      <c r="K160" s="13"/>
      <c r="L160" s="13">
        <v>1</v>
      </c>
    </row>
  </sheetData>
  <mergeCells count="6">
    <mergeCell ref="Y2:Y4"/>
    <mergeCell ref="G2:G4"/>
    <mergeCell ref="H2:H4"/>
    <mergeCell ref="I2:I4"/>
    <mergeCell ref="J2:K2"/>
    <mergeCell ref="L2:L4"/>
  </mergeCells>
  <conditionalFormatting sqref="J1:J5 K1:N1 K5:N5 L2:N4 Y2">
    <cfRule type="iconSet" priority="616">
      <iconSet iconSet="3Symbols2" showValue="0">
        <cfvo type="percent" val="0"/>
        <cfvo type="num" val="0"/>
        <cfvo type="num" val="1"/>
      </iconSet>
    </cfRule>
  </conditionalFormatting>
  <conditionalFormatting sqref="J6 J26 J29 J45 J63 J88:J97 J120:J126 J129:J136 J139:J151 J156:J1048576">
    <cfRule type="iconSet" priority="653">
      <iconSet iconSet="3Symbols2" showValue="0">
        <cfvo type="percent" val="0"/>
        <cfvo type="num" val="0"/>
        <cfvo type="num" val="0"/>
      </iconSet>
    </cfRule>
  </conditionalFormatting>
  <conditionalFormatting sqref="J7:J8 J10">
    <cfRule type="iconSet" priority="556">
      <iconSet iconSet="3Symbols2" showValue="0">
        <cfvo type="percent" val="0"/>
        <cfvo type="num" val="0"/>
        <cfvo type="num" val="0"/>
      </iconSet>
    </cfRule>
  </conditionalFormatting>
  <conditionalFormatting sqref="J9">
    <cfRule type="iconSet" priority="555">
      <iconSet iconSet="3Symbols2" showValue="0">
        <cfvo type="percent" val="0"/>
        <cfvo type="num" val="0"/>
        <cfvo type="num" val="0"/>
      </iconSet>
    </cfRule>
  </conditionalFormatting>
  <conditionalFormatting sqref="J11">
    <cfRule type="iconSet" priority="615">
      <iconSet iconSet="3Symbols2" showValue="0">
        <cfvo type="percent" val="0"/>
        <cfvo type="num" val="0"/>
        <cfvo type="num" val="0"/>
      </iconSet>
    </cfRule>
  </conditionalFormatting>
  <conditionalFormatting sqref="J12">
    <cfRule type="iconSet" priority="655">
      <iconSet iconSet="3Symbols2" showValue="0">
        <cfvo type="percent" val="0"/>
        <cfvo type="num" val="0"/>
        <cfvo type="num" val="0"/>
      </iconSet>
    </cfRule>
  </conditionalFormatting>
  <conditionalFormatting sqref="J13:J18">
    <cfRule type="iconSet" priority="1">
      <iconSet iconSet="3Symbols2" showValue="0">
        <cfvo type="percent" val="0"/>
        <cfvo type="num" val="0"/>
        <cfvo type="num" val="0"/>
      </iconSet>
    </cfRule>
  </conditionalFormatting>
  <conditionalFormatting sqref="J19:J23 L13:N18 M19:N23">
    <cfRule type="iconSet" priority="552">
      <iconSet iconSet="3Symbols2" showValue="0">
        <cfvo type="percent" val="0"/>
        <cfvo type="num" val="0"/>
        <cfvo type="num" val="0"/>
      </iconSet>
    </cfRule>
  </conditionalFormatting>
  <conditionalFormatting sqref="J24">
    <cfRule type="iconSet" priority="612">
      <iconSet iconSet="3Symbols2" showValue="0">
        <cfvo type="percent" val="0"/>
        <cfvo type="num" val="0"/>
        <cfvo type="num" val="0"/>
      </iconSet>
    </cfRule>
  </conditionalFormatting>
  <conditionalFormatting sqref="J25">
    <cfRule type="iconSet" priority="656">
      <iconSet iconSet="3Symbols2" showValue="0">
        <cfvo type="percent" val="0"/>
        <cfvo type="num" val="0"/>
        <cfvo type="num" val="0"/>
      </iconSet>
    </cfRule>
  </conditionalFormatting>
  <conditionalFormatting sqref="J27">
    <cfRule type="iconSet" priority="609">
      <iconSet iconSet="3Symbols2" showValue="0">
        <cfvo type="percent" val="0"/>
        <cfvo type="num" val="0"/>
        <cfvo type="num" val="0"/>
      </iconSet>
    </cfRule>
  </conditionalFormatting>
  <conditionalFormatting sqref="J28">
    <cfRule type="iconSet" priority="657">
      <iconSet iconSet="3Symbols2" showValue="0">
        <cfvo type="percent" val="0"/>
        <cfvo type="num" val="0"/>
        <cfvo type="num" val="0"/>
      </iconSet>
    </cfRule>
  </conditionalFormatting>
  <conditionalFormatting sqref="J30:J39">
    <cfRule type="iconSet" priority="562">
      <iconSet iconSet="3Symbols2" showValue="0">
        <cfvo type="percent" val="0"/>
        <cfvo type="num" val="0"/>
        <cfvo type="num" val="0"/>
      </iconSet>
    </cfRule>
  </conditionalFormatting>
  <conditionalFormatting sqref="J40">
    <cfRule type="iconSet" priority="606">
      <iconSet iconSet="3Symbols2" showValue="0">
        <cfvo type="percent" val="0"/>
        <cfvo type="num" val="0"/>
        <cfvo type="num" val="0"/>
      </iconSet>
    </cfRule>
  </conditionalFormatting>
  <conditionalFormatting sqref="J41">
    <cfRule type="iconSet" priority="658">
      <iconSet iconSet="3Symbols2" showValue="0">
        <cfvo type="percent" val="0"/>
        <cfvo type="num" val="0"/>
        <cfvo type="num" val="0"/>
      </iconSet>
    </cfRule>
  </conditionalFormatting>
  <conditionalFormatting sqref="J42">
    <cfRule type="iconSet" priority="554">
      <iconSet iconSet="3Symbols2" showValue="0">
        <cfvo type="percent" val="0"/>
        <cfvo type="num" val="0"/>
        <cfvo type="num" val="0"/>
      </iconSet>
    </cfRule>
  </conditionalFormatting>
  <conditionalFormatting sqref="J43">
    <cfRule type="iconSet" priority="603">
      <iconSet iconSet="3Symbols2" showValue="0">
        <cfvo type="percent" val="0"/>
        <cfvo type="num" val="0"/>
        <cfvo type="num" val="0"/>
      </iconSet>
    </cfRule>
  </conditionalFormatting>
  <conditionalFormatting sqref="J44">
    <cfRule type="iconSet" priority="659">
      <iconSet iconSet="3Symbols2" showValue="0">
        <cfvo type="percent" val="0"/>
        <cfvo type="num" val="0"/>
        <cfvo type="num" val="0"/>
      </iconSet>
    </cfRule>
  </conditionalFormatting>
  <conditionalFormatting sqref="J46:J55">
    <cfRule type="iconSet" priority="559">
      <iconSet iconSet="3Symbols2" showValue="0">
        <cfvo type="percent" val="0"/>
        <cfvo type="num" val="0"/>
        <cfvo type="num" val="0"/>
      </iconSet>
    </cfRule>
  </conditionalFormatting>
  <conditionalFormatting sqref="J56">
    <cfRule type="iconSet" priority="600">
      <iconSet iconSet="3Symbols2" showValue="0">
        <cfvo type="percent" val="0"/>
        <cfvo type="num" val="0"/>
        <cfvo type="num" val="0"/>
      </iconSet>
    </cfRule>
  </conditionalFormatting>
  <conditionalFormatting sqref="J57">
    <cfRule type="iconSet" priority="660">
      <iconSet iconSet="3Symbols2" showValue="0">
        <cfvo type="percent" val="0"/>
        <cfvo type="num" val="0"/>
        <cfvo type="num" val="0"/>
      </iconSet>
    </cfRule>
  </conditionalFormatting>
  <conditionalFormatting sqref="J58">
    <cfRule type="iconSet" priority="553">
      <iconSet iconSet="3Symbols2" showValue="0">
        <cfvo type="percent" val="0"/>
        <cfvo type="num" val="0"/>
        <cfvo type="num" val="0"/>
      </iconSet>
    </cfRule>
  </conditionalFormatting>
  <conditionalFormatting sqref="J59">
    <cfRule type="iconSet" priority="597">
      <iconSet iconSet="3Symbols2" showValue="0">
        <cfvo type="percent" val="0"/>
        <cfvo type="num" val="0"/>
        <cfvo type="num" val="0"/>
      </iconSet>
    </cfRule>
  </conditionalFormatting>
  <conditionalFormatting sqref="J60">
    <cfRule type="iconSet" priority="535">
      <iconSet iconSet="3Symbols2" showValue="0">
        <cfvo type="percent" val="0"/>
        <cfvo type="num" val="0"/>
        <cfvo type="num" val="0"/>
      </iconSet>
    </cfRule>
  </conditionalFormatting>
  <conditionalFormatting sqref="J61">
    <cfRule type="iconSet" priority="532">
      <iconSet iconSet="3Symbols2" showValue="0">
        <cfvo type="percent" val="0"/>
        <cfvo type="num" val="0"/>
        <cfvo type="num" val="0"/>
      </iconSet>
    </cfRule>
  </conditionalFormatting>
  <conditionalFormatting sqref="J62">
    <cfRule type="iconSet" priority="666">
      <iconSet iconSet="3Symbols2" showValue="0">
        <cfvo type="percent" val="0"/>
        <cfvo type="num" val="0"/>
        <cfvo type="num" val="0"/>
      </iconSet>
    </cfRule>
  </conditionalFormatting>
  <conditionalFormatting sqref="J64">
    <cfRule type="iconSet" priority="672">
      <iconSet iconSet="3Symbols2" showValue="0">
        <cfvo type="percent" val="0"/>
        <cfvo type="num" val="0"/>
        <cfvo type="num" val="0"/>
      </iconSet>
    </cfRule>
  </conditionalFormatting>
  <conditionalFormatting sqref="J65">
    <cfRule type="iconSet" priority="570">
      <iconSet iconSet="3Symbols2" showValue="0">
        <cfvo type="percent" val="0"/>
        <cfvo type="num" val="0"/>
        <cfvo type="num" val="0"/>
      </iconSet>
    </cfRule>
  </conditionalFormatting>
  <conditionalFormatting sqref="J66:J74">
    <cfRule type="iconSet" priority="675">
      <iconSet iconSet="3Symbols2" showValue="0">
        <cfvo type="percent" val="0"/>
        <cfvo type="num" val="0"/>
        <cfvo type="num" val="0"/>
      </iconSet>
    </cfRule>
  </conditionalFormatting>
  <conditionalFormatting sqref="J75">
    <cfRule type="iconSet" priority="539">
      <iconSet iconSet="3Symbols2" showValue="0">
        <cfvo type="percent" val="0"/>
        <cfvo type="num" val="0"/>
        <cfvo type="num" val="0"/>
      </iconSet>
    </cfRule>
  </conditionalFormatting>
  <conditionalFormatting sqref="J76:J84">
    <cfRule type="iconSet" priority="542">
      <iconSet iconSet="3Symbols2" showValue="0">
        <cfvo type="percent" val="0"/>
        <cfvo type="num" val="0"/>
        <cfvo type="num" val="0"/>
      </iconSet>
    </cfRule>
  </conditionalFormatting>
  <conditionalFormatting sqref="J85">
    <cfRule type="iconSet" priority="567">
      <iconSet iconSet="3Symbols2" showValue="0">
        <cfvo type="percent" val="0"/>
        <cfvo type="num" val="0"/>
        <cfvo type="num" val="0"/>
      </iconSet>
    </cfRule>
  </conditionalFormatting>
  <conditionalFormatting sqref="J86">
    <cfRule type="iconSet" priority="669">
      <iconSet iconSet="3Symbols2" showValue="0">
        <cfvo type="percent" val="0"/>
        <cfvo type="num" val="0"/>
        <cfvo type="num" val="0"/>
      </iconSet>
    </cfRule>
  </conditionalFormatting>
  <conditionalFormatting sqref="J87">
    <cfRule type="iconSet" priority="661">
      <iconSet iconSet="3Symbols2" showValue="0">
        <cfvo type="percent" val="0"/>
        <cfvo type="num" val="0"/>
        <cfvo type="num" val="0"/>
      </iconSet>
    </cfRule>
  </conditionalFormatting>
  <conditionalFormatting sqref="J98">
    <cfRule type="iconSet" priority="594">
      <iconSet iconSet="3Symbols2" showValue="0">
        <cfvo type="percent" val="0"/>
        <cfvo type="num" val="0"/>
        <cfvo type="num" val="0"/>
      </iconSet>
    </cfRule>
  </conditionalFormatting>
  <conditionalFormatting sqref="J99">
    <cfRule type="iconSet" priority="662">
      <iconSet iconSet="3Symbols2" showValue="0">
        <cfvo type="percent" val="0"/>
        <cfvo type="num" val="0"/>
        <cfvo type="num" val="0"/>
      </iconSet>
    </cfRule>
  </conditionalFormatting>
  <conditionalFormatting sqref="J100:J107">
    <cfRule type="iconSet" priority="2">
      <iconSet iconSet="3Symbols2" showValue="0">
        <cfvo type="percent" val="0"/>
        <cfvo type="num" val="0"/>
        <cfvo type="num" val="0"/>
      </iconSet>
    </cfRule>
  </conditionalFormatting>
  <conditionalFormatting sqref="J108">
    <cfRule type="iconSet" priority="591">
      <iconSet iconSet="3Symbols2" showValue="0">
        <cfvo type="percent" val="0"/>
        <cfvo type="num" val="0"/>
        <cfvo type="num" val="0"/>
      </iconSet>
    </cfRule>
  </conditionalFormatting>
  <conditionalFormatting sqref="J109">
    <cfRule type="iconSet" priority="663">
      <iconSet iconSet="3Symbols2" showValue="0">
        <cfvo type="percent" val="0"/>
        <cfvo type="num" val="0"/>
        <cfvo type="num" val="0"/>
      </iconSet>
    </cfRule>
  </conditionalFormatting>
  <conditionalFormatting sqref="J110:J117">
    <cfRule type="iconSet" priority="654">
      <iconSet iconSet="3Symbols2" showValue="0">
        <cfvo type="percent" val="0"/>
        <cfvo type="num" val="0"/>
        <cfvo type="num" val="0"/>
      </iconSet>
    </cfRule>
  </conditionalFormatting>
  <conditionalFormatting sqref="J118">
    <cfRule type="iconSet" priority="588">
      <iconSet iconSet="3Symbols2" showValue="0">
        <cfvo type="percent" val="0"/>
        <cfvo type="num" val="0"/>
        <cfvo type="num" val="0"/>
      </iconSet>
    </cfRule>
  </conditionalFormatting>
  <conditionalFormatting sqref="J119">
    <cfRule type="iconSet" priority="664">
      <iconSet iconSet="3Symbols2" showValue="0">
        <cfvo type="percent" val="0"/>
        <cfvo type="num" val="0"/>
        <cfvo type="num" val="0"/>
      </iconSet>
    </cfRule>
  </conditionalFormatting>
  <conditionalFormatting sqref="J127">
    <cfRule type="iconSet" priority="585">
      <iconSet iconSet="3Symbols2" showValue="0">
        <cfvo type="percent" val="0"/>
        <cfvo type="num" val="0"/>
        <cfvo type="num" val="0"/>
      </iconSet>
    </cfRule>
  </conditionalFormatting>
  <conditionalFormatting sqref="J128">
    <cfRule type="iconSet" priority="665">
      <iconSet iconSet="3Symbols2" showValue="0">
        <cfvo type="percent" val="0"/>
        <cfvo type="num" val="0"/>
        <cfvo type="num" val="0"/>
      </iconSet>
    </cfRule>
  </conditionalFormatting>
  <conditionalFormatting sqref="J137">
    <cfRule type="iconSet" priority="582">
      <iconSet iconSet="3Symbols2" showValue="0">
        <cfvo type="percent" val="0"/>
        <cfvo type="num" val="0"/>
        <cfvo type="num" val="0"/>
      </iconSet>
    </cfRule>
  </conditionalFormatting>
  <conditionalFormatting sqref="J138">
    <cfRule type="iconSet" priority="667">
      <iconSet iconSet="3Symbols2" showValue="0">
        <cfvo type="percent" val="0"/>
        <cfvo type="num" val="0"/>
        <cfvo type="num" val="0"/>
      </iconSet>
    </cfRule>
  </conditionalFormatting>
  <conditionalFormatting sqref="J152">
    <cfRule type="iconSet" priority="579">
      <iconSet iconSet="3Symbols2" showValue="0">
        <cfvo type="percent" val="0"/>
        <cfvo type="num" val="0"/>
        <cfvo type="num" val="0"/>
      </iconSet>
    </cfRule>
  </conditionalFormatting>
  <conditionalFormatting sqref="J153">
    <cfRule type="iconSet" priority="668">
      <iconSet iconSet="3Symbols2" showValue="0">
        <cfvo type="percent" val="0"/>
        <cfvo type="num" val="0"/>
        <cfvo type="num" val="0"/>
      </iconSet>
    </cfRule>
  </conditionalFormatting>
  <conditionalFormatting sqref="J154">
    <cfRule type="iconSet" priority="573">
      <iconSet iconSet="3Symbols2" showValue="0">
        <cfvo type="percent" val="0"/>
        <cfvo type="num" val="0"/>
        <cfvo type="num" val="0"/>
      </iconSet>
    </cfRule>
  </conditionalFormatting>
  <conditionalFormatting sqref="J155">
    <cfRule type="iconSet" priority="576">
      <iconSet iconSet="3Symbols2" showValue="0">
        <cfvo type="percent" val="0"/>
        <cfvo type="num" val="0"/>
        <cfvo type="num" val="0"/>
      </iconSet>
    </cfRule>
  </conditionalFormatting>
  <conditionalFormatting sqref="K13 K26 K29 K45 K63 K100:K107 K129:K136 K139:K151 K156:K160 K6:N8 K10:N10 K42:N42 K58:N58 K88:N97 K120:N126 K161:N1048576">
    <cfRule type="iconSet" priority="652">
      <iconSet iconSet="3Symbols2" showValue="0">
        <cfvo type="percent" val="0"/>
        <cfvo type="num" val="0"/>
        <cfvo type="num" val="0"/>
      </iconSet>
    </cfRule>
  </conditionalFormatting>
  <conditionalFormatting sqref="K14:K23">
    <cfRule type="iconSet" priority="564">
      <iconSet iconSet="3Symbols2" showValue="0">
        <cfvo type="percent" val="0"/>
        <cfvo type="num" val="0"/>
        <cfvo type="num" val="0"/>
      </iconSet>
    </cfRule>
  </conditionalFormatting>
  <conditionalFormatting sqref="K30:K39">
    <cfRule type="iconSet" priority="561">
      <iconSet iconSet="3Symbols2" showValue="0">
        <cfvo type="percent" val="0"/>
        <cfvo type="num" val="0"/>
        <cfvo type="num" val="0"/>
      </iconSet>
    </cfRule>
  </conditionalFormatting>
  <conditionalFormatting sqref="K46:K55">
    <cfRule type="iconSet" priority="558">
      <iconSet iconSet="3Symbols2" showValue="0">
        <cfvo type="percent" val="0"/>
        <cfvo type="num" val="0"/>
        <cfvo type="num" val="0"/>
      </iconSet>
    </cfRule>
  </conditionalFormatting>
  <conditionalFormatting sqref="K66:K74">
    <cfRule type="iconSet" priority="673">
      <iconSet iconSet="3Symbols2" showValue="0">
        <cfvo type="percent" val="0"/>
        <cfvo type="num" val="0"/>
        <cfvo type="num" val="0"/>
      </iconSet>
    </cfRule>
  </conditionalFormatting>
  <conditionalFormatting sqref="K76:K84">
    <cfRule type="iconSet" priority="540">
      <iconSet iconSet="3Symbols2" showValue="0">
        <cfvo type="percent" val="0"/>
        <cfvo type="num" val="0"/>
        <cfvo type="num" val="0"/>
      </iconSet>
    </cfRule>
  </conditionalFormatting>
  <conditionalFormatting sqref="K110:K117">
    <cfRule type="iconSet" priority="651">
      <iconSet iconSet="3Symbols2" showValue="0">
        <cfvo type="percent" val="0"/>
        <cfvo type="num" val="0"/>
        <cfvo type="num" val="0"/>
      </iconSet>
    </cfRule>
  </conditionalFormatting>
  <conditionalFormatting sqref="K154">
    <cfRule type="iconSet" priority="572">
      <iconSet iconSet="3Symbols2" showValue="0">
        <cfvo type="percent" val="0"/>
        <cfvo type="num" val="0"/>
        <cfvo type="num" val="0"/>
      </iconSet>
    </cfRule>
  </conditionalFormatting>
  <conditionalFormatting sqref="K155">
    <cfRule type="iconSet" priority="575">
      <iconSet iconSet="3Symbols2" showValue="0">
        <cfvo type="percent" val="0"/>
        <cfvo type="num" val="0"/>
        <cfvo type="num" val="0"/>
      </iconSet>
    </cfRule>
  </conditionalFormatting>
  <conditionalFormatting sqref="K9:N9">
    <cfRule type="iconSet" priority="650">
      <iconSet iconSet="3Symbols2" showValue="0">
        <cfvo type="percent" val="0"/>
        <cfvo type="num" val="0"/>
        <cfvo type="num" val="0"/>
      </iconSet>
    </cfRule>
  </conditionalFormatting>
  <conditionalFormatting sqref="K11:N11">
    <cfRule type="iconSet" priority="614">
      <iconSet iconSet="3Symbols2" showValue="0">
        <cfvo type="percent" val="0"/>
        <cfvo type="num" val="0"/>
        <cfvo type="num" val="0"/>
      </iconSet>
    </cfRule>
  </conditionalFormatting>
  <conditionalFormatting sqref="K12:N12">
    <cfRule type="iconSet" priority="649">
      <iconSet iconSet="3Symbols2" showValue="0">
        <cfvo type="percent" val="0"/>
        <cfvo type="num" val="0"/>
        <cfvo type="num" val="0"/>
      </iconSet>
    </cfRule>
  </conditionalFormatting>
  <conditionalFormatting sqref="K24:N24">
    <cfRule type="iconSet" priority="611">
      <iconSet iconSet="3Symbols2" showValue="0">
        <cfvo type="percent" val="0"/>
        <cfvo type="num" val="0"/>
        <cfvo type="num" val="0"/>
      </iconSet>
    </cfRule>
  </conditionalFormatting>
  <conditionalFormatting sqref="K25:N25">
    <cfRule type="iconSet" priority="648">
      <iconSet iconSet="3Symbols2" showValue="0">
        <cfvo type="percent" val="0"/>
        <cfvo type="num" val="0"/>
        <cfvo type="num" val="0"/>
      </iconSet>
    </cfRule>
  </conditionalFormatting>
  <conditionalFormatting sqref="K27:N27">
    <cfRule type="iconSet" priority="608">
      <iconSet iconSet="3Symbols2" showValue="0">
        <cfvo type="percent" val="0"/>
        <cfvo type="num" val="0"/>
        <cfvo type="num" val="0"/>
      </iconSet>
    </cfRule>
  </conditionalFormatting>
  <conditionalFormatting sqref="K28:N28">
    <cfRule type="iconSet" priority="647">
      <iconSet iconSet="3Symbols2" showValue="0">
        <cfvo type="percent" val="0"/>
        <cfvo type="num" val="0"/>
        <cfvo type="num" val="0"/>
      </iconSet>
    </cfRule>
  </conditionalFormatting>
  <conditionalFormatting sqref="K40:N40">
    <cfRule type="iconSet" priority="605">
      <iconSet iconSet="3Symbols2" showValue="0">
        <cfvo type="percent" val="0"/>
        <cfvo type="num" val="0"/>
        <cfvo type="num" val="0"/>
      </iconSet>
    </cfRule>
  </conditionalFormatting>
  <conditionalFormatting sqref="K41:N41">
    <cfRule type="iconSet" priority="646">
      <iconSet iconSet="3Symbols2" showValue="0">
        <cfvo type="percent" val="0"/>
        <cfvo type="num" val="0"/>
        <cfvo type="num" val="0"/>
      </iconSet>
    </cfRule>
  </conditionalFormatting>
  <conditionalFormatting sqref="K43:N43">
    <cfRule type="iconSet" priority="602">
      <iconSet iconSet="3Symbols2" showValue="0">
        <cfvo type="percent" val="0"/>
        <cfvo type="num" val="0"/>
        <cfvo type="num" val="0"/>
      </iconSet>
    </cfRule>
  </conditionalFormatting>
  <conditionalFormatting sqref="K44:N44">
    <cfRule type="iconSet" priority="645">
      <iconSet iconSet="3Symbols2" showValue="0">
        <cfvo type="percent" val="0"/>
        <cfvo type="num" val="0"/>
        <cfvo type="num" val="0"/>
      </iconSet>
    </cfRule>
  </conditionalFormatting>
  <conditionalFormatting sqref="K56:N56">
    <cfRule type="iconSet" priority="599">
      <iconSet iconSet="3Symbols2" showValue="0">
        <cfvo type="percent" val="0"/>
        <cfvo type="num" val="0"/>
        <cfvo type="num" val="0"/>
      </iconSet>
    </cfRule>
  </conditionalFormatting>
  <conditionalFormatting sqref="K57:N57">
    <cfRule type="iconSet" priority="644">
      <iconSet iconSet="3Symbols2" showValue="0">
        <cfvo type="percent" val="0"/>
        <cfvo type="num" val="0"/>
        <cfvo type="num" val="0"/>
      </iconSet>
    </cfRule>
  </conditionalFormatting>
  <conditionalFormatting sqref="K59:N59">
    <cfRule type="iconSet" priority="596">
      <iconSet iconSet="3Symbols2" showValue="0">
        <cfvo type="percent" val="0"/>
        <cfvo type="num" val="0"/>
        <cfvo type="num" val="0"/>
      </iconSet>
    </cfRule>
  </conditionalFormatting>
  <conditionalFormatting sqref="K60:N61">
    <cfRule type="iconSet" priority="534">
      <iconSet iconSet="3Symbols2" showValue="0">
        <cfvo type="percent" val="0"/>
        <cfvo type="num" val="0"/>
        <cfvo type="num" val="0"/>
      </iconSet>
    </cfRule>
  </conditionalFormatting>
  <conditionalFormatting sqref="K62:N62">
    <cfRule type="iconSet" priority="638">
      <iconSet iconSet="3Symbols2" showValue="0">
        <cfvo type="percent" val="0"/>
        <cfvo type="num" val="0"/>
        <cfvo type="num" val="0"/>
      </iconSet>
    </cfRule>
  </conditionalFormatting>
  <conditionalFormatting sqref="K64:N64">
    <cfRule type="iconSet" priority="670">
      <iconSet iconSet="3Symbols2" showValue="0">
        <cfvo type="percent" val="0"/>
        <cfvo type="num" val="0"/>
        <cfvo type="num" val="0"/>
      </iconSet>
    </cfRule>
  </conditionalFormatting>
  <conditionalFormatting sqref="K65:N65">
    <cfRule type="iconSet" priority="569">
      <iconSet iconSet="3Symbols2" showValue="0">
        <cfvo type="percent" val="0"/>
        <cfvo type="num" val="0"/>
        <cfvo type="num" val="0"/>
      </iconSet>
    </cfRule>
  </conditionalFormatting>
  <conditionalFormatting sqref="K75:N75">
    <cfRule type="iconSet" priority="538">
      <iconSet iconSet="3Symbols2" showValue="0">
        <cfvo type="percent" val="0"/>
        <cfvo type="num" val="0"/>
        <cfvo type="num" val="0"/>
      </iconSet>
    </cfRule>
  </conditionalFormatting>
  <conditionalFormatting sqref="K85:N85">
    <cfRule type="iconSet" priority="566">
      <iconSet iconSet="3Symbols2" showValue="0">
        <cfvo type="percent" val="0"/>
        <cfvo type="num" val="0"/>
        <cfvo type="num" val="0"/>
      </iconSet>
    </cfRule>
  </conditionalFormatting>
  <conditionalFormatting sqref="K86:N86">
    <cfRule type="iconSet" priority="618">
      <iconSet iconSet="3Symbols2" showValue="0">
        <cfvo type="percent" val="0"/>
        <cfvo type="num" val="0"/>
        <cfvo type="num" val="0"/>
      </iconSet>
    </cfRule>
  </conditionalFormatting>
  <conditionalFormatting sqref="K87:N87">
    <cfRule type="iconSet" priority="643">
      <iconSet iconSet="3Symbols2" showValue="0">
        <cfvo type="percent" val="0"/>
        <cfvo type="num" val="0"/>
        <cfvo type="num" val="0"/>
      </iconSet>
    </cfRule>
  </conditionalFormatting>
  <conditionalFormatting sqref="K98:N98">
    <cfRule type="iconSet" priority="593">
      <iconSet iconSet="3Symbols2" showValue="0">
        <cfvo type="percent" val="0"/>
        <cfvo type="num" val="0"/>
        <cfvo type="num" val="0"/>
      </iconSet>
    </cfRule>
  </conditionalFormatting>
  <conditionalFormatting sqref="K99:N99">
    <cfRule type="iconSet" priority="642">
      <iconSet iconSet="3Symbols2" showValue="0">
        <cfvo type="percent" val="0"/>
        <cfvo type="num" val="0"/>
        <cfvo type="num" val="0"/>
      </iconSet>
    </cfRule>
  </conditionalFormatting>
  <conditionalFormatting sqref="K108:N108">
    <cfRule type="iconSet" priority="590">
      <iconSet iconSet="3Symbols2" showValue="0">
        <cfvo type="percent" val="0"/>
        <cfvo type="num" val="0"/>
        <cfvo type="num" val="0"/>
      </iconSet>
    </cfRule>
  </conditionalFormatting>
  <conditionalFormatting sqref="K109:N109">
    <cfRule type="iconSet" priority="641">
      <iconSet iconSet="3Symbols2" showValue="0">
        <cfvo type="percent" val="0"/>
        <cfvo type="num" val="0"/>
        <cfvo type="num" val="0"/>
      </iconSet>
    </cfRule>
  </conditionalFormatting>
  <conditionalFormatting sqref="K118:N118">
    <cfRule type="iconSet" priority="587">
      <iconSet iconSet="3Symbols2" showValue="0">
        <cfvo type="percent" val="0"/>
        <cfvo type="num" val="0"/>
        <cfvo type="num" val="0"/>
      </iconSet>
    </cfRule>
  </conditionalFormatting>
  <conditionalFormatting sqref="K119:N119">
    <cfRule type="iconSet" priority="640">
      <iconSet iconSet="3Symbols2" showValue="0">
        <cfvo type="percent" val="0"/>
        <cfvo type="num" val="0"/>
        <cfvo type="num" val="0"/>
      </iconSet>
    </cfRule>
  </conditionalFormatting>
  <conditionalFormatting sqref="K127:N127">
    <cfRule type="iconSet" priority="584">
      <iconSet iconSet="3Symbols2" showValue="0">
        <cfvo type="percent" val="0"/>
        <cfvo type="num" val="0"/>
        <cfvo type="num" val="0"/>
      </iconSet>
    </cfRule>
  </conditionalFormatting>
  <conditionalFormatting sqref="K128:N128">
    <cfRule type="iconSet" priority="639">
      <iconSet iconSet="3Symbols2" showValue="0">
        <cfvo type="percent" val="0"/>
        <cfvo type="num" val="0"/>
        <cfvo type="num" val="0"/>
      </iconSet>
    </cfRule>
  </conditionalFormatting>
  <conditionalFormatting sqref="K137:N137">
    <cfRule type="iconSet" priority="581">
      <iconSet iconSet="3Symbols2" showValue="0">
        <cfvo type="percent" val="0"/>
        <cfvo type="num" val="0"/>
        <cfvo type="num" val="0"/>
      </iconSet>
    </cfRule>
  </conditionalFormatting>
  <conditionalFormatting sqref="K138:N138">
    <cfRule type="iconSet" priority="637">
      <iconSet iconSet="3Symbols2" showValue="0">
        <cfvo type="percent" val="0"/>
        <cfvo type="num" val="0"/>
        <cfvo type="num" val="0"/>
      </iconSet>
    </cfRule>
  </conditionalFormatting>
  <conditionalFormatting sqref="K152:N152">
    <cfRule type="iconSet" priority="578">
      <iconSet iconSet="3Symbols2" showValue="0">
        <cfvo type="percent" val="0"/>
        <cfvo type="num" val="0"/>
        <cfvo type="num" val="0"/>
      </iconSet>
    </cfRule>
  </conditionalFormatting>
  <conditionalFormatting sqref="K153:N153">
    <cfRule type="iconSet" priority="636">
      <iconSet iconSet="3Symbols2" showValue="0">
        <cfvo type="percent" val="0"/>
        <cfvo type="num" val="0"/>
        <cfvo type="num" val="0"/>
      </iconSet>
    </cfRule>
  </conditionalFormatting>
  <conditionalFormatting sqref="L26:N26">
    <cfRule type="iconSet" priority="551">
      <iconSet iconSet="3Symbols2" showValue="0">
        <cfvo type="percent" val="0"/>
        <cfvo type="num" val="0"/>
        <cfvo type="num" val="0"/>
      </iconSet>
    </cfRule>
  </conditionalFormatting>
  <conditionalFormatting sqref="L29:N39">
    <cfRule type="iconSet" priority="550">
      <iconSet iconSet="3Symbols2" showValue="0">
        <cfvo type="percent" val="0"/>
        <cfvo type="num" val="0"/>
        <cfvo type="num" val="0"/>
      </iconSet>
    </cfRule>
  </conditionalFormatting>
  <conditionalFormatting sqref="L45:N51 L53:N55 L63:N63">
    <cfRule type="iconSet" priority="549">
      <iconSet iconSet="3Symbols2" showValue="0">
        <cfvo type="percent" val="0"/>
        <cfvo type="num" val="0"/>
        <cfvo type="num" val="0"/>
      </iconSet>
    </cfRule>
  </conditionalFormatting>
  <conditionalFormatting sqref="L52:N52">
    <cfRule type="iconSet" priority="531">
      <iconSet iconSet="3Symbols2" showValue="0">
        <cfvo type="percent" val="0"/>
        <cfvo type="num" val="0"/>
        <cfvo type="num" val="0"/>
      </iconSet>
    </cfRule>
  </conditionalFormatting>
  <conditionalFormatting sqref="L66:N74">
    <cfRule type="iconSet" priority="548">
      <iconSet iconSet="3Symbols2" showValue="0">
        <cfvo type="percent" val="0"/>
        <cfvo type="num" val="0"/>
        <cfvo type="num" val="0"/>
      </iconSet>
    </cfRule>
  </conditionalFormatting>
  <conditionalFormatting sqref="L76:N84">
    <cfRule type="iconSet" priority="536">
      <iconSet iconSet="3Symbols2" showValue="0">
        <cfvo type="percent" val="0"/>
        <cfvo type="num" val="0"/>
        <cfvo type="num" val="0"/>
      </iconSet>
    </cfRule>
  </conditionalFormatting>
  <conditionalFormatting sqref="L100:N107">
    <cfRule type="iconSet" priority="547">
      <iconSet iconSet="3Symbols2" showValue="0">
        <cfvo type="percent" val="0"/>
        <cfvo type="num" val="0"/>
        <cfvo type="num" val="0"/>
      </iconSet>
    </cfRule>
  </conditionalFormatting>
  <conditionalFormatting sqref="L110:N117">
    <cfRule type="iconSet" priority="546">
      <iconSet iconSet="3Symbols2" showValue="0">
        <cfvo type="percent" val="0"/>
        <cfvo type="num" val="0"/>
        <cfvo type="num" val="0"/>
      </iconSet>
    </cfRule>
  </conditionalFormatting>
  <conditionalFormatting sqref="L129:N136">
    <cfRule type="iconSet" priority="545">
      <iconSet iconSet="3Symbols2" showValue="0">
        <cfvo type="percent" val="0"/>
        <cfvo type="num" val="0"/>
        <cfvo type="num" val="0"/>
      </iconSet>
    </cfRule>
  </conditionalFormatting>
  <conditionalFormatting sqref="L139:N151">
    <cfRule type="iconSet" priority="544">
      <iconSet iconSet="3Symbols2" showValue="0">
        <cfvo type="percent" val="0"/>
        <cfvo type="num" val="0"/>
        <cfvo type="num" val="0"/>
      </iconSet>
    </cfRule>
  </conditionalFormatting>
  <conditionalFormatting sqref="L154:N160">
    <cfRule type="iconSet" priority="543">
      <iconSet iconSet="3Symbols2" showValue="0">
        <cfvo type="percent" val="0"/>
        <cfvo type="num" val="0"/>
        <cfvo type="num" val="0"/>
      </iconSet>
    </cfRule>
  </conditionalFormatting>
  <conditionalFormatting sqref="O1:P5">
    <cfRule type="iconSet" priority="512">
      <iconSet iconSet="3Symbols2" showValue="0">
        <cfvo type="percent" val="0"/>
        <cfvo type="num" val="0"/>
        <cfvo type="num" val="1"/>
      </iconSet>
    </cfRule>
  </conditionalFormatting>
  <conditionalFormatting sqref="O6:P8 O10:P10 O42:P42 O58:P58 O88:P97 O120:P126 O161:P1048576">
    <cfRule type="iconSet" priority="529">
      <iconSet iconSet="3Symbols2" showValue="0">
        <cfvo type="percent" val="0"/>
        <cfvo type="num" val="0"/>
        <cfvo type="num" val="0"/>
      </iconSet>
    </cfRule>
  </conditionalFormatting>
  <conditionalFormatting sqref="O9:P9">
    <cfRule type="iconSet" priority="528">
      <iconSet iconSet="3Symbols2" showValue="0">
        <cfvo type="percent" val="0"/>
        <cfvo type="num" val="0"/>
        <cfvo type="num" val="0"/>
      </iconSet>
    </cfRule>
  </conditionalFormatting>
  <conditionalFormatting sqref="O11:P11">
    <cfRule type="iconSet" priority="511">
      <iconSet iconSet="3Symbols2" showValue="0">
        <cfvo type="percent" val="0"/>
        <cfvo type="num" val="0"/>
        <cfvo type="num" val="0"/>
      </iconSet>
    </cfRule>
  </conditionalFormatting>
  <conditionalFormatting sqref="O12:P12">
    <cfRule type="iconSet" priority="527">
      <iconSet iconSet="3Symbols2" showValue="0">
        <cfvo type="percent" val="0"/>
        <cfvo type="num" val="0"/>
        <cfvo type="num" val="0"/>
      </iconSet>
    </cfRule>
  </conditionalFormatting>
  <conditionalFormatting sqref="O13:P23">
    <cfRule type="iconSet" priority="496">
      <iconSet iconSet="3Symbols2" showValue="0">
        <cfvo type="percent" val="0"/>
        <cfvo type="num" val="0"/>
        <cfvo type="num" val="0"/>
      </iconSet>
    </cfRule>
  </conditionalFormatting>
  <conditionalFormatting sqref="O24:P24">
    <cfRule type="iconSet" priority="510">
      <iconSet iconSet="3Symbols2" showValue="0">
        <cfvo type="percent" val="0"/>
        <cfvo type="num" val="0"/>
        <cfvo type="num" val="0"/>
      </iconSet>
    </cfRule>
  </conditionalFormatting>
  <conditionalFormatting sqref="O25:P25">
    <cfRule type="iconSet" priority="526">
      <iconSet iconSet="3Symbols2" showValue="0">
        <cfvo type="percent" val="0"/>
        <cfvo type="num" val="0"/>
        <cfvo type="num" val="0"/>
      </iconSet>
    </cfRule>
  </conditionalFormatting>
  <conditionalFormatting sqref="O26:P26">
    <cfRule type="iconSet" priority="495">
      <iconSet iconSet="3Symbols2" showValue="0">
        <cfvo type="percent" val="0"/>
        <cfvo type="num" val="0"/>
        <cfvo type="num" val="0"/>
      </iconSet>
    </cfRule>
  </conditionalFormatting>
  <conditionalFormatting sqref="O27:P27">
    <cfRule type="iconSet" priority="509">
      <iconSet iconSet="3Symbols2" showValue="0">
        <cfvo type="percent" val="0"/>
        <cfvo type="num" val="0"/>
        <cfvo type="num" val="0"/>
      </iconSet>
    </cfRule>
  </conditionalFormatting>
  <conditionalFormatting sqref="O28:P28">
    <cfRule type="iconSet" priority="525">
      <iconSet iconSet="3Symbols2" showValue="0">
        <cfvo type="percent" val="0"/>
        <cfvo type="num" val="0"/>
        <cfvo type="num" val="0"/>
      </iconSet>
    </cfRule>
  </conditionalFormatting>
  <conditionalFormatting sqref="O29:P39">
    <cfRule type="iconSet" priority="494">
      <iconSet iconSet="3Symbols2" showValue="0">
        <cfvo type="percent" val="0"/>
        <cfvo type="num" val="0"/>
        <cfvo type="num" val="0"/>
      </iconSet>
    </cfRule>
  </conditionalFormatting>
  <conditionalFormatting sqref="O40:P40">
    <cfRule type="iconSet" priority="508">
      <iconSet iconSet="3Symbols2" showValue="0">
        <cfvo type="percent" val="0"/>
        <cfvo type="num" val="0"/>
        <cfvo type="num" val="0"/>
      </iconSet>
    </cfRule>
  </conditionalFormatting>
  <conditionalFormatting sqref="O41:P41">
    <cfRule type="iconSet" priority="524">
      <iconSet iconSet="3Symbols2" showValue="0">
        <cfvo type="percent" val="0"/>
        <cfvo type="num" val="0"/>
        <cfvo type="num" val="0"/>
      </iconSet>
    </cfRule>
  </conditionalFormatting>
  <conditionalFormatting sqref="O43:P43">
    <cfRule type="iconSet" priority="507">
      <iconSet iconSet="3Symbols2" showValue="0">
        <cfvo type="percent" val="0"/>
        <cfvo type="num" val="0"/>
        <cfvo type="num" val="0"/>
      </iconSet>
    </cfRule>
  </conditionalFormatting>
  <conditionalFormatting sqref="O44:P44">
    <cfRule type="iconSet" priority="523">
      <iconSet iconSet="3Symbols2" showValue="0">
        <cfvo type="percent" val="0"/>
        <cfvo type="num" val="0"/>
        <cfvo type="num" val="0"/>
      </iconSet>
    </cfRule>
  </conditionalFormatting>
  <conditionalFormatting sqref="O45:P51 O53:P55 O63:P63">
    <cfRule type="iconSet" priority="493">
      <iconSet iconSet="3Symbols2" showValue="0">
        <cfvo type="percent" val="0"/>
        <cfvo type="num" val="0"/>
        <cfvo type="num" val="0"/>
      </iconSet>
    </cfRule>
  </conditionalFormatting>
  <conditionalFormatting sqref="O52:P52">
    <cfRule type="iconSet" priority="483">
      <iconSet iconSet="3Symbols2" showValue="0">
        <cfvo type="percent" val="0"/>
        <cfvo type="num" val="0"/>
        <cfvo type="num" val="0"/>
      </iconSet>
    </cfRule>
  </conditionalFormatting>
  <conditionalFormatting sqref="O56:P56">
    <cfRule type="iconSet" priority="506">
      <iconSet iconSet="3Symbols2" showValue="0">
        <cfvo type="percent" val="0"/>
        <cfvo type="num" val="0"/>
        <cfvo type="num" val="0"/>
      </iconSet>
    </cfRule>
  </conditionalFormatting>
  <conditionalFormatting sqref="O57:P57">
    <cfRule type="iconSet" priority="522">
      <iconSet iconSet="3Symbols2" showValue="0">
        <cfvo type="percent" val="0"/>
        <cfvo type="num" val="0"/>
        <cfvo type="num" val="0"/>
      </iconSet>
    </cfRule>
  </conditionalFormatting>
  <conditionalFormatting sqref="O59:P59">
    <cfRule type="iconSet" priority="505">
      <iconSet iconSet="3Symbols2" showValue="0">
        <cfvo type="percent" val="0"/>
        <cfvo type="num" val="0"/>
        <cfvo type="num" val="0"/>
      </iconSet>
    </cfRule>
  </conditionalFormatting>
  <conditionalFormatting sqref="O60:P61">
    <cfRule type="iconSet" priority="484">
      <iconSet iconSet="3Symbols2" showValue="0">
        <cfvo type="percent" val="0"/>
        <cfvo type="num" val="0"/>
        <cfvo type="num" val="0"/>
      </iconSet>
    </cfRule>
  </conditionalFormatting>
  <conditionalFormatting sqref="O62:P62">
    <cfRule type="iconSet" priority="516">
      <iconSet iconSet="3Symbols2" showValue="0">
        <cfvo type="percent" val="0"/>
        <cfvo type="num" val="0"/>
        <cfvo type="num" val="0"/>
      </iconSet>
    </cfRule>
  </conditionalFormatting>
  <conditionalFormatting sqref="O64:P64">
    <cfRule type="iconSet" priority="530">
      <iconSet iconSet="3Symbols2" showValue="0">
        <cfvo type="percent" val="0"/>
        <cfvo type="num" val="0"/>
        <cfvo type="num" val="0"/>
      </iconSet>
    </cfRule>
  </conditionalFormatting>
  <conditionalFormatting sqref="O65:P65">
    <cfRule type="iconSet" priority="498">
      <iconSet iconSet="3Symbols2" showValue="0">
        <cfvo type="percent" val="0"/>
        <cfvo type="num" val="0"/>
        <cfvo type="num" val="0"/>
      </iconSet>
    </cfRule>
  </conditionalFormatting>
  <conditionalFormatting sqref="O66:P74">
    <cfRule type="iconSet" priority="492">
      <iconSet iconSet="3Symbols2" showValue="0">
        <cfvo type="percent" val="0"/>
        <cfvo type="num" val="0"/>
        <cfvo type="num" val="0"/>
      </iconSet>
    </cfRule>
  </conditionalFormatting>
  <conditionalFormatting sqref="O75:P75">
    <cfRule type="iconSet" priority="486">
      <iconSet iconSet="3Symbols2" showValue="0">
        <cfvo type="percent" val="0"/>
        <cfvo type="num" val="0"/>
        <cfvo type="num" val="0"/>
      </iconSet>
    </cfRule>
  </conditionalFormatting>
  <conditionalFormatting sqref="O76:P84">
    <cfRule type="iconSet" priority="485">
      <iconSet iconSet="3Symbols2" showValue="0">
        <cfvo type="percent" val="0"/>
        <cfvo type="num" val="0"/>
        <cfvo type="num" val="0"/>
      </iconSet>
    </cfRule>
  </conditionalFormatting>
  <conditionalFormatting sqref="O85:P85">
    <cfRule type="iconSet" priority="497">
      <iconSet iconSet="3Symbols2" showValue="0">
        <cfvo type="percent" val="0"/>
        <cfvo type="num" val="0"/>
        <cfvo type="num" val="0"/>
      </iconSet>
    </cfRule>
  </conditionalFormatting>
  <conditionalFormatting sqref="O86:P86">
    <cfRule type="iconSet" priority="513">
      <iconSet iconSet="3Symbols2" showValue="0">
        <cfvo type="percent" val="0"/>
        <cfvo type="num" val="0"/>
        <cfvo type="num" val="0"/>
      </iconSet>
    </cfRule>
  </conditionalFormatting>
  <conditionalFormatting sqref="O87:P87">
    <cfRule type="iconSet" priority="521">
      <iconSet iconSet="3Symbols2" showValue="0">
        <cfvo type="percent" val="0"/>
        <cfvo type="num" val="0"/>
        <cfvo type="num" val="0"/>
      </iconSet>
    </cfRule>
  </conditionalFormatting>
  <conditionalFormatting sqref="O98:P98">
    <cfRule type="iconSet" priority="504">
      <iconSet iconSet="3Symbols2" showValue="0">
        <cfvo type="percent" val="0"/>
        <cfvo type="num" val="0"/>
        <cfvo type="num" val="0"/>
      </iconSet>
    </cfRule>
  </conditionalFormatting>
  <conditionalFormatting sqref="O99:P99">
    <cfRule type="iconSet" priority="520">
      <iconSet iconSet="3Symbols2" showValue="0">
        <cfvo type="percent" val="0"/>
        <cfvo type="num" val="0"/>
        <cfvo type="num" val="0"/>
      </iconSet>
    </cfRule>
  </conditionalFormatting>
  <conditionalFormatting sqref="O100:P107">
    <cfRule type="iconSet" priority="491">
      <iconSet iconSet="3Symbols2" showValue="0">
        <cfvo type="percent" val="0"/>
        <cfvo type="num" val="0"/>
        <cfvo type="num" val="0"/>
      </iconSet>
    </cfRule>
  </conditionalFormatting>
  <conditionalFormatting sqref="O108:P108">
    <cfRule type="iconSet" priority="503">
      <iconSet iconSet="3Symbols2" showValue="0">
        <cfvo type="percent" val="0"/>
        <cfvo type="num" val="0"/>
        <cfvo type="num" val="0"/>
      </iconSet>
    </cfRule>
  </conditionalFormatting>
  <conditionalFormatting sqref="O109:P109">
    <cfRule type="iconSet" priority="519">
      <iconSet iconSet="3Symbols2" showValue="0">
        <cfvo type="percent" val="0"/>
        <cfvo type="num" val="0"/>
        <cfvo type="num" val="0"/>
      </iconSet>
    </cfRule>
  </conditionalFormatting>
  <conditionalFormatting sqref="O110:P117">
    <cfRule type="iconSet" priority="490">
      <iconSet iconSet="3Symbols2" showValue="0">
        <cfvo type="percent" val="0"/>
        <cfvo type="num" val="0"/>
        <cfvo type="num" val="0"/>
      </iconSet>
    </cfRule>
  </conditionalFormatting>
  <conditionalFormatting sqref="O118:P118">
    <cfRule type="iconSet" priority="502">
      <iconSet iconSet="3Symbols2" showValue="0">
        <cfvo type="percent" val="0"/>
        <cfvo type="num" val="0"/>
        <cfvo type="num" val="0"/>
      </iconSet>
    </cfRule>
  </conditionalFormatting>
  <conditionalFormatting sqref="O119:P119">
    <cfRule type="iconSet" priority="518">
      <iconSet iconSet="3Symbols2" showValue="0">
        <cfvo type="percent" val="0"/>
        <cfvo type="num" val="0"/>
        <cfvo type="num" val="0"/>
      </iconSet>
    </cfRule>
  </conditionalFormatting>
  <conditionalFormatting sqref="O127:P127">
    <cfRule type="iconSet" priority="501">
      <iconSet iconSet="3Symbols2" showValue="0">
        <cfvo type="percent" val="0"/>
        <cfvo type="num" val="0"/>
        <cfvo type="num" val="0"/>
      </iconSet>
    </cfRule>
  </conditionalFormatting>
  <conditionalFormatting sqref="O128:P128">
    <cfRule type="iconSet" priority="517">
      <iconSet iconSet="3Symbols2" showValue="0">
        <cfvo type="percent" val="0"/>
        <cfvo type="num" val="0"/>
        <cfvo type="num" val="0"/>
      </iconSet>
    </cfRule>
  </conditionalFormatting>
  <conditionalFormatting sqref="O129:P136">
    <cfRule type="iconSet" priority="489">
      <iconSet iconSet="3Symbols2" showValue="0">
        <cfvo type="percent" val="0"/>
        <cfvo type="num" val="0"/>
        <cfvo type="num" val="0"/>
      </iconSet>
    </cfRule>
  </conditionalFormatting>
  <conditionalFormatting sqref="O137:P137">
    <cfRule type="iconSet" priority="500">
      <iconSet iconSet="3Symbols2" showValue="0">
        <cfvo type="percent" val="0"/>
        <cfvo type="num" val="0"/>
        <cfvo type="num" val="0"/>
      </iconSet>
    </cfRule>
  </conditionalFormatting>
  <conditionalFormatting sqref="O138:P138">
    <cfRule type="iconSet" priority="515">
      <iconSet iconSet="3Symbols2" showValue="0">
        <cfvo type="percent" val="0"/>
        <cfvo type="num" val="0"/>
        <cfvo type="num" val="0"/>
      </iconSet>
    </cfRule>
  </conditionalFormatting>
  <conditionalFormatting sqref="O139:P151">
    <cfRule type="iconSet" priority="488">
      <iconSet iconSet="3Symbols2" showValue="0">
        <cfvo type="percent" val="0"/>
        <cfvo type="num" val="0"/>
        <cfvo type="num" val="0"/>
      </iconSet>
    </cfRule>
  </conditionalFormatting>
  <conditionalFormatting sqref="O152:P152">
    <cfRule type="iconSet" priority="499">
      <iconSet iconSet="3Symbols2" showValue="0">
        <cfvo type="percent" val="0"/>
        <cfvo type="num" val="0"/>
        <cfvo type="num" val="0"/>
      </iconSet>
    </cfRule>
  </conditionalFormatting>
  <conditionalFormatting sqref="O153:P153">
    <cfRule type="iconSet" priority="514">
      <iconSet iconSet="3Symbols2" showValue="0">
        <cfvo type="percent" val="0"/>
        <cfvo type="num" val="0"/>
        <cfvo type="num" val="0"/>
      </iconSet>
    </cfRule>
  </conditionalFormatting>
  <conditionalFormatting sqref="O154:P160">
    <cfRule type="iconSet" priority="487">
      <iconSet iconSet="3Symbols2" showValue="0">
        <cfvo type="percent" val="0"/>
        <cfvo type="num" val="0"/>
        <cfvo type="num" val="0"/>
      </iconSet>
    </cfRule>
  </conditionalFormatting>
  <conditionalFormatting sqref="Q1:R5">
    <cfRule type="iconSet" priority="464">
      <iconSet iconSet="3Symbols2" showValue="0">
        <cfvo type="percent" val="0"/>
        <cfvo type="num" val="0"/>
        <cfvo type="num" val="1"/>
      </iconSet>
    </cfRule>
  </conditionalFormatting>
  <conditionalFormatting sqref="Q6:R8 Q10:R10 Q42:R42 Q58:R58 Q88:R97 Q120:R126 Q161:R1048576">
    <cfRule type="iconSet" priority="481">
      <iconSet iconSet="3Symbols2" showValue="0">
        <cfvo type="percent" val="0"/>
        <cfvo type="num" val="0"/>
        <cfvo type="num" val="0"/>
      </iconSet>
    </cfRule>
  </conditionalFormatting>
  <conditionalFormatting sqref="Q9:R9">
    <cfRule type="iconSet" priority="480">
      <iconSet iconSet="3Symbols2" showValue="0">
        <cfvo type="percent" val="0"/>
        <cfvo type="num" val="0"/>
        <cfvo type="num" val="0"/>
      </iconSet>
    </cfRule>
  </conditionalFormatting>
  <conditionalFormatting sqref="Q11:R11">
    <cfRule type="iconSet" priority="463">
      <iconSet iconSet="3Symbols2" showValue="0">
        <cfvo type="percent" val="0"/>
        <cfvo type="num" val="0"/>
        <cfvo type="num" val="0"/>
      </iconSet>
    </cfRule>
  </conditionalFormatting>
  <conditionalFormatting sqref="Q12:R12">
    <cfRule type="iconSet" priority="479">
      <iconSet iconSet="3Symbols2" showValue="0">
        <cfvo type="percent" val="0"/>
        <cfvo type="num" val="0"/>
        <cfvo type="num" val="0"/>
      </iconSet>
    </cfRule>
  </conditionalFormatting>
  <conditionalFormatting sqref="Q13:R23">
    <cfRule type="iconSet" priority="448">
      <iconSet iconSet="3Symbols2" showValue="0">
        <cfvo type="percent" val="0"/>
        <cfvo type="num" val="0"/>
        <cfvo type="num" val="0"/>
      </iconSet>
    </cfRule>
  </conditionalFormatting>
  <conditionalFormatting sqref="Q24:R24">
    <cfRule type="iconSet" priority="462">
      <iconSet iconSet="3Symbols2" showValue="0">
        <cfvo type="percent" val="0"/>
        <cfvo type="num" val="0"/>
        <cfvo type="num" val="0"/>
      </iconSet>
    </cfRule>
  </conditionalFormatting>
  <conditionalFormatting sqref="Q25:R25">
    <cfRule type="iconSet" priority="478">
      <iconSet iconSet="3Symbols2" showValue="0">
        <cfvo type="percent" val="0"/>
        <cfvo type="num" val="0"/>
        <cfvo type="num" val="0"/>
      </iconSet>
    </cfRule>
  </conditionalFormatting>
  <conditionalFormatting sqref="Q26:R26">
    <cfRule type="iconSet" priority="447">
      <iconSet iconSet="3Symbols2" showValue="0">
        <cfvo type="percent" val="0"/>
        <cfvo type="num" val="0"/>
        <cfvo type="num" val="0"/>
      </iconSet>
    </cfRule>
  </conditionalFormatting>
  <conditionalFormatting sqref="Q27:R27">
    <cfRule type="iconSet" priority="461">
      <iconSet iconSet="3Symbols2" showValue="0">
        <cfvo type="percent" val="0"/>
        <cfvo type="num" val="0"/>
        <cfvo type="num" val="0"/>
      </iconSet>
    </cfRule>
  </conditionalFormatting>
  <conditionalFormatting sqref="Q28:R28">
    <cfRule type="iconSet" priority="477">
      <iconSet iconSet="3Symbols2" showValue="0">
        <cfvo type="percent" val="0"/>
        <cfvo type="num" val="0"/>
        <cfvo type="num" val="0"/>
      </iconSet>
    </cfRule>
  </conditionalFormatting>
  <conditionalFormatting sqref="Q29:R39">
    <cfRule type="iconSet" priority="446">
      <iconSet iconSet="3Symbols2" showValue="0">
        <cfvo type="percent" val="0"/>
        <cfvo type="num" val="0"/>
        <cfvo type="num" val="0"/>
      </iconSet>
    </cfRule>
  </conditionalFormatting>
  <conditionalFormatting sqref="Q40:R40">
    <cfRule type="iconSet" priority="460">
      <iconSet iconSet="3Symbols2" showValue="0">
        <cfvo type="percent" val="0"/>
        <cfvo type="num" val="0"/>
        <cfvo type="num" val="0"/>
      </iconSet>
    </cfRule>
  </conditionalFormatting>
  <conditionalFormatting sqref="Q41:R41">
    <cfRule type="iconSet" priority="476">
      <iconSet iconSet="3Symbols2" showValue="0">
        <cfvo type="percent" val="0"/>
        <cfvo type="num" val="0"/>
        <cfvo type="num" val="0"/>
      </iconSet>
    </cfRule>
  </conditionalFormatting>
  <conditionalFormatting sqref="Q43:R43">
    <cfRule type="iconSet" priority="459">
      <iconSet iconSet="3Symbols2" showValue="0">
        <cfvo type="percent" val="0"/>
        <cfvo type="num" val="0"/>
        <cfvo type="num" val="0"/>
      </iconSet>
    </cfRule>
  </conditionalFormatting>
  <conditionalFormatting sqref="Q44:R44">
    <cfRule type="iconSet" priority="475">
      <iconSet iconSet="3Symbols2" showValue="0">
        <cfvo type="percent" val="0"/>
        <cfvo type="num" val="0"/>
        <cfvo type="num" val="0"/>
      </iconSet>
    </cfRule>
  </conditionalFormatting>
  <conditionalFormatting sqref="Q45:R51 Q53:R55 Q63:R63">
    <cfRule type="iconSet" priority="445">
      <iconSet iconSet="3Symbols2" showValue="0">
        <cfvo type="percent" val="0"/>
        <cfvo type="num" val="0"/>
        <cfvo type="num" val="0"/>
      </iconSet>
    </cfRule>
  </conditionalFormatting>
  <conditionalFormatting sqref="Q52:R52">
    <cfRule type="iconSet" priority="435">
      <iconSet iconSet="3Symbols2" showValue="0">
        <cfvo type="percent" val="0"/>
        <cfvo type="num" val="0"/>
        <cfvo type="num" val="0"/>
      </iconSet>
    </cfRule>
  </conditionalFormatting>
  <conditionalFormatting sqref="Q56:R56">
    <cfRule type="iconSet" priority="458">
      <iconSet iconSet="3Symbols2" showValue="0">
        <cfvo type="percent" val="0"/>
        <cfvo type="num" val="0"/>
        <cfvo type="num" val="0"/>
      </iconSet>
    </cfRule>
  </conditionalFormatting>
  <conditionalFormatting sqref="Q57:R57">
    <cfRule type="iconSet" priority="474">
      <iconSet iconSet="3Symbols2" showValue="0">
        <cfvo type="percent" val="0"/>
        <cfvo type="num" val="0"/>
        <cfvo type="num" val="0"/>
      </iconSet>
    </cfRule>
  </conditionalFormatting>
  <conditionalFormatting sqref="Q59:R59">
    <cfRule type="iconSet" priority="457">
      <iconSet iconSet="3Symbols2" showValue="0">
        <cfvo type="percent" val="0"/>
        <cfvo type="num" val="0"/>
        <cfvo type="num" val="0"/>
      </iconSet>
    </cfRule>
  </conditionalFormatting>
  <conditionalFormatting sqref="Q60:R61">
    <cfRule type="iconSet" priority="436">
      <iconSet iconSet="3Symbols2" showValue="0">
        <cfvo type="percent" val="0"/>
        <cfvo type="num" val="0"/>
        <cfvo type="num" val="0"/>
      </iconSet>
    </cfRule>
  </conditionalFormatting>
  <conditionalFormatting sqref="Q62:R62">
    <cfRule type="iconSet" priority="468">
      <iconSet iconSet="3Symbols2" showValue="0">
        <cfvo type="percent" val="0"/>
        <cfvo type="num" val="0"/>
        <cfvo type="num" val="0"/>
      </iconSet>
    </cfRule>
  </conditionalFormatting>
  <conditionalFormatting sqref="Q64:R64">
    <cfRule type="iconSet" priority="482">
      <iconSet iconSet="3Symbols2" showValue="0">
        <cfvo type="percent" val="0"/>
        <cfvo type="num" val="0"/>
        <cfvo type="num" val="0"/>
      </iconSet>
    </cfRule>
  </conditionalFormatting>
  <conditionalFormatting sqref="Q65:R65">
    <cfRule type="iconSet" priority="450">
      <iconSet iconSet="3Symbols2" showValue="0">
        <cfvo type="percent" val="0"/>
        <cfvo type="num" val="0"/>
        <cfvo type="num" val="0"/>
      </iconSet>
    </cfRule>
  </conditionalFormatting>
  <conditionalFormatting sqref="Q66:R74">
    <cfRule type="iconSet" priority="444">
      <iconSet iconSet="3Symbols2" showValue="0">
        <cfvo type="percent" val="0"/>
        <cfvo type="num" val="0"/>
        <cfvo type="num" val="0"/>
      </iconSet>
    </cfRule>
  </conditionalFormatting>
  <conditionalFormatting sqref="Q75:R75">
    <cfRule type="iconSet" priority="438">
      <iconSet iconSet="3Symbols2" showValue="0">
        <cfvo type="percent" val="0"/>
        <cfvo type="num" val="0"/>
        <cfvo type="num" val="0"/>
      </iconSet>
    </cfRule>
  </conditionalFormatting>
  <conditionalFormatting sqref="Q76:R84">
    <cfRule type="iconSet" priority="437">
      <iconSet iconSet="3Symbols2" showValue="0">
        <cfvo type="percent" val="0"/>
        <cfvo type="num" val="0"/>
        <cfvo type="num" val="0"/>
      </iconSet>
    </cfRule>
  </conditionalFormatting>
  <conditionalFormatting sqref="Q85:R85">
    <cfRule type="iconSet" priority="449">
      <iconSet iconSet="3Symbols2" showValue="0">
        <cfvo type="percent" val="0"/>
        <cfvo type="num" val="0"/>
        <cfvo type="num" val="0"/>
      </iconSet>
    </cfRule>
  </conditionalFormatting>
  <conditionalFormatting sqref="Q86:R86">
    <cfRule type="iconSet" priority="465">
      <iconSet iconSet="3Symbols2" showValue="0">
        <cfvo type="percent" val="0"/>
        <cfvo type="num" val="0"/>
        <cfvo type="num" val="0"/>
      </iconSet>
    </cfRule>
  </conditionalFormatting>
  <conditionalFormatting sqref="Q87:R87">
    <cfRule type="iconSet" priority="473">
      <iconSet iconSet="3Symbols2" showValue="0">
        <cfvo type="percent" val="0"/>
        <cfvo type="num" val="0"/>
        <cfvo type="num" val="0"/>
      </iconSet>
    </cfRule>
  </conditionalFormatting>
  <conditionalFormatting sqref="Q98:R98">
    <cfRule type="iconSet" priority="456">
      <iconSet iconSet="3Symbols2" showValue="0">
        <cfvo type="percent" val="0"/>
        <cfvo type="num" val="0"/>
        <cfvo type="num" val="0"/>
      </iconSet>
    </cfRule>
  </conditionalFormatting>
  <conditionalFormatting sqref="Q99:R99">
    <cfRule type="iconSet" priority="472">
      <iconSet iconSet="3Symbols2" showValue="0">
        <cfvo type="percent" val="0"/>
        <cfvo type="num" val="0"/>
        <cfvo type="num" val="0"/>
      </iconSet>
    </cfRule>
  </conditionalFormatting>
  <conditionalFormatting sqref="Q100:R107">
    <cfRule type="iconSet" priority="443">
      <iconSet iconSet="3Symbols2" showValue="0">
        <cfvo type="percent" val="0"/>
        <cfvo type="num" val="0"/>
        <cfvo type="num" val="0"/>
      </iconSet>
    </cfRule>
  </conditionalFormatting>
  <conditionalFormatting sqref="Q108:R108">
    <cfRule type="iconSet" priority="455">
      <iconSet iconSet="3Symbols2" showValue="0">
        <cfvo type="percent" val="0"/>
        <cfvo type="num" val="0"/>
        <cfvo type="num" val="0"/>
      </iconSet>
    </cfRule>
  </conditionalFormatting>
  <conditionalFormatting sqref="Q109:R109">
    <cfRule type="iconSet" priority="471">
      <iconSet iconSet="3Symbols2" showValue="0">
        <cfvo type="percent" val="0"/>
        <cfvo type="num" val="0"/>
        <cfvo type="num" val="0"/>
      </iconSet>
    </cfRule>
  </conditionalFormatting>
  <conditionalFormatting sqref="Q110:R117">
    <cfRule type="iconSet" priority="442">
      <iconSet iconSet="3Symbols2" showValue="0">
        <cfvo type="percent" val="0"/>
        <cfvo type="num" val="0"/>
        <cfvo type="num" val="0"/>
      </iconSet>
    </cfRule>
  </conditionalFormatting>
  <conditionalFormatting sqref="Q118:R118">
    <cfRule type="iconSet" priority="454">
      <iconSet iconSet="3Symbols2" showValue="0">
        <cfvo type="percent" val="0"/>
        <cfvo type="num" val="0"/>
        <cfvo type="num" val="0"/>
      </iconSet>
    </cfRule>
  </conditionalFormatting>
  <conditionalFormatting sqref="Q119:R119">
    <cfRule type="iconSet" priority="470">
      <iconSet iconSet="3Symbols2" showValue="0">
        <cfvo type="percent" val="0"/>
        <cfvo type="num" val="0"/>
        <cfvo type="num" val="0"/>
      </iconSet>
    </cfRule>
  </conditionalFormatting>
  <conditionalFormatting sqref="Q127:R127">
    <cfRule type="iconSet" priority="453">
      <iconSet iconSet="3Symbols2" showValue="0">
        <cfvo type="percent" val="0"/>
        <cfvo type="num" val="0"/>
        <cfvo type="num" val="0"/>
      </iconSet>
    </cfRule>
  </conditionalFormatting>
  <conditionalFormatting sqref="Q128:R128">
    <cfRule type="iconSet" priority="469">
      <iconSet iconSet="3Symbols2" showValue="0">
        <cfvo type="percent" val="0"/>
        <cfvo type="num" val="0"/>
        <cfvo type="num" val="0"/>
      </iconSet>
    </cfRule>
  </conditionalFormatting>
  <conditionalFormatting sqref="Q129:R136">
    <cfRule type="iconSet" priority="441">
      <iconSet iconSet="3Symbols2" showValue="0">
        <cfvo type="percent" val="0"/>
        <cfvo type="num" val="0"/>
        <cfvo type="num" val="0"/>
      </iconSet>
    </cfRule>
  </conditionalFormatting>
  <conditionalFormatting sqref="Q137:R137">
    <cfRule type="iconSet" priority="452">
      <iconSet iconSet="3Symbols2" showValue="0">
        <cfvo type="percent" val="0"/>
        <cfvo type="num" val="0"/>
        <cfvo type="num" val="0"/>
      </iconSet>
    </cfRule>
  </conditionalFormatting>
  <conditionalFormatting sqref="Q138:R138">
    <cfRule type="iconSet" priority="467">
      <iconSet iconSet="3Symbols2" showValue="0">
        <cfvo type="percent" val="0"/>
        <cfvo type="num" val="0"/>
        <cfvo type="num" val="0"/>
      </iconSet>
    </cfRule>
  </conditionalFormatting>
  <conditionalFormatting sqref="Q139:R151">
    <cfRule type="iconSet" priority="440">
      <iconSet iconSet="3Symbols2" showValue="0">
        <cfvo type="percent" val="0"/>
        <cfvo type="num" val="0"/>
        <cfvo type="num" val="0"/>
      </iconSet>
    </cfRule>
  </conditionalFormatting>
  <conditionalFormatting sqref="Q152:R152">
    <cfRule type="iconSet" priority="451">
      <iconSet iconSet="3Symbols2" showValue="0">
        <cfvo type="percent" val="0"/>
        <cfvo type="num" val="0"/>
        <cfvo type="num" val="0"/>
      </iconSet>
    </cfRule>
  </conditionalFormatting>
  <conditionalFormatting sqref="Q153:R153">
    <cfRule type="iconSet" priority="466">
      <iconSet iconSet="3Symbols2" showValue="0">
        <cfvo type="percent" val="0"/>
        <cfvo type="num" val="0"/>
        <cfvo type="num" val="0"/>
      </iconSet>
    </cfRule>
  </conditionalFormatting>
  <conditionalFormatting sqref="Q154:R160">
    <cfRule type="iconSet" priority="439">
      <iconSet iconSet="3Symbols2" showValue="0">
        <cfvo type="percent" val="0"/>
        <cfvo type="num" val="0"/>
        <cfvo type="num" val="0"/>
      </iconSet>
    </cfRule>
  </conditionalFormatting>
  <conditionalFormatting sqref="S1:T5">
    <cfRule type="iconSet" priority="416">
      <iconSet iconSet="3Symbols2" showValue="0">
        <cfvo type="percent" val="0"/>
        <cfvo type="num" val="0"/>
        <cfvo type="num" val="1"/>
      </iconSet>
    </cfRule>
  </conditionalFormatting>
  <conditionalFormatting sqref="S6:T8 S10:T10 S42:T42 S58:T58 S88:T97 S120:T126 S161:T1048576">
    <cfRule type="iconSet" priority="433">
      <iconSet iconSet="3Symbols2" showValue="0">
        <cfvo type="percent" val="0"/>
        <cfvo type="num" val="0"/>
        <cfvo type="num" val="0"/>
      </iconSet>
    </cfRule>
  </conditionalFormatting>
  <conditionalFormatting sqref="S9:T9">
    <cfRule type="iconSet" priority="432">
      <iconSet iconSet="3Symbols2" showValue="0">
        <cfvo type="percent" val="0"/>
        <cfvo type="num" val="0"/>
        <cfvo type="num" val="0"/>
      </iconSet>
    </cfRule>
  </conditionalFormatting>
  <conditionalFormatting sqref="S11:T11">
    <cfRule type="iconSet" priority="415">
      <iconSet iconSet="3Symbols2" showValue="0">
        <cfvo type="percent" val="0"/>
        <cfvo type="num" val="0"/>
        <cfvo type="num" val="0"/>
      </iconSet>
    </cfRule>
  </conditionalFormatting>
  <conditionalFormatting sqref="S12:T12">
    <cfRule type="iconSet" priority="431">
      <iconSet iconSet="3Symbols2" showValue="0">
        <cfvo type="percent" val="0"/>
        <cfvo type="num" val="0"/>
        <cfvo type="num" val="0"/>
      </iconSet>
    </cfRule>
  </conditionalFormatting>
  <conditionalFormatting sqref="S13:T23">
    <cfRule type="iconSet" priority="400">
      <iconSet iconSet="3Symbols2" showValue="0">
        <cfvo type="percent" val="0"/>
        <cfvo type="num" val="0"/>
        <cfvo type="num" val="0"/>
      </iconSet>
    </cfRule>
  </conditionalFormatting>
  <conditionalFormatting sqref="S24:T24">
    <cfRule type="iconSet" priority="414">
      <iconSet iconSet="3Symbols2" showValue="0">
        <cfvo type="percent" val="0"/>
        <cfvo type="num" val="0"/>
        <cfvo type="num" val="0"/>
      </iconSet>
    </cfRule>
  </conditionalFormatting>
  <conditionalFormatting sqref="S25:T25">
    <cfRule type="iconSet" priority="430">
      <iconSet iconSet="3Symbols2" showValue="0">
        <cfvo type="percent" val="0"/>
        <cfvo type="num" val="0"/>
        <cfvo type="num" val="0"/>
      </iconSet>
    </cfRule>
  </conditionalFormatting>
  <conditionalFormatting sqref="S26:T26">
    <cfRule type="iconSet" priority="399">
      <iconSet iconSet="3Symbols2" showValue="0">
        <cfvo type="percent" val="0"/>
        <cfvo type="num" val="0"/>
        <cfvo type="num" val="0"/>
      </iconSet>
    </cfRule>
  </conditionalFormatting>
  <conditionalFormatting sqref="S27:T27">
    <cfRule type="iconSet" priority="413">
      <iconSet iconSet="3Symbols2" showValue="0">
        <cfvo type="percent" val="0"/>
        <cfvo type="num" val="0"/>
        <cfvo type="num" val="0"/>
      </iconSet>
    </cfRule>
  </conditionalFormatting>
  <conditionalFormatting sqref="S28:T28">
    <cfRule type="iconSet" priority="429">
      <iconSet iconSet="3Symbols2" showValue="0">
        <cfvo type="percent" val="0"/>
        <cfvo type="num" val="0"/>
        <cfvo type="num" val="0"/>
      </iconSet>
    </cfRule>
  </conditionalFormatting>
  <conditionalFormatting sqref="S29:T39">
    <cfRule type="iconSet" priority="398">
      <iconSet iconSet="3Symbols2" showValue="0">
        <cfvo type="percent" val="0"/>
        <cfvo type="num" val="0"/>
        <cfvo type="num" val="0"/>
      </iconSet>
    </cfRule>
  </conditionalFormatting>
  <conditionalFormatting sqref="S40:T40">
    <cfRule type="iconSet" priority="412">
      <iconSet iconSet="3Symbols2" showValue="0">
        <cfvo type="percent" val="0"/>
        <cfvo type="num" val="0"/>
        <cfvo type="num" val="0"/>
      </iconSet>
    </cfRule>
  </conditionalFormatting>
  <conditionalFormatting sqref="S41:T41">
    <cfRule type="iconSet" priority="428">
      <iconSet iconSet="3Symbols2" showValue="0">
        <cfvo type="percent" val="0"/>
        <cfvo type="num" val="0"/>
        <cfvo type="num" val="0"/>
      </iconSet>
    </cfRule>
  </conditionalFormatting>
  <conditionalFormatting sqref="S43:T43">
    <cfRule type="iconSet" priority="411">
      <iconSet iconSet="3Symbols2" showValue="0">
        <cfvo type="percent" val="0"/>
        <cfvo type="num" val="0"/>
        <cfvo type="num" val="0"/>
      </iconSet>
    </cfRule>
  </conditionalFormatting>
  <conditionalFormatting sqref="S44:T44">
    <cfRule type="iconSet" priority="427">
      <iconSet iconSet="3Symbols2" showValue="0">
        <cfvo type="percent" val="0"/>
        <cfvo type="num" val="0"/>
        <cfvo type="num" val="0"/>
      </iconSet>
    </cfRule>
  </conditionalFormatting>
  <conditionalFormatting sqref="S45:T51 S53:T55 S63:T63">
    <cfRule type="iconSet" priority="397">
      <iconSet iconSet="3Symbols2" showValue="0">
        <cfvo type="percent" val="0"/>
        <cfvo type="num" val="0"/>
        <cfvo type="num" val="0"/>
      </iconSet>
    </cfRule>
  </conditionalFormatting>
  <conditionalFormatting sqref="S52:T52">
    <cfRule type="iconSet" priority="387">
      <iconSet iconSet="3Symbols2" showValue="0">
        <cfvo type="percent" val="0"/>
        <cfvo type="num" val="0"/>
        <cfvo type="num" val="0"/>
      </iconSet>
    </cfRule>
  </conditionalFormatting>
  <conditionalFormatting sqref="S56:T56">
    <cfRule type="iconSet" priority="410">
      <iconSet iconSet="3Symbols2" showValue="0">
        <cfvo type="percent" val="0"/>
        <cfvo type="num" val="0"/>
        <cfvo type="num" val="0"/>
      </iconSet>
    </cfRule>
  </conditionalFormatting>
  <conditionalFormatting sqref="S57:T57">
    <cfRule type="iconSet" priority="426">
      <iconSet iconSet="3Symbols2" showValue="0">
        <cfvo type="percent" val="0"/>
        <cfvo type="num" val="0"/>
        <cfvo type="num" val="0"/>
      </iconSet>
    </cfRule>
  </conditionalFormatting>
  <conditionalFormatting sqref="S59:T59">
    <cfRule type="iconSet" priority="409">
      <iconSet iconSet="3Symbols2" showValue="0">
        <cfvo type="percent" val="0"/>
        <cfvo type="num" val="0"/>
        <cfvo type="num" val="0"/>
      </iconSet>
    </cfRule>
  </conditionalFormatting>
  <conditionalFormatting sqref="S60:T61">
    <cfRule type="iconSet" priority="388">
      <iconSet iconSet="3Symbols2" showValue="0">
        <cfvo type="percent" val="0"/>
        <cfvo type="num" val="0"/>
        <cfvo type="num" val="0"/>
      </iconSet>
    </cfRule>
  </conditionalFormatting>
  <conditionalFormatting sqref="S62:T62">
    <cfRule type="iconSet" priority="420">
      <iconSet iconSet="3Symbols2" showValue="0">
        <cfvo type="percent" val="0"/>
        <cfvo type="num" val="0"/>
        <cfvo type="num" val="0"/>
      </iconSet>
    </cfRule>
  </conditionalFormatting>
  <conditionalFormatting sqref="S64:T64">
    <cfRule type="iconSet" priority="434">
      <iconSet iconSet="3Symbols2" showValue="0">
        <cfvo type="percent" val="0"/>
        <cfvo type="num" val="0"/>
        <cfvo type="num" val="0"/>
      </iconSet>
    </cfRule>
  </conditionalFormatting>
  <conditionalFormatting sqref="S65:T65">
    <cfRule type="iconSet" priority="402">
      <iconSet iconSet="3Symbols2" showValue="0">
        <cfvo type="percent" val="0"/>
        <cfvo type="num" val="0"/>
        <cfvo type="num" val="0"/>
      </iconSet>
    </cfRule>
  </conditionalFormatting>
  <conditionalFormatting sqref="S66:T74">
    <cfRule type="iconSet" priority="396">
      <iconSet iconSet="3Symbols2" showValue="0">
        <cfvo type="percent" val="0"/>
        <cfvo type="num" val="0"/>
        <cfvo type="num" val="0"/>
      </iconSet>
    </cfRule>
  </conditionalFormatting>
  <conditionalFormatting sqref="S75:T75">
    <cfRule type="iconSet" priority="390">
      <iconSet iconSet="3Symbols2" showValue="0">
        <cfvo type="percent" val="0"/>
        <cfvo type="num" val="0"/>
        <cfvo type="num" val="0"/>
      </iconSet>
    </cfRule>
  </conditionalFormatting>
  <conditionalFormatting sqref="S76:T84">
    <cfRule type="iconSet" priority="389">
      <iconSet iconSet="3Symbols2" showValue="0">
        <cfvo type="percent" val="0"/>
        <cfvo type="num" val="0"/>
        <cfvo type="num" val="0"/>
      </iconSet>
    </cfRule>
  </conditionalFormatting>
  <conditionalFormatting sqref="S85:T85">
    <cfRule type="iconSet" priority="401">
      <iconSet iconSet="3Symbols2" showValue="0">
        <cfvo type="percent" val="0"/>
        <cfvo type="num" val="0"/>
        <cfvo type="num" val="0"/>
      </iconSet>
    </cfRule>
  </conditionalFormatting>
  <conditionalFormatting sqref="S86:T86">
    <cfRule type="iconSet" priority="417">
      <iconSet iconSet="3Symbols2" showValue="0">
        <cfvo type="percent" val="0"/>
        <cfvo type="num" val="0"/>
        <cfvo type="num" val="0"/>
      </iconSet>
    </cfRule>
  </conditionalFormatting>
  <conditionalFormatting sqref="S87:T87">
    <cfRule type="iconSet" priority="425">
      <iconSet iconSet="3Symbols2" showValue="0">
        <cfvo type="percent" val="0"/>
        <cfvo type="num" val="0"/>
        <cfvo type="num" val="0"/>
      </iconSet>
    </cfRule>
  </conditionalFormatting>
  <conditionalFormatting sqref="S98:T98">
    <cfRule type="iconSet" priority="408">
      <iconSet iconSet="3Symbols2" showValue="0">
        <cfvo type="percent" val="0"/>
        <cfvo type="num" val="0"/>
        <cfvo type="num" val="0"/>
      </iconSet>
    </cfRule>
  </conditionalFormatting>
  <conditionalFormatting sqref="S99:T99">
    <cfRule type="iconSet" priority="424">
      <iconSet iconSet="3Symbols2" showValue="0">
        <cfvo type="percent" val="0"/>
        <cfvo type="num" val="0"/>
        <cfvo type="num" val="0"/>
      </iconSet>
    </cfRule>
  </conditionalFormatting>
  <conditionalFormatting sqref="S100:T107">
    <cfRule type="iconSet" priority="395">
      <iconSet iconSet="3Symbols2" showValue="0">
        <cfvo type="percent" val="0"/>
        <cfvo type="num" val="0"/>
        <cfvo type="num" val="0"/>
      </iconSet>
    </cfRule>
  </conditionalFormatting>
  <conditionalFormatting sqref="S108:T108">
    <cfRule type="iconSet" priority="407">
      <iconSet iconSet="3Symbols2" showValue="0">
        <cfvo type="percent" val="0"/>
        <cfvo type="num" val="0"/>
        <cfvo type="num" val="0"/>
      </iconSet>
    </cfRule>
  </conditionalFormatting>
  <conditionalFormatting sqref="S109:T109">
    <cfRule type="iconSet" priority="423">
      <iconSet iconSet="3Symbols2" showValue="0">
        <cfvo type="percent" val="0"/>
        <cfvo type="num" val="0"/>
        <cfvo type="num" val="0"/>
      </iconSet>
    </cfRule>
  </conditionalFormatting>
  <conditionalFormatting sqref="S110:T117">
    <cfRule type="iconSet" priority="394">
      <iconSet iconSet="3Symbols2" showValue="0">
        <cfvo type="percent" val="0"/>
        <cfvo type="num" val="0"/>
        <cfvo type="num" val="0"/>
      </iconSet>
    </cfRule>
  </conditionalFormatting>
  <conditionalFormatting sqref="S118:T118">
    <cfRule type="iconSet" priority="406">
      <iconSet iconSet="3Symbols2" showValue="0">
        <cfvo type="percent" val="0"/>
        <cfvo type="num" val="0"/>
        <cfvo type="num" val="0"/>
      </iconSet>
    </cfRule>
  </conditionalFormatting>
  <conditionalFormatting sqref="S119:T119">
    <cfRule type="iconSet" priority="422">
      <iconSet iconSet="3Symbols2" showValue="0">
        <cfvo type="percent" val="0"/>
        <cfvo type="num" val="0"/>
        <cfvo type="num" val="0"/>
      </iconSet>
    </cfRule>
  </conditionalFormatting>
  <conditionalFormatting sqref="S127:T127">
    <cfRule type="iconSet" priority="405">
      <iconSet iconSet="3Symbols2" showValue="0">
        <cfvo type="percent" val="0"/>
        <cfvo type="num" val="0"/>
        <cfvo type="num" val="0"/>
      </iconSet>
    </cfRule>
  </conditionalFormatting>
  <conditionalFormatting sqref="S128:T128">
    <cfRule type="iconSet" priority="421">
      <iconSet iconSet="3Symbols2" showValue="0">
        <cfvo type="percent" val="0"/>
        <cfvo type="num" val="0"/>
        <cfvo type="num" val="0"/>
      </iconSet>
    </cfRule>
  </conditionalFormatting>
  <conditionalFormatting sqref="S129:T136">
    <cfRule type="iconSet" priority="393">
      <iconSet iconSet="3Symbols2" showValue="0">
        <cfvo type="percent" val="0"/>
        <cfvo type="num" val="0"/>
        <cfvo type="num" val="0"/>
      </iconSet>
    </cfRule>
  </conditionalFormatting>
  <conditionalFormatting sqref="S137:T137">
    <cfRule type="iconSet" priority="404">
      <iconSet iconSet="3Symbols2" showValue="0">
        <cfvo type="percent" val="0"/>
        <cfvo type="num" val="0"/>
        <cfvo type="num" val="0"/>
      </iconSet>
    </cfRule>
  </conditionalFormatting>
  <conditionalFormatting sqref="S138:T138">
    <cfRule type="iconSet" priority="419">
      <iconSet iconSet="3Symbols2" showValue="0">
        <cfvo type="percent" val="0"/>
        <cfvo type="num" val="0"/>
        <cfvo type="num" val="0"/>
      </iconSet>
    </cfRule>
  </conditionalFormatting>
  <conditionalFormatting sqref="S139:T151">
    <cfRule type="iconSet" priority="392">
      <iconSet iconSet="3Symbols2" showValue="0">
        <cfvo type="percent" val="0"/>
        <cfvo type="num" val="0"/>
        <cfvo type="num" val="0"/>
      </iconSet>
    </cfRule>
  </conditionalFormatting>
  <conditionalFormatting sqref="S152:T152">
    <cfRule type="iconSet" priority="403">
      <iconSet iconSet="3Symbols2" showValue="0">
        <cfvo type="percent" val="0"/>
        <cfvo type="num" val="0"/>
        <cfvo type="num" val="0"/>
      </iconSet>
    </cfRule>
  </conditionalFormatting>
  <conditionalFormatting sqref="S153:T153">
    <cfRule type="iconSet" priority="418">
      <iconSet iconSet="3Symbols2" showValue="0">
        <cfvo type="percent" val="0"/>
        <cfvo type="num" val="0"/>
        <cfvo type="num" val="0"/>
      </iconSet>
    </cfRule>
  </conditionalFormatting>
  <conditionalFormatting sqref="S154:T160">
    <cfRule type="iconSet" priority="391">
      <iconSet iconSet="3Symbols2" showValue="0">
        <cfvo type="percent" val="0"/>
        <cfvo type="num" val="0"/>
        <cfvo type="num" val="0"/>
      </iconSet>
    </cfRule>
  </conditionalFormatting>
  <conditionalFormatting sqref="U1:V5">
    <cfRule type="iconSet" priority="368">
      <iconSet iconSet="3Symbols2" showValue="0">
        <cfvo type="percent" val="0"/>
        <cfvo type="num" val="0"/>
        <cfvo type="num" val="1"/>
      </iconSet>
    </cfRule>
  </conditionalFormatting>
  <conditionalFormatting sqref="U6:V8 U10:V10 U42:V42 U58:V58 U88:V97 U120:V126 U161:V1048576">
    <cfRule type="iconSet" priority="385">
      <iconSet iconSet="3Symbols2" showValue="0">
        <cfvo type="percent" val="0"/>
        <cfvo type="num" val="0"/>
        <cfvo type="num" val="0"/>
      </iconSet>
    </cfRule>
  </conditionalFormatting>
  <conditionalFormatting sqref="U9:V9">
    <cfRule type="iconSet" priority="384">
      <iconSet iconSet="3Symbols2" showValue="0">
        <cfvo type="percent" val="0"/>
        <cfvo type="num" val="0"/>
        <cfvo type="num" val="0"/>
      </iconSet>
    </cfRule>
  </conditionalFormatting>
  <conditionalFormatting sqref="U11:V11">
    <cfRule type="iconSet" priority="367">
      <iconSet iconSet="3Symbols2" showValue="0">
        <cfvo type="percent" val="0"/>
        <cfvo type="num" val="0"/>
        <cfvo type="num" val="0"/>
      </iconSet>
    </cfRule>
  </conditionalFormatting>
  <conditionalFormatting sqref="U12:V12">
    <cfRule type="iconSet" priority="383">
      <iconSet iconSet="3Symbols2" showValue="0">
        <cfvo type="percent" val="0"/>
        <cfvo type="num" val="0"/>
        <cfvo type="num" val="0"/>
      </iconSet>
    </cfRule>
  </conditionalFormatting>
  <conditionalFormatting sqref="U13:V23">
    <cfRule type="iconSet" priority="352">
      <iconSet iconSet="3Symbols2" showValue="0">
        <cfvo type="percent" val="0"/>
        <cfvo type="num" val="0"/>
        <cfvo type="num" val="0"/>
      </iconSet>
    </cfRule>
  </conditionalFormatting>
  <conditionalFormatting sqref="U24:V24">
    <cfRule type="iconSet" priority="366">
      <iconSet iconSet="3Symbols2" showValue="0">
        <cfvo type="percent" val="0"/>
        <cfvo type="num" val="0"/>
        <cfvo type="num" val="0"/>
      </iconSet>
    </cfRule>
  </conditionalFormatting>
  <conditionalFormatting sqref="U25:V25">
    <cfRule type="iconSet" priority="382">
      <iconSet iconSet="3Symbols2" showValue="0">
        <cfvo type="percent" val="0"/>
        <cfvo type="num" val="0"/>
        <cfvo type="num" val="0"/>
      </iconSet>
    </cfRule>
  </conditionalFormatting>
  <conditionalFormatting sqref="U26:V26">
    <cfRule type="iconSet" priority="351">
      <iconSet iconSet="3Symbols2" showValue="0">
        <cfvo type="percent" val="0"/>
        <cfvo type="num" val="0"/>
        <cfvo type="num" val="0"/>
      </iconSet>
    </cfRule>
  </conditionalFormatting>
  <conditionalFormatting sqref="U27:V27">
    <cfRule type="iconSet" priority="365">
      <iconSet iconSet="3Symbols2" showValue="0">
        <cfvo type="percent" val="0"/>
        <cfvo type="num" val="0"/>
        <cfvo type="num" val="0"/>
      </iconSet>
    </cfRule>
  </conditionalFormatting>
  <conditionalFormatting sqref="U28:V28">
    <cfRule type="iconSet" priority="381">
      <iconSet iconSet="3Symbols2" showValue="0">
        <cfvo type="percent" val="0"/>
        <cfvo type="num" val="0"/>
        <cfvo type="num" val="0"/>
      </iconSet>
    </cfRule>
  </conditionalFormatting>
  <conditionalFormatting sqref="U29:V39">
    <cfRule type="iconSet" priority="350">
      <iconSet iconSet="3Symbols2" showValue="0">
        <cfvo type="percent" val="0"/>
        <cfvo type="num" val="0"/>
        <cfvo type="num" val="0"/>
      </iconSet>
    </cfRule>
  </conditionalFormatting>
  <conditionalFormatting sqref="U40:V40">
    <cfRule type="iconSet" priority="364">
      <iconSet iconSet="3Symbols2" showValue="0">
        <cfvo type="percent" val="0"/>
        <cfvo type="num" val="0"/>
        <cfvo type="num" val="0"/>
      </iconSet>
    </cfRule>
  </conditionalFormatting>
  <conditionalFormatting sqref="U41:V41">
    <cfRule type="iconSet" priority="380">
      <iconSet iconSet="3Symbols2" showValue="0">
        <cfvo type="percent" val="0"/>
        <cfvo type="num" val="0"/>
        <cfvo type="num" val="0"/>
      </iconSet>
    </cfRule>
  </conditionalFormatting>
  <conditionalFormatting sqref="U43:V43">
    <cfRule type="iconSet" priority="363">
      <iconSet iconSet="3Symbols2" showValue="0">
        <cfvo type="percent" val="0"/>
        <cfvo type="num" val="0"/>
        <cfvo type="num" val="0"/>
      </iconSet>
    </cfRule>
  </conditionalFormatting>
  <conditionalFormatting sqref="U44:V44">
    <cfRule type="iconSet" priority="379">
      <iconSet iconSet="3Symbols2" showValue="0">
        <cfvo type="percent" val="0"/>
        <cfvo type="num" val="0"/>
        <cfvo type="num" val="0"/>
      </iconSet>
    </cfRule>
  </conditionalFormatting>
  <conditionalFormatting sqref="U45:V51 U53:V55 U63:V63">
    <cfRule type="iconSet" priority="349">
      <iconSet iconSet="3Symbols2" showValue="0">
        <cfvo type="percent" val="0"/>
        <cfvo type="num" val="0"/>
        <cfvo type="num" val="0"/>
      </iconSet>
    </cfRule>
  </conditionalFormatting>
  <conditionalFormatting sqref="U52:V52">
    <cfRule type="iconSet" priority="339">
      <iconSet iconSet="3Symbols2" showValue="0">
        <cfvo type="percent" val="0"/>
        <cfvo type="num" val="0"/>
        <cfvo type="num" val="0"/>
      </iconSet>
    </cfRule>
  </conditionalFormatting>
  <conditionalFormatting sqref="U56:V56">
    <cfRule type="iconSet" priority="362">
      <iconSet iconSet="3Symbols2" showValue="0">
        <cfvo type="percent" val="0"/>
        <cfvo type="num" val="0"/>
        <cfvo type="num" val="0"/>
      </iconSet>
    </cfRule>
  </conditionalFormatting>
  <conditionalFormatting sqref="U57:V57">
    <cfRule type="iconSet" priority="378">
      <iconSet iconSet="3Symbols2" showValue="0">
        <cfvo type="percent" val="0"/>
        <cfvo type="num" val="0"/>
        <cfvo type="num" val="0"/>
      </iconSet>
    </cfRule>
  </conditionalFormatting>
  <conditionalFormatting sqref="U59:V59">
    <cfRule type="iconSet" priority="361">
      <iconSet iconSet="3Symbols2" showValue="0">
        <cfvo type="percent" val="0"/>
        <cfvo type="num" val="0"/>
        <cfvo type="num" val="0"/>
      </iconSet>
    </cfRule>
  </conditionalFormatting>
  <conditionalFormatting sqref="U60:V61">
    <cfRule type="iconSet" priority="340">
      <iconSet iconSet="3Symbols2" showValue="0">
        <cfvo type="percent" val="0"/>
        <cfvo type="num" val="0"/>
        <cfvo type="num" val="0"/>
      </iconSet>
    </cfRule>
  </conditionalFormatting>
  <conditionalFormatting sqref="U62:V62">
    <cfRule type="iconSet" priority="372">
      <iconSet iconSet="3Symbols2" showValue="0">
        <cfvo type="percent" val="0"/>
        <cfvo type="num" val="0"/>
        <cfvo type="num" val="0"/>
      </iconSet>
    </cfRule>
  </conditionalFormatting>
  <conditionalFormatting sqref="U64:V64">
    <cfRule type="iconSet" priority="386">
      <iconSet iconSet="3Symbols2" showValue="0">
        <cfvo type="percent" val="0"/>
        <cfvo type="num" val="0"/>
        <cfvo type="num" val="0"/>
      </iconSet>
    </cfRule>
  </conditionalFormatting>
  <conditionalFormatting sqref="U65:V65">
    <cfRule type="iconSet" priority="354">
      <iconSet iconSet="3Symbols2" showValue="0">
        <cfvo type="percent" val="0"/>
        <cfvo type="num" val="0"/>
        <cfvo type="num" val="0"/>
      </iconSet>
    </cfRule>
  </conditionalFormatting>
  <conditionalFormatting sqref="U66:V74">
    <cfRule type="iconSet" priority="348">
      <iconSet iconSet="3Symbols2" showValue="0">
        <cfvo type="percent" val="0"/>
        <cfvo type="num" val="0"/>
        <cfvo type="num" val="0"/>
      </iconSet>
    </cfRule>
  </conditionalFormatting>
  <conditionalFormatting sqref="U75:V75">
    <cfRule type="iconSet" priority="342">
      <iconSet iconSet="3Symbols2" showValue="0">
        <cfvo type="percent" val="0"/>
        <cfvo type="num" val="0"/>
        <cfvo type="num" val="0"/>
      </iconSet>
    </cfRule>
  </conditionalFormatting>
  <conditionalFormatting sqref="U76:V84">
    <cfRule type="iconSet" priority="341">
      <iconSet iconSet="3Symbols2" showValue="0">
        <cfvo type="percent" val="0"/>
        <cfvo type="num" val="0"/>
        <cfvo type="num" val="0"/>
      </iconSet>
    </cfRule>
  </conditionalFormatting>
  <conditionalFormatting sqref="U85:V85">
    <cfRule type="iconSet" priority="353">
      <iconSet iconSet="3Symbols2" showValue="0">
        <cfvo type="percent" val="0"/>
        <cfvo type="num" val="0"/>
        <cfvo type="num" val="0"/>
      </iconSet>
    </cfRule>
  </conditionalFormatting>
  <conditionalFormatting sqref="U86:V86">
    <cfRule type="iconSet" priority="369">
      <iconSet iconSet="3Symbols2" showValue="0">
        <cfvo type="percent" val="0"/>
        <cfvo type="num" val="0"/>
        <cfvo type="num" val="0"/>
      </iconSet>
    </cfRule>
  </conditionalFormatting>
  <conditionalFormatting sqref="U87:V87">
    <cfRule type="iconSet" priority="377">
      <iconSet iconSet="3Symbols2" showValue="0">
        <cfvo type="percent" val="0"/>
        <cfvo type="num" val="0"/>
        <cfvo type="num" val="0"/>
      </iconSet>
    </cfRule>
  </conditionalFormatting>
  <conditionalFormatting sqref="U98:V98">
    <cfRule type="iconSet" priority="360">
      <iconSet iconSet="3Symbols2" showValue="0">
        <cfvo type="percent" val="0"/>
        <cfvo type="num" val="0"/>
        <cfvo type="num" val="0"/>
      </iconSet>
    </cfRule>
  </conditionalFormatting>
  <conditionalFormatting sqref="U99:V99">
    <cfRule type="iconSet" priority="376">
      <iconSet iconSet="3Symbols2" showValue="0">
        <cfvo type="percent" val="0"/>
        <cfvo type="num" val="0"/>
        <cfvo type="num" val="0"/>
      </iconSet>
    </cfRule>
  </conditionalFormatting>
  <conditionalFormatting sqref="U100:V107">
    <cfRule type="iconSet" priority="347">
      <iconSet iconSet="3Symbols2" showValue="0">
        <cfvo type="percent" val="0"/>
        <cfvo type="num" val="0"/>
        <cfvo type="num" val="0"/>
      </iconSet>
    </cfRule>
  </conditionalFormatting>
  <conditionalFormatting sqref="U108:V108">
    <cfRule type="iconSet" priority="359">
      <iconSet iconSet="3Symbols2" showValue="0">
        <cfvo type="percent" val="0"/>
        <cfvo type="num" val="0"/>
        <cfvo type="num" val="0"/>
      </iconSet>
    </cfRule>
  </conditionalFormatting>
  <conditionalFormatting sqref="U109:V109">
    <cfRule type="iconSet" priority="375">
      <iconSet iconSet="3Symbols2" showValue="0">
        <cfvo type="percent" val="0"/>
        <cfvo type="num" val="0"/>
        <cfvo type="num" val="0"/>
      </iconSet>
    </cfRule>
  </conditionalFormatting>
  <conditionalFormatting sqref="U110:V117">
    <cfRule type="iconSet" priority="346">
      <iconSet iconSet="3Symbols2" showValue="0">
        <cfvo type="percent" val="0"/>
        <cfvo type="num" val="0"/>
        <cfvo type="num" val="0"/>
      </iconSet>
    </cfRule>
  </conditionalFormatting>
  <conditionalFormatting sqref="U118:V118">
    <cfRule type="iconSet" priority="358">
      <iconSet iconSet="3Symbols2" showValue="0">
        <cfvo type="percent" val="0"/>
        <cfvo type="num" val="0"/>
        <cfvo type="num" val="0"/>
      </iconSet>
    </cfRule>
  </conditionalFormatting>
  <conditionalFormatting sqref="U119:V119">
    <cfRule type="iconSet" priority="374">
      <iconSet iconSet="3Symbols2" showValue="0">
        <cfvo type="percent" val="0"/>
        <cfvo type="num" val="0"/>
        <cfvo type="num" val="0"/>
      </iconSet>
    </cfRule>
  </conditionalFormatting>
  <conditionalFormatting sqref="U127:V127">
    <cfRule type="iconSet" priority="357">
      <iconSet iconSet="3Symbols2" showValue="0">
        <cfvo type="percent" val="0"/>
        <cfvo type="num" val="0"/>
        <cfvo type="num" val="0"/>
      </iconSet>
    </cfRule>
  </conditionalFormatting>
  <conditionalFormatting sqref="U128:V128">
    <cfRule type="iconSet" priority="373">
      <iconSet iconSet="3Symbols2" showValue="0">
        <cfvo type="percent" val="0"/>
        <cfvo type="num" val="0"/>
        <cfvo type="num" val="0"/>
      </iconSet>
    </cfRule>
  </conditionalFormatting>
  <conditionalFormatting sqref="U129:V136">
    <cfRule type="iconSet" priority="345">
      <iconSet iconSet="3Symbols2" showValue="0">
        <cfvo type="percent" val="0"/>
        <cfvo type="num" val="0"/>
        <cfvo type="num" val="0"/>
      </iconSet>
    </cfRule>
  </conditionalFormatting>
  <conditionalFormatting sqref="U137:V137">
    <cfRule type="iconSet" priority="356">
      <iconSet iconSet="3Symbols2" showValue="0">
        <cfvo type="percent" val="0"/>
        <cfvo type="num" val="0"/>
        <cfvo type="num" val="0"/>
      </iconSet>
    </cfRule>
  </conditionalFormatting>
  <conditionalFormatting sqref="U138:V138">
    <cfRule type="iconSet" priority="371">
      <iconSet iconSet="3Symbols2" showValue="0">
        <cfvo type="percent" val="0"/>
        <cfvo type="num" val="0"/>
        <cfvo type="num" val="0"/>
      </iconSet>
    </cfRule>
  </conditionalFormatting>
  <conditionalFormatting sqref="U139:V151">
    <cfRule type="iconSet" priority="344">
      <iconSet iconSet="3Symbols2" showValue="0">
        <cfvo type="percent" val="0"/>
        <cfvo type="num" val="0"/>
        <cfvo type="num" val="0"/>
      </iconSet>
    </cfRule>
  </conditionalFormatting>
  <conditionalFormatting sqref="U152:V152">
    <cfRule type="iconSet" priority="355">
      <iconSet iconSet="3Symbols2" showValue="0">
        <cfvo type="percent" val="0"/>
        <cfvo type="num" val="0"/>
        <cfvo type="num" val="0"/>
      </iconSet>
    </cfRule>
  </conditionalFormatting>
  <conditionalFormatting sqref="U153:V153">
    <cfRule type="iconSet" priority="370">
      <iconSet iconSet="3Symbols2" showValue="0">
        <cfvo type="percent" val="0"/>
        <cfvo type="num" val="0"/>
        <cfvo type="num" val="0"/>
      </iconSet>
    </cfRule>
  </conditionalFormatting>
  <conditionalFormatting sqref="U154:V160">
    <cfRule type="iconSet" priority="343">
      <iconSet iconSet="3Symbols2" showValue="0">
        <cfvo type="percent" val="0"/>
        <cfvo type="num" val="0"/>
        <cfvo type="num" val="0"/>
      </iconSet>
    </cfRule>
  </conditionalFormatting>
  <conditionalFormatting sqref="W1:X5">
    <cfRule type="iconSet" priority="320">
      <iconSet iconSet="3Symbols2" showValue="0">
        <cfvo type="percent" val="0"/>
        <cfvo type="num" val="0"/>
        <cfvo type="num" val="1"/>
      </iconSet>
    </cfRule>
  </conditionalFormatting>
  <conditionalFormatting sqref="W6:X8 W10:X10 W42:X42 W58:X58 W88:X97 W120:X126 W161:X1048576">
    <cfRule type="iconSet" priority="337">
      <iconSet iconSet="3Symbols2" showValue="0">
        <cfvo type="percent" val="0"/>
        <cfvo type="num" val="0"/>
        <cfvo type="num" val="0"/>
      </iconSet>
    </cfRule>
  </conditionalFormatting>
  <conditionalFormatting sqref="W9:X9">
    <cfRule type="iconSet" priority="336">
      <iconSet iconSet="3Symbols2" showValue="0">
        <cfvo type="percent" val="0"/>
        <cfvo type="num" val="0"/>
        <cfvo type="num" val="0"/>
      </iconSet>
    </cfRule>
  </conditionalFormatting>
  <conditionalFormatting sqref="W11:X11">
    <cfRule type="iconSet" priority="319">
      <iconSet iconSet="3Symbols2" showValue="0">
        <cfvo type="percent" val="0"/>
        <cfvo type="num" val="0"/>
        <cfvo type="num" val="0"/>
      </iconSet>
    </cfRule>
  </conditionalFormatting>
  <conditionalFormatting sqref="W12:X12">
    <cfRule type="iconSet" priority="335">
      <iconSet iconSet="3Symbols2" showValue="0">
        <cfvo type="percent" val="0"/>
        <cfvo type="num" val="0"/>
        <cfvo type="num" val="0"/>
      </iconSet>
    </cfRule>
  </conditionalFormatting>
  <conditionalFormatting sqref="W13:X23">
    <cfRule type="iconSet" priority="304">
      <iconSet iconSet="3Symbols2" showValue="0">
        <cfvo type="percent" val="0"/>
        <cfvo type="num" val="0"/>
        <cfvo type="num" val="0"/>
      </iconSet>
    </cfRule>
  </conditionalFormatting>
  <conditionalFormatting sqref="W24:X24">
    <cfRule type="iconSet" priority="318">
      <iconSet iconSet="3Symbols2" showValue="0">
        <cfvo type="percent" val="0"/>
        <cfvo type="num" val="0"/>
        <cfvo type="num" val="0"/>
      </iconSet>
    </cfRule>
  </conditionalFormatting>
  <conditionalFormatting sqref="W25:X25">
    <cfRule type="iconSet" priority="334">
      <iconSet iconSet="3Symbols2" showValue="0">
        <cfvo type="percent" val="0"/>
        <cfvo type="num" val="0"/>
        <cfvo type="num" val="0"/>
      </iconSet>
    </cfRule>
  </conditionalFormatting>
  <conditionalFormatting sqref="W26:X26">
    <cfRule type="iconSet" priority="303">
      <iconSet iconSet="3Symbols2" showValue="0">
        <cfvo type="percent" val="0"/>
        <cfvo type="num" val="0"/>
        <cfvo type="num" val="0"/>
      </iconSet>
    </cfRule>
  </conditionalFormatting>
  <conditionalFormatting sqref="W27:X27">
    <cfRule type="iconSet" priority="317">
      <iconSet iconSet="3Symbols2" showValue="0">
        <cfvo type="percent" val="0"/>
        <cfvo type="num" val="0"/>
        <cfvo type="num" val="0"/>
      </iconSet>
    </cfRule>
  </conditionalFormatting>
  <conditionalFormatting sqref="W28:X28">
    <cfRule type="iconSet" priority="333">
      <iconSet iconSet="3Symbols2" showValue="0">
        <cfvo type="percent" val="0"/>
        <cfvo type="num" val="0"/>
        <cfvo type="num" val="0"/>
      </iconSet>
    </cfRule>
  </conditionalFormatting>
  <conditionalFormatting sqref="W29:X39">
    <cfRule type="iconSet" priority="302">
      <iconSet iconSet="3Symbols2" showValue="0">
        <cfvo type="percent" val="0"/>
        <cfvo type="num" val="0"/>
        <cfvo type="num" val="0"/>
      </iconSet>
    </cfRule>
  </conditionalFormatting>
  <conditionalFormatting sqref="W40:X40">
    <cfRule type="iconSet" priority="316">
      <iconSet iconSet="3Symbols2" showValue="0">
        <cfvo type="percent" val="0"/>
        <cfvo type="num" val="0"/>
        <cfvo type="num" val="0"/>
      </iconSet>
    </cfRule>
  </conditionalFormatting>
  <conditionalFormatting sqref="W41:X41">
    <cfRule type="iconSet" priority="332">
      <iconSet iconSet="3Symbols2" showValue="0">
        <cfvo type="percent" val="0"/>
        <cfvo type="num" val="0"/>
        <cfvo type="num" val="0"/>
      </iconSet>
    </cfRule>
  </conditionalFormatting>
  <conditionalFormatting sqref="W43:X43">
    <cfRule type="iconSet" priority="315">
      <iconSet iconSet="3Symbols2" showValue="0">
        <cfvo type="percent" val="0"/>
        <cfvo type="num" val="0"/>
        <cfvo type="num" val="0"/>
      </iconSet>
    </cfRule>
  </conditionalFormatting>
  <conditionalFormatting sqref="W44:X44">
    <cfRule type="iconSet" priority="331">
      <iconSet iconSet="3Symbols2" showValue="0">
        <cfvo type="percent" val="0"/>
        <cfvo type="num" val="0"/>
        <cfvo type="num" val="0"/>
      </iconSet>
    </cfRule>
  </conditionalFormatting>
  <conditionalFormatting sqref="W45:X51 W53:X55 W63:X63">
    <cfRule type="iconSet" priority="301">
      <iconSet iconSet="3Symbols2" showValue="0">
        <cfvo type="percent" val="0"/>
        <cfvo type="num" val="0"/>
        <cfvo type="num" val="0"/>
      </iconSet>
    </cfRule>
  </conditionalFormatting>
  <conditionalFormatting sqref="W52:X52">
    <cfRule type="iconSet" priority="291">
      <iconSet iconSet="3Symbols2" showValue="0">
        <cfvo type="percent" val="0"/>
        <cfvo type="num" val="0"/>
        <cfvo type="num" val="0"/>
      </iconSet>
    </cfRule>
  </conditionalFormatting>
  <conditionalFormatting sqref="W56:X56">
    <cfRule type="iconSet" priority="314">
      <iconSet iconSet="3Symbols2" showValue="0">
        <cfvo type="percent" val="0"/>
        <cfvo type="num" val="0"/>
        <cfvo type="num" val="0"/>
      </iconSet>
    </cfRule>
  </conditionalFormatting>
  <conditionalFormatting sqref="W57:X57">
    <cfRule type="iconSet" priority="330">
      <iconSet iconSet="3Symbols2" showValue="0">
        <cfvo type="percent" val="0"/>
        <cfvo type="num" val="0"/>
        <cfvo type="num" val="0"/>
      </iconSet>
    </cfRule>
  </conditionalFormatting>
  <conditionalFormatting sqref="W59:X59">
    <cfRule type="iconSet" priority="313">
      <iconSet iconSet="3Symbols2" showValue="0">
        <cfvo type="percent" val="0"/>
        <cfvo type="num" val="0"/>
        <cfvo type="num" val="0"/>
      </iconSet>
    </cfRule>
  </conditionalFormatting>
  <conditionalFormatting sqref="W60:X61">
    <cfRule type="iconSet" priority="292">
      <iconSet iconSet="3Symbols2" showValue="0">
        <cfvo type="percent" val="0"/>
        <cfvo type="num" val="0"/>
        <cfvo type="num" val="0"/>
      </iconSet>
    </cfRule>
  </conditionalFormatting>
  <conditionalFormatting sqref="W62:X62">
    <cfRule type="iconSet" priority="324">
      <iconSet iconSet="3Symbols2" showValue="0">
        <cfvo type="percent" val="0"/>
        <cfvo type="num" val="0"/>
        <cfvo type="num" val="0"/>
      </iconSet>
    </cfRule>
  </conditionalFormatting>
  <conditionalFormatting sqref="W64:X64">
    <cfRule type="iconSet" priority="338">
      <iconSet iconSet="3Symbols2" showValue="0">
        <cfvo type="percent" val="0"/>
        <cfvo type="num" val="0"/>
        <cfvo type="num" val="0"/>
      </iconSet>
    </cfRule>
  </conditionalFormatting>
  <conditionalFormatting sqref="W65:X65">
    <cfRule type="iconSet" priority="306">
      <iconSet iconSet="3Symbols2" showValue="0">
        <cfvo type="percent" val="0"/>
        <cfvo type="num" val="0"/>
        <cfvo type="num" val="0"/>
      </iconSet>
    </cfRule>
  </conditionalFormatting>
  <conditionalFormatting sqref="W66:X74">
    <cfRule type="iconSet" priority="300">
      <iconSet iconSet="3Symbols2" showValue="0">
        <cfvo type="percent" val="0"/>
        <cfvo type="num" val="0"/>
        <cfvo type="num" val="0"/>
      </iconSet>
    </cfRule>
  </conditionalFormatting>
  <conditionalFormatting sqref="W75:X75">
    <cfRule type="iconSet" priority="294">
      <iconSet iconSet="3Symbols2" showValue="0">
        <cfvo type="percent" val="0"/>
        <cfvo type="num" val="0"/>
        <cfvo type="num" val="0"/>
      </iconSet>
    </cfRule>
  </conditionalFormatting>
  <conditionalFormatting sqref="W76:X84">
    <cfRule type="iconSet" priority="293">
      <iconSet iconSet="3Symbols2" showValue="0">
        <cfvo type="percent" val="0"/>
        <cfvo type="num" val="0"/>
        <cfvo type="num" val="0"/>
      </iconSet>
    </cfRule>
  </conditionalFormatting>
  <conditionalFormatting sqref="W85:X85">
    <cfRule type="iconSet" priority="305">
      <iconSet iconSet="3Symbols2" showValue="0">
        <cfvo type="percent" val="0"/>
        <cfvo type="num" val="0"/>
        <cfvo type="num" val="0"/>
      </iconSet>
    </cfRule>
  </conditionalFormatting>
  <conditionalFormatting sqref="W86:X86">
    <cfRule type="iconSet" priority="321">
      <iconSet iconSet="3Symbols2" showValue="0">
        <cfvo type="percent" val="0"/>
        <cfvo type="num" val="0"/>
        <cfvo type="num" val="0"/>
      </iconSet>
    </cfRule>
  </conditionalFormatting>
  <conditionalFormatting sqref="W87:X87">
    <cfRule type="iconSet" priority="329">
      <iconSet iconSet="3Symbols2" showValue="0">
        <cfvo type="percent" val="0"/>
        <cfvo type="num" val="0"/>
        <cfvo type="num" val="0"/>
      </iconSet>
    </cfRule>
  </conditionalFormatting>
  <conditionalFormatting sqref="W98:X98">
    <cfRule type="iconSet" priority="312">
      <iconSet iconSet="3Symbols2" showValue="0">
        <cfvo type="percent" val="0"/>
        <cfvo type="num" val="0"/>
        <cfvo type="num" val="0"/>
      </iconSet>
    </cfRule>
  </conditionalFormatting>
  <conditionalFormatting sqref="W99:X99">
    <cfRule type="iconSet" priority="328">
      <iconSet iconSet="3Symbols2" showValue="0">
        <cfvo type="percent" val="0"/>
        <cfvo type="num" val="0"/>
        <cfvo type="num" val="0"/>
      </iconSet>
    </cfRule>
  </conditionalFormatting>
  <conditionalFormatting sqref="W100:X107">
    <cfRule type="iconSet" priority="299">
      <iconSet iconSet="3Symbols2" showValue="0">
        <cfvo type="percent" val="0"/>
        <cfvo type="num" val="0"/>
        <cfvo type="num" val="0"/>
      </iconSet>
    </cfRule>
  </conditionalFormatting>
  <conditionalFormatting sqref="W108:X108">
    <cfRule type="iconSet" priority="311">
      <iconSet iconSet="3Symbols2" showValue="0">
        <cfvo type="percent" val="0"/>
        <cfvo type="num" val="0"/>
        <cfvo type="num" val="0"/>
      </iconSet>
    </cfRule>
  </conditionalFormatting>
  <conditionalFormatting sqref="W109:X109">
    <cfRule type="iconSet" priority="327">
      <iconSet iconSet="3Symbols2" showValue="0">
        <cfvo type="percent" val="0"/>
        <cfvo type="num" val="0"/>
        <cfvo type="num" val="0"/>
      </iconSet>
    </cfRule>
  </conditionalFormatting>
  <conditionalFormatting sqref="W110:X117">
    <cfRule type="iconSet" priority="298">
      <iconSet iconSet="3Symbols2" showValue="0">
        <cfvo type="percent" val="0"/>
        <cfvo type="num" val="0"/>
        <cfvo type="num" val="0"/>
      </iconSet>
    </cfRule>
  </conditionalFormatting>
  <conditionalFormatting sqref="W118:X118">
    <cfRule type="iconSet" priority="310">
      <iconSet iconSet="3Symbols2" showValue="0">
        <cfvo type="percent" val="0"/>
        <cfvo type="num" val="0"/>
        <cfvo type="num" val="0"/>
      </iconSet>
    </cfRule>
  </conditionalFormatting>
  <conditionalFormatting sqref="W119:X119">
    <cfRule type="iconSet" priority="326">
      <iconSet iconSet="3Symbols2" showValue="0">
        <cfvo type="percent" val="0"/>
        <cfvo type="num" val="0"/>
        <cfvo type="num" val="0"/>
      </iconSet>
    </cfRule>
  </conditionalFormatting>
  <conditionalFormatting sqref="W127:X127">
    <cfRule type="iconSet" priority="309">
      <iconSet iconSet="3Symbols2" showValue="0">
        <cfvo type="percent" val="0"/>
        <cfvo type="num" val="0"/>
        <cfvo type="num" val="0"/>
      </iconSet>
    </cfRule>
  </conditionalFormatting>
  <conditionalFormatting sqref="W128:X128">
    <cfRule type="iconSet" priority="325">
      <iconSet iconSet="3Symbols2" showValue="0">
        <cfvo type="percent" val="0"/>
        <cfvo type="num" val="0"/>
        <cfvo type="num" val="0"/>
      </iconSet>
    </cfRule>
  </conditionalFormatting>
  <conditionalFormatting sqref="W129:X136">
    <cfRule type="iconSet" priority="297">
      <iconSet iconSet="3Symbols2" showValue="0">
        <cfvo type="percent" val="0"/>
        <cfvo type="num" val="0"/>
        <cfvo type="num" val="0"/>
      </iconSet>
    </cfRule>
  </conditionalFormatting>
  <conditionalFormatting sqref="W137:X137">
    <cfRule type="iconSet" priority="308">
      <iconSet iconSet="3Symbols2" showValue="0">
        <cfvo type="percent" val="0"/>
        <cfvo type="num" val="0"/>
        <cfvo type="num" val="0"/>
      </iconSet>
    </cfRule>
  </conditionalFormatting>
  <conditionalFormatting sqref="W138:X138">
    <cfRule type="iconSet" priority="323">
      <iconSet iconSet="3Symbols2" showValue="0">
        <cfvo type="percent" val="0"/>
        <cfvo type="num" val="0"/>
        <cfvo type="num" val="0"/>
      </iconSet>
    </cfRule>
  </conditionalFormatting>
  <conditionalFormatting sqref="W139:X151">
    <cfRule type="iconSet" priority="296">
      <iconSet iconSet="3Symbols2" showValue="0">
        <cfvo type="percent" val="0"/>
        <cfvo type="num" val="0"/>
        <cfvo type="num" val="0"/>
      </iconSet>
    </cfRule>
  </conditionalFormatting>
  <conditionalFormatting sqref="W152:X152">
    <cfRule type="iconSet" priority="307">
      <iconSet iconSet="3Symbols2" showValue="0">
        <cfvo type="percent" val="0"/>
        <cfvo type="num" val="0"/>
        <cfvo type="num" val="0"/>
      </iconSet>
    </cfRule>
  </conditionalFormatting>
  <conditionalFormatting sqref="W153:X153">
    <cfRule type="iconSet" priority="322">
      <iconSet iconSet="3Symbols2" showValue="0">
        <cfvo type="percent" val="0"/>
        <cfvo type="num" val="0"/>
        <cfvo type="num" val="0"/>
      </iconSet>
    </cfRule>
  </conditionalFormatting>
  <conditionalFormatting sqref="W154:X160">
    <cfRule type="iconSet" priority="295">
      <iconSet iconSet="3Symbols2" showValue="0">
        <cfvo type="percent" val="0"/>
        <cfvo type="num" val="0"/>
        <cfvo type="num" val="0"/>
      </iconSet>
    </cfRule>
  </conditionalFormatting>
  <conditionalFormatting sqref="Y6:Y8 Y10 Y13 Y26 Y29 Y42 Y45 Y58 Y63 Y88:Y97 Y100:Y107 Y120:Y126 Y129:Y136 Y139:Y151 Y156:Y1048576">
    <cfRule type="iconSet" priority="635">
      <iconSet iconSet="3Symbols2" showValue="0">
        <cfvo type="percent" val="0"/>
        <cfvo type="num" val="0"/>
        <cfvo type="num" val="0"/>
      </iconSet>
    </cfRule>
  </conditionalFormatting>
  <conditionalFormatting sqref="Y9">
    <cfRule type="iconSet" priority="633">
      <iconSet iconSet="3Symbols2" showValue="0">
        <cfvo type="percent" val="0"/>
        <cfvo type="num" val="0"/>
        <cfvo type="num" val="0"/>
      </iconSet>
    </cfRule>
  </conditionalFormatting>
  <conditionalFormatting sqref="Y11">
    <cfRule type="iconSet" priority="613">
      <iconSet iconSet="3Symbols2" showValue="0">
        <cfvo type="percent" val="0"/>
        <cfvo type="num" val="0"/>
        <cfvo type="num" val="0"/>
      </iconSet>
    </cfRule>
  </conditionalFormatting>
  <conditionalFormatting sqref="Y12">
    <cfRule type="iconSet" priority="632">
      <iconSet iconSet="3Symbols2" showValue="0">
        <cfvo type="percent" val="0"/>
        <cfvo type="num" val="0"/>
        <cfvo type="num" val="0"/>
      </iconSet>
    </cfRule>
  </conditionalFormatting>
  <conditionalFormatting sqref="Y14:Y23">
    <cfRule type="iconSet" priority="563">
      <iconSet iconSet="3Symbols2" showValue="0">
        <cfvo type="percent" val="0"/>
        <cfvo type="num" val="0"/>
        <cfvo type="num" val="0"/>
      </iconSet>
    </cfRule>
  </conditionalFormatting>
  <conditionalFormatting sqref="Y24">
    <cfRule type="iconSet" priority="610">
      <iconSet iconSet="3Symbols2" showValue="0">
        <cfvo type="percent" val="0"/>
        <cfvo type="num" val="0"/>
        <cfvo type="num" val="0"/>
      </iconSet>
    </cfRule>
  </conditionalFormatting>
  <conditionalFormatting sqref="Y25">
    <cfRule type="iconSet" priority="631">
      <iconSet iconSet="3Symbols2" showValue="0">
        <cfvo type="percent" val="0"/>
        <cfvo type="num" val="0"/>
        <cfvo type="num" val="0"/>
      </iconSet>
    </cfRule>
  </conditionalFormatting>
  <conditionalFormatting sqref="Y27">
    <cfRule type="iconSet" priority="607">
      <iconSet iconSet="3Symbols2" showValue="0">
        <cfvo type="percent" val="0"/>
        <cfvo type="num" val="0"/>
        <cfvo type="num" val="0"/>
      </iconSet>
    </cfRule>
  </conditionalFormatting>
  <conditionalFormatting sqref="Y28">
    <cfRule type="iconSet" priority="630">
      <iconSet iconSet="3Symbols2" showValue="0">
        <cfvo type="percent" val="0"/>
        <cfvo type="num" val="0"/>
        <cfvo type="num" val="0"/>
      </iconSet>
    </cfRule>
  </conditionalFormatting>
  <conditionalFormatting sqref="Y30:Y39">
    <cfRule type="iconSet" priority="560">
      <iconSet iconSet="3Symbols2" showValue="0">
        <cfvo type="percent" val="0"/>
        <cfvo type="num" val="0"/>
        <cfvo type="num" val="0"/>
      </iconSet>
    </cfRule>
  </conditionalFormatting>
  <conditionalFormatting sqref="Y40">
    <cfRule type="iconSet" priority="604">
      <iconSet iconSet="3Symbols2" showValue="0">
        <cfvo type="percent" val="0"/>
        <cfvo type="num" val="0"/>
        <cfvo type="num" val="0"/>
      </iconSet>
    </cfRule>
  </conditionalFormatting>
  <conditionalFormatting sqref="Y41">
    <cfRule type="iconSet" priority="629">
      <iconSet iconSet="3Symbols2" showValue="0">
        <cfvo type="percent" val="0"/>
        <cfvo type="num" val="0"/>
        <cfvo type="num" val="0"/>
      </iconSet>
    </cfRule>
  </conditionalFormatting>
  <conditionalFormatting sqref="Y43">
    <cfRule type="iconSet" priority="601">
      <iconSet iconSet="3Symbols2" showValue="0">
        <cfvo type="percent" val="0"/>
        <cfvo type="num" val="0"/>
        <cfvo type="num" val="0"/>
      </iconSet>
    </cfRule>
  </conditionalFormatting>
  <conditionalFormatting sqref="Y44">
    <cfRule type="iconSet" priority="628">
      <iconSet iconSet="3Symbols2" showValue="0">
        <cfvo type="percent" val="0"/>
        <cfvo type="num" val="0"/>
        <cfvo type="num" val="0"/>
      </iconSet>
    </cfRule>
  </conditionalFormatting>
  <conditionalFormatting sqref="Y46:Y55">
    <cfRule type="iconSet" priority="557">
      <iconSet iconSet="3Symbols2" showValue="0">
        <cfvo type="percent" val="0"/>
        <cfvo type="num" val="0"/>
        <cfvo type="num" val="0"/>
      </iconSet>
    </cfRule>
  </conditionalFormatting>
  <conditionalFormatting sqref="Y56">
    <cfRule type="iconSet" priority="598">
      <iconSet iconSet="3Symbols2" showValue="0">
        <cfvo type="percent" val="0"/>
        <cfvo type="num" val="0"/>
        <cfvo type="num" val="0"/>
      </iconSet>
    </cfRule>
  </conditionalFormatting>
  <conditionalFormatting sqref="Y57">
    <cfRule type="iconSet" priority="627">
      <iconSet iconSet="3Symbols2" showValue="0">
        <cfvo type="percent" val="0"/>
        <cfvo type="num" val="0"/>
        <cfvo type="num" val="0"/>
      </iconSet>
    </cfRule>
  </conditionalFormatting>
  <conditionalFormatting sqref="Y59">
    <cfRule type="iconSet" priority="595">
      <iconSet iconSet="3Symbols2" showValue="0">
        <cfvo type="percent" val="0"/>
        <cfvo type="num" val="0"/>
        <cfvo type="num" val="0"/>
      </iconSet>
    </cfRule>
  </conditionalFormatting>
  <conditionalFormatting sqref="Y60:Y61">
    <cfRule type="iconSet" priority="533">
      <iconSet iconSet="3Symbols2" showValue="0">
        <cfvo type="percent" val="0"/>
        <cfvo type="num" val="0"/>
        <cfvo type="num" val="0"/>
      </iconSet>
    </cfRule>
  </conditionalFormatting>
  <conditionalFormatting sqref="Y62">
    <cfRule type="iconSet" priority="621">
      <iconSet iconSet="3Symbols2" showValue="0">
        <cfvo type="percent" val="0"/>
        <cfvo type="num" val="0"/>
        <cfvo type="num" val="0"/>
      </iconSet>
    </cfRule>
  </conditionalFormatting>
  <conditionalFormatting sqref="Y64">
    <cfRule type="iconSet" priority="671">
      <iconSet iconSet="3Symbols2" showValue="0">
        <cfvo type="percent" val="0"/>
        <cfvo type="num" val="0"/>
        <cfvo type="num" val="0"/>
      </iconSet>
    </cfRule>
  </conditionalFormatting>
  <conditionalFormatting sqref="Y65">
    <cfRule type="iconSet" priority="568">
      <iconSet iconSet="3Symbols2" showValue="0">
        <cfvo type="percent" val="0"/>
        <cfvo type="num" val="0"/>
        <cfvo type="num" val="0"/>
      </iconSet>
    </cfRule>
  </conditionalFormatting>
  <conditionalFormatting sqref="Y66:Y74">
    <cfRule type="iconSet" priority="674">
      <iconSet iconSet="3Symbols2" showValue="0">
        <cfvo type="percent" val="0"/>
        <cfvo type="num" val="0"/>
        <cfvo type="num" val="0"/>
      </iconSet>
    </cfRule>
  </conditionalFormatting>
  <conditionalFormatting sqref="Y75">
    <cfRule type="iconSet" priority="537">
      <iconSet iconSet="3Symbols2" showValue="0">
        <cfvo type="percent" val="0"/>
        <cfvo type="num" val="0"/>
        <cfvo type="num" val="0"/>
      </iconSet>
    </cfRule>
  </conditionalFormatting>
  <conditionalFormatting sqref="Y76:Y84">
    <cfRule type="iconSet" priority="541">
      <iconSet iconSet="3Symbols2" showValue="0">
        <cfvo type="percent" val="0"/>
        <cfvo type="num" val="0"/>
        <cfvo type="num" val="0"/>
      </iconSet>
    </cfRule>
  </conditionalFormatting>
  <conditionalFormatting sqref="Y85">
    <cfRule type="iconSet" priority="565">
      <iconSet iconSet="3Symbols2" showValue="0">
        <cfvo type="percent" val="0"/>
        <cfvo type="num" val="0"/>
        <cfvo type="num" val="0"/>
      </iconSet>
    </cfRule>
  </conditionalFormatting>
  <conditionalFormatting sqref="Y86">
    <cfRule type="iconSet" priority="617">
      <iconSet iconSet="3Symbols2" showValue="0">
        <cfvo type="percent" val="0"/>
        <cfvo type="num" val="0"/>
        <cfvo type="num" val="0"/>
      </iconSet>
    </cfRule>
  </conditionalFormatting>
  <conditionalFormatting sqref="Y87">
    <cfRule type="iconSet" priority="626">
      <iconSet iconSet="3Symbols2" showValue="0">
        <cfvo type="percent" val="0"/>
        <cfvo type="num" val="0"/>
        <cfvo type="num" val="0"/>
      </iconSet>
    </cfRule>
  </conditionalFormatting>
  <conditionalFormatting sqref="Y98">
    <cfRule type="iconSet" priority="592">
      <iconSet iconSet="3Symbols2" showValue="0">
        <cfvo type="percent" val="0"/>
        <cfvo type="num" val="0"/>
        <cfvo type="num" val="0"/>
      </iconSet>
    </cfRule>
  </conditionalFormatting>
  <conditionalFormatting sqref="Y99">
    <cfRule type="iconSet" priority="625">
      <iconSet iconSet="3Symbols2" showValue="0">
        <cfvo type="percent" val="0"/>
        <cfvo type="num" val="0"/>
        <cfvo type="num" val="0"/>
      </iconSet>
    </cfRule>
  </conditionalFormatting>
  <conditionalFormatting sqref="Y108">
    <cfRule type="iconSet" priority="589">
      <iconSet iconSet="3Symbols2" showValue="0">
        <cfvo type="percent" val="0"/>
        <cfvo type="num" val="0"/>
        <cfvo type="num" val="0"/>
      </iconSet>
    </cfRule>
  </conditionalFormatting>
  <conditionalFormatting sqref="Y109">
    <cfRule type="iconSet" priority="624">
      <iconSet iconSet="3Symbols2" showValue="0">
        <cfvo type="percent" val="0"/>
        <cfvo type="num" val="0"/>
        <cfvo type="num" val="0"/>
      </iconSet>
    </cfRule>
  </conditionalFormatting>
  <conditionalFormatting sqref="Y110:Y117">
    <cfRule type="iconSet" priority="634">
      <iconSet iconSet="3Symbols2" showValue="0">
        <cfvo type="percent" val="0"/>
        <cfvo type="num" val="0"/>
        <cfvo type="num" val="0"/>
      </iconSet>
    </cfRule>
  </conditionalFormatting>
  <conditionalFormatting sqref="Y118">
    <cfRule type="iconSet" priority="586">
      <iconSet iconSet="3Symbols2" showValue="0">
        <cfvo type="percent" val="0"/>
        <cfvo type="num" val="0"/>
        <cfvo type="num" val="0"/>
      </iconSet>
    </cfRule>
  </conditionalFormatting>
  <conditionalFormatting sqref="Y119">
    <cfRule type="iconSet" priority="623">
      <iconSet iconSet="3Symbols2" showValue="0">
        <cfvo type="percent" val="0"/>
        <cfvo type="num" val="0"/>
        <cfvo type="num" val="0"/>
      </iconSet>
    </cfRule>
  </conditionalFormatting>
  <conditionalFormatting sqref="Y127">
    <cfRule type="iconSet" priority="583">
      <iconSet iconSet="3Symbols2" showValue="0">
        <cfvo type="percent" val="0"/>
        <cfvo type="num" val="0"/>
        <cfvo type="num" val="0"/>
      </iconSet>
    </cfRule>
  </conditionalFormatting>
  <conditionalFormatting sqref="Y128">
    <cfRule type="iconSet" priority="622">
      <iconSet iconSet="3Symbols2" showValue="0">
        <cfvo type="percent" val="0"/>
        <cfvo type="num" val="0"/>
        <cfvo type="num" val="0"/>
      </iconSet>
    </cfRule>
  </conditionalFormatting>
  <conditionalFormatting sqref="Y137">
    <cfRule type="iconSet" priority="580">
      <iconSet iconSet="3Symbols2" showValue="0">
        <cfvo type="percent" val="0"/>
        <cfvo type="num" val="0"/>
        <cfvo type="num" val="0"/>
      </iconSet>
    </cfRule>
  </conditionalFormatting>
  <conditionalFormatting sqref="Y138">
    <cfRule type="iconSet" priority="620">
      <iconSet iconSet="3Symbols2" showValue="0">
        <cfvo type="percent" val="0"/>
        <cfvo type="num" val="0"/>
        <cfvo type="num" val="0"/>
      </iconSet>
    </cfRule>
  </conditionalFormatting>
  <conditionalFormatting sqref="Y152">
    <cfRule type="iconSet" priority="577">
      <iconSet iconSet="3Symbols2" showValue="0">
        <cfvo type="percent" val="0"/>
        <cfvo type="num" val="0"/>
        <cfvo type="num" val="0"/>
      </iconSet>
    </cfRule>
  </conditionalFormatting>
  <conditionalFormatting sqref="Y153">
    <cfRule type="iconSet" priority="619">
      <iconSet iconSet="3Symbols2" showValue="0">
        <cfvo type="percent" val="0"/>
        <cfvo type="num" val="0"/>
        <cfvo type="num" val="0"/>
      </iconSet>
    </cfRule>
  </conditionalFormatting>
  <conditionalFormatting sqref="Y154">
    <cfRule type="iconSet" priority="571">
      <iconSet iconSet="3Symbols2" showValue="0">
        <cfvo type="percent" val="0"/>
        <cfvo type="num" val="0"/>
        <cfvo type="num" val="0"/>
      </iconSet>
    </cfRule>
  </conditionalFormatting>
  <conditionalFormatting sqref="Y155">
    <cfRule type="iconSet" priority="574">
      <iconSet iconSet="3Symbols2" showValue="0">
        <cfvo type="percent" val="0"/>
        <cfvo type="num" val="0"/>
        <cfvo type="num" val="0"/>
      </iconSet>
    </cfRule>
  </conditionalFormatting>
  <conditionalFormatting sqref="Z1:AA5">
    <cfRule type="iconSet" priority="272">
      <iconSet iconSet="3Symbols2" showValue="0">
        <cfvo type="percent" val="0"/>
        <cfvo type="num" val="0"/>
        <cfvo type="num" val="1"/>
      </iconSet>
    </cfRule>
  </conditionalFormatting>
  <conditionalFormatting sqref="Z6:AA8 Z10:AA10 Z42:AA42 Z58:AA58 Z88:AA97 Z120:AA126 Z161:AA1048576">
    <cfRule type="iconSet" priority="289">
      <iconSet iconSet="3Symbols2" showValue="0">
        <cfvo type="percent" val="0"/>
        <cfvo type="num" val="0"/>
        <cfvo type="num" val="0"/>
      </iconSet>
    </cfRule>
  </conditionalFormatting>
  <conditionalFormatting sqref="Z9:AA9">
    <cfRule type="iconSet" priority="288">
      <iconSet iconSet="3Symbols2" showValue="0">
        <cfvo type="percent" val="0"/>
        <cfvo type="num" val="0"/>
        <cfvo type="num" val="0"/>
      </iconSet>
    </cfRule>
  </conditionalFormatting>
  <conditionalFormatting sqref="Z11:AA11">
    <cfRule type="iconSet" priority="271">
      <iconSet iconSet="3Symbols2" showValue="0">
        <cfvo type="percent" val="0"/>
        <cfvo type="num" val="0"/>
        <cfvo type="num" val="0"/>
      </iconSet>
    </cfRule>
  </conditionalFormatting>
  <conditionalFormatting sqref="Z12:AA12">
    <cfRule type="iconSet" priority="287">
      <iconSet iconSet="3Symbols2" showValue="0">
        <cfvo type="percent" val="0"/>
        <cfvo type="num" val="0"/>
        <cfvo type="num" val="0"/>
      </iconSet>
    </cfRule>
  </conditionalFormatting>
  <conditionalFormatting sqref="Z13:AA23">
    <cfRule type="iconSet" priority="256">
      <iconSet iconSet="3Symbols2" showValue="0">
        <cfvo type="percent" val="0"/>
        <cfvo type="num" val="0"/>
        <cfvo type="num" val="0"/>
      </iconSet>
    </cfRule>
  </conditionalFormatting>
  <conditionalFormatting sqref="Z24:AA24">
    <cfRule type="iconSet" priority="270">
      <iconSet iconSet="3Symbols2" showValue="0">
        <cfvo type="percent" val="0"/>
        <cfvo type="num" val="0"/>
        <cfvo type="num" val="0"/>
      </iconSet>
    </cfRule>
  </conditionalFormatting>
  <conditionalFormatting sqref="Z25:AA25">
    <cfRule type="iconSet" priority="286">
      <iconSet iconSet="3Symbols2" showValue="0">
        <cfvo type="percent" val="0"/>
        <cfvo type="num" val="0"/>
        <cfvo type="num" val="0"/>
      </iconSet>
    </cfRule>
  </conditionalFormatting>
  <conditionalFormatting sqref="Z26:AA26">
    <cfRule type="iconSet" priority="255">
      <iconSet iconSet="3Symbols2" showValue="0">
        <cfvo type="percent" val="0"/>
        <cfvo type="num" val="0"/>
        <cfvo type="num" val="0"/>
      </iconSet>
    </cfRule>
  </conditionalFormatting>
  <conditionalFormatting sqref="Z27:AA27">
    <cfRule type="iconSet" priority="269">
      <iconSet iconSet="3Symbols2" showValue="0">
        <cfvo type="percent" val="0"/>
        <cfvo type="num" val="0"/>
        <cfvo type="num" val="0"/>
      </iconSet>
    </cfRule>
  </conditionalFormatting>
  <conditionalFormatting sqref="Z28:AA28">
    <cfRule type="iconSet" priority="285">
      <iconSet iconSet="3Symbols2" showValue="0">
        <cfvo type="percent" val="0"/>
        <cfvo type="num" val="0"/>
        <cfvo type="num" val="0"/>
      </iconSet>
    </cfRule>
  </conditionalFormatting>
  <conditionalFormatting sqref="Z29:AA39">
    <cfRule type="iconSet" priority="254">
      <iconSet iconSet="3Symbols2" showValue="0">
        <cfvo type="percent" val="0"/>
        <cfvo type="num" val="0"/>
        <cfvo type="num" val="0"/>
      </iconSet>
    </cfRule>
  </conditionalFormatting>
  <conditionalFormatting sqref="Z40:AA40">
    <cfRule type="iconSet" priority="268">
      <iconSet iconSet="3Symbols2" showValue="0">
        <cfvo type="percent" val="0"/>
        <cfvo type="num" val="0"/>
        <cfvo type="num" val="0"/>
      </iconSet>
    </cfRule>
  </conditionalFormatting>
  <conditionalFormatting sqref="Z41:AA41">
    <cfRule type="iconSet" priority="284">
      <iconSet iconSet="3Symbols2" showValue="0">
        <cfvo type="percent" val="0"/>
        <cfvo type="num" val="0"/>
        <cfvo type="num" val="0"/>
      </iconSet>
    </cfRule>
  </conditionalFormatting>
  <conditionalFormatting sqref="Z43:AA43">
    <cfRule type="iconSet" priority="267">
      <iconSet iconSet="3Symbols2" showValue="0">
        <cfvo type="percent" val="0"/>
        <cfvo type="num" val="0"/>
        <cfvo type="num" val="0"/>
      </iconSet>
    </cfRule>
  </conditionalFormatting>
  <conditionalFormatting sqref="Z44:AA44">
    <cfRule type="iconSet" priority="283">
      <iconSet iconSet="3Symbols2" showValue="0">
        <cfvo type="percent" val="0"/>
        <cfvo type="num" val="0"/>
        <cfvo type="num" val="0"/>
      </iconSet>
    </cfRule>
  </conditionalFormatting>
  <conditionalFormatting sqref="Z45:AA51 Z53:AA55 Z63:AA63">
    <cfRule type="iconSet" priority="253">
      <iconSet iconSet="3Symbols2" showValue="0">
        <cfvo type="percent" val="0"/>
        <cfvo type="num" val="0"/>
        <cfvo type="num" val="0"/>
      </iconSet>
    </cfRule>
  </conditionalFormatting>
  <conditionalFormatting sqref="Z52:AA52">
    <cfRule type="iconSet" priority="243">
      <iconSet iconSet="3Symbols2" showValue="0">
        <cfvo type="percent" val="0"/>
        <cfvo type="num" val="0"/>
        <cfvo type="num" val="0"/>
      </iconSet>
    </cfRule>
  </conditionalFormatting>
  <conditionalFormatting sqref="Z56:AA56">
    <cfRule type="iconSet" priority="266">
      <iconSet iconSet="3Symbols2" showValue="0">
        <cfvo type="percent" val="0"/>
        <cfvo type="num" val="0"/>
        <cfvo type="num" val="0"/>
      </iconSet>
    </cfRule>
  </conditionalFormatting>
  <conditionalFormatting sqref="Z57:AA57">
    <cfRule type="iconSet" priority="282">
      <iconSet iconSet="3Symbols2" showValue="0">
        <cfvo type="percent" val="0"/>
        <cfvo type="num" val="0"/>
        <cfvo type="num" val="0"/>
      </iconSet>
    </cfRule>
  </conditionalFormatting>
  <conditionalFormatting sqref="Z59:AA59">
    <cfRule type="iconSet" priority="265">
      <iconSet iconSet="3Symbols2" showValue="0">
        <cfvo type="percent" val="0"/>
        <cfvo type="num" val="0"/>
        <cfvo type="num" val="0"/>
      </iconSet>
    </cfRule>
  </conditionalFormatting>
  <conditionalFormatting sqref="Z60:AA61">
    <cfRule type="iconSet" priority="244">
      <iconSet iconSet="3Symbols2" showValue="0">
        <cfvo type="percent" val="0"/>
        <cfvo type="num" val="0"/>
        <cfvo type="num" val="0"/>
      </iconSet>
    </cfRule>
  </conditionalFormatting>
  <conditionalFormatting sqref="Z62:AA62">
    <cfRule type="iconSet" priority="276">
      <iconSet iconSet="3Symbols2" showValue="0">
        <cfvo type="percent" val="0"/>
        <cfvo type="num" val="0"/>
        <cfvo type="num" val="0"/>
      </iconSet>
    </cfRule>
  </conditionalFormatting>
  <conditionalFormatting sqref="Z64:AA64">
    <cfRule type="iconSet" priority="290">
      <iconSet iconSet="3Symbols2" showValue="0">
        <cfvo type="percent" val="0"/>
        <cfvo type="num" val="0"/>
        <cfvo type="num" val="0"/>
      </iconSet>
    </cfRule>
  </conditionalFormatting>
  <conditionalFormatting sqref="Z65:AA65">
    <cfRule type="iconSet" priority="258">
      <iconSet iconSet="3Symbols2" showValue="0">
        <cfvo type="percent" val="0"/>
        <cfvo type="num" val="0"/>
        <cfvo type="num" val="0"/>
      </iconSet>
    </cfRule>
  </conditionalFormatting>
  <conditionalFormatting sqref="Z66:AA74">
    <cfRule type="iconSet" priority="252">
      <iconSet iconSet="3Symbols2" showValue="0">
        <cfvo type="percent" val="0"/>
        <cfvo type="num" val="0"/>
        <cfvo type="num" val="0"/>
      </iconSet>
    </cfRule>
  </conditionalFormatting>
  <conditionalFormatting sqref="Z75:AA75">
    <cfRule type="iconSet" priority="246">
      <iconSet iconSet="3Symbols2" showValue="0">
        <cfvo type="percent" val="0"/>
        <cfvo type="num" val="0"/>
        <cfvo type="num" val="0"/>
      </iconSet>
    </cfRule>
  </conditionalFormatting>
  <conditionalFormatting sqref="Z76:AA84">
    <cfRule type="iconSet" priority="245">
      <iconSet iconSet="3Symbols2" showValue="0">
        <cfvo type="percent" val="0"/>
        <cfvo type="num" val="0"/>
        <cfvo type="num" val="0"/>
      </iconSet>
    </cfRule>
  </conditionalFormatting>
  <conditionalFormatting sqref="Z85:AA85">
    <cfRule type="iconSet" priority="257">
      <iconSet iconSet="3Symbols2" showValue="0">
        <cfvo type="percent" val="0"/>
        <cfvo type="num" val="0"/>
        <cfvo type="num" val="0"/>
      </iconSet>
    </cfRule>
  </conditionalFormatting>
  <conditionalFormatting sqref="Z86:AA86">
    <cfRule type="iconSet" priority="273">
      <iconSet iconSet="3Symbols2" showValue="0">
        <cfvo type="percent" val="0"/>
        <cfvo type="num" val="0"/>
        <cfvo type="num" val="0"/>
      </iconSet>
    </cfRule>
  </conditionalFormatting>
  <conditionalFormatting sqref="Z87:AA87">
    <cfRule type="iconSet" priority="281">
      <iconSet iconSet="3Symbols2" showValue="0">
        <cfvo type="percent" val="0"/>
        <cfvo type="num" val="0"/>
        <cfvo type="num" val="0"/>
      </iconSet>
    </cfRule>
  </conditionalFormatting>
  <conditionalFormatting sqref="Z98:AA98">
    <cfRule type="iconSet" priority="264">
      <iconSet iconSet="3Symbols2" showValue="0">
        <cfvo type="percent" val="0"/>
        <cfvo type="num" val="0"/>
        <cfvo type="num" val="0"/>
      </iconSet>
    </cfRule>
  </conditionalFormatting>
  <conditionalFormatting sqref="Z99:AA99">
    <cfRule type="iconSet" priority="280">
      <iconSet iconSet="3Symbols2" showValue="0">
        <cfvo type="percent" val="0"/>
        <cfvo type="num" val="0"/>
        <cfvo type="num" val="0"/>
      </iconSet>
    </cfRule>
  </conditionalFormatting>
  <conditionalFormatting sqref="Z100:AA107">
    <cfRule type="iconSet" priority="251">
      <iconSet iconSet="3Symbols2" showValue="0">
        <cfvo type="percent" val="0"/>
        <cfvo type="num" val="0"/>
        <cfvo type="num" val="0"/>
      </iconSet>
    </cfRule>
  </conditionalFormatting>
  <conditionalFormatting sqref="Z108:AA108">
    <cfRule type="iconSet" priority="263">
      <iconSet iconSet="3Symbols2" showValue="0">
        <cfvo type="percent" val="0"/>
        <cfvo type="num" val="0"/>
        <cfvo type="num" val="0"/>
      </iconSet>
    </cfRule>
  </conditionalFormatting>
  <conditionalFormatting sqref="Z109:AA109">
    <cfRule type="iconSet" priority="279">
      <iconSet iconSet="3Symbols2" showValue="0">
        <cfvo type="percent" val="0"/>
        <cfvo type="num" val="0"/>
        <cfvo type="num" val="0"/>
      </iconSet>
    </cfRule>
  </conditionalFormatting>
  <conditionalFormatting sqref="Z110:AA117">
    <cfRule type="iconSet" priority="250">
      <iconSet iconSet="3Symbols2" showValue="0">
        <cfvo type="percent" val="0"/>
        <cfvo type="num" val="0"/>
        <cfvo type="num" val="0"/>
      </iconSet>
    </cfRule>
  </conditionalFormatting>
  <conditionalFormatting sqref="Z118:AA118">
    <cfRule type="iconSet" priority="262">
      <iconSet iconSet="3Symbols2" showValue="0">
        <cfvo type="percent" val="0"/>
        <cfvo type="num" val="0"/>
        <cfvo type="num" val="0"/>
      </iconSet>
    </cfRule>
  </conditionalFormatting>
  <conditionalFormatting sqref="Z119:AA119">
    <cfRule type="iconSet" priority="278">
      <iconSet iconSet="3Symbols2" showValue="0">
        <cfvo type="percent" val="0"/>
        <cfvo type="num" val="0"/>
        <cfvo type="num" val="0"/>
      </iconSet>
    </cfRule>
  </conditionalFormatting>
  <conditionalFormatting sqref="Z127:AA127">
    <cfRule type="iconSet" priority="261">
      <iconSet iconSet="3Symbols2" showValue="0">
        <cfvo type="percent" val="0"/>
        <cfvo type="num" val="0"/>
        <cfvo type="num" val="0"/>
      </iconSet>
    </cfRule>
  </conditionalFormatting>
  <conditionalFormatting sqref="Z128:AA128">
    <cfRule type="iconSet" priority="277">
      <iconSet iconSet="3Symbols2" showValue="0">
        <cfvo type="percent" val="0"/>
        <cfvo type="num" val="0"/>
        <cfvo type="num" val="0"/>
      </iconSet>
    </cfRule>
  </conditionalFormatting>
  <conditionalFormatting sqref="Z129:AA136">
    <cfRule type="iconSet" priority="249">
      <iconSet iconSet="3Symbols2" showValue="0">
        <cfvo type="percent" val="0"/>
        <cfvo type="num" val="0"/>
        <cfvo type="num" val="0"/>
      </iconSet>
    </cfRule>
  </conditionalFormatting>
  <conditionalFormatting sqref="Z137:AA137">
    <cfRule type="iconSet" priority="260">
      <iconSet iconSet="3Symbols2" showValue="0">
        <cfvo type="percent" val="0"/>
        <cfvo type="num" val="0"/>
        <cfvo type="num" val="0"/>
      </iconSet>
    </cfRule>
  </conditionalFormatting>
  <conditionalFormatting sqref="Z138:AA138">
    <cfRule type="iconSet" priority="275">
      <iconSet iconSet="3Symbols2" showValue="0">
        <cfvo type="percent" val="0"/>
        <cfvo type="num" val="0"/>
        <cfvo type="num" val="0"/>
      </iconSet>
    </cfRule>
  </conditionalFormatting>
  <conditionalFormatting sqref="Z139:AA151">
    <cfRule type="iconSet" priority="248">
      <iconSet iconSet="3Symbols2" showValue="0">
        <cfvo type="percent" val="0"/>
        <cfvo type="num" val="0"/>
        <cfvo type="num" val="0"/>
      </iconSet>
    </cfRule>
  </conditionalFormatting>
  <conditionalFormatting sqref="Z152:AA152">
    <cfRule type="iconSet" priority="259">
      <iconSet iconSet="3Symbols2" showValue="0">
        <cfvo type="percent" val="0"/>
        <cfvo type="num" val="0"/>
        <cfvo type="num" val="0"/>
      </iconSet>
    </cfRule>
  </conditionalFormatting>
  <conditionalFormatting sqref="Z153:AA153">
    <cfRule type="iconSet" priority="274">
      <iconSet iconSet="3Symbols2" showValue="0">
        <cfvo type="percent" val="0"/>
        <cfvo type="num" val="0"/>
        <cfvo type="num" val="0"/>
      </iconSet>
    </cfRule>
  </conditionalFormatting>
  <conditionalFormatting sqref="Z154:AA160">
    <cfRule type="iconSet" priority="247">
      <iconSet iconSet="3Symbols2" showValue="0">
        <cfvo type="percent" val="0"/>
        <cfvo type="num" val="0"/>
        <cfvo type="num" val="0"/>
      </iconSet>
    </cfRule>
  </conditionalFormatting>
  <conditionalFormatting sqref="AB1:AC5">
    <cfRule type="iconSet" priority="224">
      <iconSet iconSet="3Symbols2" showValue="0">
        <cfvo type="percent" val="0"/>
        <cfvo type="num" val="0"/>
        <cfvo type="num" val="1"/>
      </iconSet>
    </cfRule>
  </conditionalFormatting>
  <conditionalFormatting sqref="AB6:AC8 AB10:AC10 AB42:AC42 AB58:AC58 AB88:AC97 AB120:AC126 AB161:AC1048576">
    <cfRule type="iconSet" priority="241">
      <iconSet iconSet="3Symbols2" showValue="0">
        <cfvo type="percent" val="0"/>
        <cfvo type="num" val="0"/>
        <cfvo type="num" val="0"/>
      </iconSet>
    </cfRule>
  </conditionalFormatting>
  <conditionalFormatting sqref="AB9:AC9">
    <cfRule type="iconSet" priority="240">
      <iconSet iconSet="3Symbols2" showValue="0">
        <cfvo type="percent" val="0"/>
        <cfvo type="num" val="0"/>
        <cfvo type="num" val="0"/>
      </iconSet>
    </cfRule>
  </conditionalFormatting>
  <conditionalFormatting sqref="AB11:AC11">
    <cfRule type="iconSet" priority="223">
      <iconSet iconSet="3Symbols2" showValue="0">
        <cfvo type="percent" val="0"/>
        <cfvo type="num" val="0"/>
        <cfvo type="num" val="0"/>
      </iconSet>
    </cfRule>
  </conditionalFormatting>
  <conditionalFormatting sqref="AB12:AC12">
    <cfRule type="iconSet" priority="239">
      <iconSet iconSet="3Symbols2" showValue="0">
        <cfvo type="percent" val="0"/>
        <cfvo type="num" val="0"/>
        <cfvo type="num" val="0"/>
      </iconSet>
    </cfRule>
  </conditionalFormatting>
  <conditionalFormatting sqref="AB13:AC23">
    <cfRule type="iconSet" priority="208">
      <iconSet iconSet="3Symbols2" showValue="0">
        <cfvo type="percent" val="0"/>
        <cfvo type="num" val="0"/>
        <cfvo type="num" val="0"/>
      </iconSet>
    </cfRule>
  </conditionalFormatting>
  <conditionalFormatting sqref="AB24:AC24">
    <cfRule type="iconSet" priority="222">
      <iconSet iconSet="3Symbols2" showValue="0">
        <cfvo type="percent" val="0"/>
        <cfvo type="num" val="0"/>
        <cfvo type="num" val="0"/>
      </iconSet>
    </cfRule>
  </conditionalFormatting>
  <conditionalFormatting sqref="AB25:AC25">
    <cfRule type="iconSet" priority="238">
      <iconSet iconSet="3Symbols2" showValue="0">
        <cfvo type="percent" val="0"/>
        <cfvo type="num" val="0"/>
        <cfvo type="num" val="0"/>
      </iconSet>
    </cfRule>
  </conditionalFormatting>
  <conditionalFormatting sqref="AB26:AC26">
    <cfRule type="iconSet" priority="207">
      <iconSet iconSet="3Symbols2" showValue="0">
        <cfvo type="percent" val="0"/>
        <cfvo type="num" val="0"/>
        <cfvo type="num" val="0"/>
      </iconSet>
    </cfRule>
  </conditionalFormatting>
  <conditionalFormatting sqref="AB27:AC27">
    <cfRule type="iconSet" priority="221">
      <iconSet iconSet="3Symbols2" showValue="0">
        <cfvo type="percent" val="0"/>
        <cfvo type="num" val="0"/>
        <cfvo type="num" val="0"/>
      </iconSet>
    </cfRule>
  </conditionalFormatting>
  <conditionalFormatting sqref="AB28:AC28">
    <cfRule type="iconSet" priority="237">
      <iconSet iconSet="3Symbols2" showValue="0">
        <cfvo type="percent" val="0"/>
        <cfvo type="num" val="0"/>
        <cfvo type="num" val="0"/>
      </iconSet>
    </cfRule>
  </conditionalFormatting>
  <conditionalFormatting sqref="AB29:AC39">
    <cfRule type="iconSet" priority="206">
      <iconSet iconSet="3Symbols2" showValue="0">
        <cfvo type="percent" val="0"/>
        <cfvo type="num" val="0"/>
        <cfvo type="num" val="0"/>
      </iconSet>
    </cfRule>
  </conditionalFormatting>
  <conditionalFormatting sqref="AB40:AC40">
    <cfRule type="iconSet" priority="220">
      <iconSet iconSet="3Symbols2" showValue="0">
        <cfvo type="percent" val="0"/>
        <cfvo type="num" val="0"/>
        <cfvo type="num" val="0"/>
      </iconSet>
    </cfRule>
  </conditionalFormatting>
  <conditionalFormatting sqref="AB41:AC41">
    <cfRule type="iconSet" priority="236">
      <iconSet iconSet="3Symbols2" showValue="0">
        <cfvo type="percent" val="0"/>
        <cfvo type="num" val="0"/>
        <cfvo type="num" val="0"/>
      </iconSet>
    </cfRule>
  </conditionalFormatting>
  <conditionalFormatting sqref="AB43:AC43">
    <cfRule type="iconSet" priority="219">
      <iconSet iconSet="3Symbols2" showValue="0">
        <cfvo type="percent" val="0"/>
        <cfvo type="num" val="0"/>
        <cfvo type="num" val="0"/>
      </iconSet>
    </cfRule>
  </conditionalFormatting>
  <conditionalFormatting sqref="AB44:AC44">
    <cfRule type="iconSet" priority="235">
      <iconSet iconSet="3Symbols2" showValue="0">
        <cfvo type="percent" val="0"/>
        <cfvo type="num" val="0"/>
        <cfvo type="num" val="0"/>
      </iconSet>
    </cfRule>
  </conditionalFormatting>
  <conditionalFormatting sqref="AB45:AC51 AB53:AC55 AB63:AC63">
    <cfRule type="iconSet" priority="205">
      <iconSet iconSet="3Symbols2" showValue="0">
        <cfvo type="percent" val="0"/>
        <cfvo type="num" val="0"/>
        <cfvo type="num" val="0"/>
      </iconSet>
    </cfRule>
  </conditionalFormatting>
  <conditionalFormatting sqref="AB52:AC52">
    <cfRule type="iconSet" priority="195">
      <iconSet iconSet="3Symbols2" showValue="0">
        <cfvo type="percent" val="0"/>
        <cfvo type="num" val="0"/>
        <cfvo type="num" val="0"/>
      </iconSet>
    </cfRule>
  </conditionalFormatting>
  <conditionalFormatting sqref="AB56:AC56">
    <cfRule type="iconSet" priority="218">
      <iconSet iconSet="3Symbols2" showValue="0">
        <cfvo type="percent" val="0"/>
        <cfvo type="num" val="0"/>
        <cfvo type="num" val="0"/>
      </iconSet>
    </cfRule>
  </conditionalFormatting>
  <conditionalFormatting sqref="AB57:AC57">
    <cfRule type="iconSet" priority="234">
      <iconSet iconSet="3Symbols2" showValue="0">
        <cfvo type="percent" val="0"/>
        <cfvo type="num" val="0"/>
        <cfvo type="num" val="0"/>
      </iconSet>
    </cfRule>
  </conditionalFormatting>
  <conditionalFormatting sqref="AB59:AC59">
    <cfRule type="iconSet" priority="217">
      <iconSet iconSet="3Symbols2" showValue="0">
        <cfvo type="percent" val="0"/>
        <cfvo type="num" val="0"/>
        <cfvo type="num" val="0"/>
      </iconSet>
    </cfRule>
  </conditionalFormatting>
  <conditionalFormatting sqref="AB60:AC61">
    <cfRule type="iconSet" priority="196">
      <iconSet iconSet="3Symbols2" showValue="0">
        <cfvo type="percent" val="0"/>
        <cfvo type="num" val="0"/>
        <cfvo type="num" val="0"/>
      </iconSet>
    </cfRule>
  </conditionalFormatting>
  <conditionalFormatting sqref="AB62:AC62">
    <cfRule type="iconSet" priority="228">
      <iconSet iconSet="3Symbols2" showValue="0">
        <cfvo type="percent" val="0"/>
        <cfvo type="num" val="0"/>
        <cfvo type="num" val="0"/>
      </iconSet>
    </cfRule>
  </conditionalFormatting>
  <conditionalFormatting sqref="AB64:AC64">
    <cfRule type="iconSet" priority="242">
      <iconSet iconSet="3Symbols2" showValue="0">
        <cfvo type="percent" val="0"/>
        <cfvo type="num" val="0"/>
        <cfvo type="num" val="0"/>
      </iconSet>
    </cfRule>
  </conditionalFormatting>
  <conditionalFormatting sqref="AB65:AC65">
    <cfRule type="iconSet" priority="210">
      <iconSet iconSet="3Symbols2" showValue="0">
        <cfvo type="percent" val="0"/>
        <cfvo type="num" val="0"/>
        <cfvo type="num" val="0"/>
      </iconSet>
    </cfRule>
  </conditionalFormatting>
  <conditionalFormatting sqref="AB66:AC74">
    <cfRule type="iconSet" priority="204">
      <iconSet iconSet="3Symbols2" showValue="0">
        <cfvo type="percent" val="0"/>
        <cfvo type="num" val="0"/>
        <cfvo type="num" val="0"/>
      </iconSet>
    </cfRule>
  </conditionalFormatting>
  <conditionalFormatting sqref="AB75:AC75">
    <cfRule type="iconSet" priority="198">
      <iconSet iconSet="3Symbols2" showValue="0">
        <cfvo type="percent" val="0"/>
        <cfvo type="num" val="0"/>
        <cfvo type="num" val="0"/>
      </iconSet>
    </cfRule>
  </conditionalFormatting>
  <conditionalFormatting sqref="AB76:AC84">
    <cfRule type="iconSet" priority="197">
      <iconSet iconSet="3Symbols2" showValue="0">
        <cfvo type="percent" val="0"/>
        <cfvo type="num" val="0"/>
        <cfvo type="num" val="0"/>
      </iconSet>
    </cfRule>
  </conditionalFormatting>
  <conditionalFormatting sqref="AB85:AC85">
    <cfRule type="iconSet" priority="209">
      <iconSet iconSet="3Symbols2" showValue="0">
        <cfvo type="percent" val="0"/>
        <cfvo type="num" val="0"/>
        <cfvo type="num" val="0"/>
      </iconSet>
    </cfRule>
  </conditionalFormatting>
  <conditionalFormatting sqref="AB86:AC86">
    <cfRule type="iconSet" priority="225">
      <iconSet iconSet="3Symbols2" showValue="0">
        <cfvo type="percent" val="0"/>
        <cfvo type="num" val="0"/>
        <cfvo type="num" val="0"/>
      </iconSet>
    </cfRule>
  </conditionalFormatting>
  <conditionalFormatting sqref="AB87:AC87">
    <cfRule type="iconSet" priority="233">
      <iconSet iconSet="3Symbols2" showValue="0">
        <cfvo type="percent" val="0"/>
        <cfvo type="num" val="0"/>
        <cfvo type="num" val="0"/>
      </iconSet>
    </cfRule>
  </conditionalFormatting>
  <conditionalFormatting sqref="AB98:AC98">
    <cfRule type="iconSet" priority="216">
      <iconSet iconSet="3Symbols2" showValue="0">
        <cfvo type="percent" val="0"/>
        <cfvo type="num" val="0"/>
        <cfvo type="num" val="0"/>
      </iconSet>
    </cfRule>
  </conditionalFormatting>
  <conditionalFormatting sqref="AB99:AC99">
    <cfRule type="iconSet" priority="232">
      <iconSet iconSet="3Symbols2" showValue="0">
        <cfvo type="percent" val="0"/>
        <cfvo type="num" val="0"/>
        <cfvo type="num" val="0"/>
      </iconSet>
    </cfRule>
  </conditionalFormatting>
  <conditionalFormatting sqref="AB100:AC107">
    <cfRule type="iconSet" priority="203">
      <iconSet iconSet="3Symbols2" showValue="0">
        <cfvo type="percent" val="0"/>
        <cfvo type="num" val="0"/>
        <cfvo type="num" val="0"/>
      </iconSet>
    </cfRule>
  </conditionalFormatting>
  <conditionalFormatting sqref="AB108:AC108">
    <cfRule type="iconSet" priority="215">
      <iconSet iconSet="3Symbols2" showValue="0">
        <cfvo type="percent" val="0"/>
        <cfvo type="num" val="0"/>
        <cfvo type="num" val="0"/>
      </iconSet>
    </cfRule>
  </conditionalFormatting>
  <conditionalFormatting sqref="AB109:AC109">
    <cfRule type="iconSet" priority="231">
      <iconSet iconSet="3Symbols2" showValue="0">
        <cfvo type="percent" val="0"/>
        <cfvo type="num" val="0"/>
        <cfvo type="num" val="0"/>
      </iconSet>
    </cfRule>
  </conditionalFormatting>
  <conditionalFormatting sqref="AB110:AC117">
    <cfRule type="iconSet" priority="202">
      <iconSet iconSet="3Symbols2" showValue="0">
        <cfvo type="percent" val="0"/>
        <cfvo type="num" val="0"/>
        <cfvo type="num" val="0"/>
      </iconSet>
    </cfRule>
  </conditionalFormatting>
  <conditionalFormatting sqref="AB118:AC118">
    <cfRule type="iconSet" priority="214">
      <iconSet iconSet="3Symbols2" showValue="0">
        <cfvo type="percent" val="0"/>
        <cfvo type="num" val="0"/>
        <cfvo type="num" val="0"/>
      </iconSet>
    </cfRule>
  </conditionalFormatting>
  <conditionalFormatting sqref="AB119:AC119">
    <cfRule type="iconSet" priority="230">
      <iconSet iconSet="3Symbols2" showValue="0">
        <cfvo type="percent" val="0"/>
        <cfvo type="num" val="0"/>
        <cfvo type="num" val="0"/>
      </iconSet>
    </cfRule>
  </conditionalFormatting>
  <conditionalFormatting sqref="AB127:AC127">
    <cfRule type="iconSet" priority="213">
      <iconSet iconSet="3Symbols2" showValue="0">
        <cfvo type="percent" val="0"/>
        <cfvo type="num" val="0"/>
        <cfvo type="num" val="0"/>
      </iconSet>
    </cfRule>
  </conditionalFormatting>
  <conditionalFormatting sqref="AB128:AC128">
    <cfRule type="iconSet" priority="229">
      <iconSet iconSet="3Symbols2" showValue="0">
        <cfvo type="percent" val="0"/>
        <cfvo type="num" val="0"/>
        <cfvo type="num" val="0"/>
      </iconSet>
    </cfRule>
  </conditionalFormatting>
  <conditionalFormatting sqref="AB129:AC136">
    <cfRule type="iconSet" priority="201">
      <iconSet iconSet="3Symbols2" showValue="0">
        <cfvo type="percent" val="0"/>
        <cfvo type="num" val="0"/>
        <cfvo type="num" val="0"/>
      </iconSet>
    </cfRule>
  </conditionalFormatting>
  <conditionalFormatting sqref="AB137:AC137">
    <cfRule type="iconSet" priority="212">
      <iconSet iconSet="3Symbols2" showValue="0">
        <cfvo type="percent" val="0"/>
        <cfvo type="num" val="0"/>
        <cfvo type="num" val="0"/>
      </iconSet>
    </cfRule>
  </conditionalFormatting>
  <conditionalFormatting sqref="AB138:AC138">
    <cfRule type="iconSet" priority="227">
      <iconSet iconSet="3Symbols2" showValue="0">
        <cfvo type="percent" val="0"/>
        <cfvo type="num" val="0"/>
        <cfvo type="num" val="0"/>
      </iconSet>
    </cfRule>
  </conditionalFormatting>
  <conditionalFormatting sqref="AB139:AC151">
    <cfRule type="iconSet" priority="200">
      <iconSet iconSet="3Symbols2" showValue="0">
        <cfvo type="percent" val="0"/>
        <cfvo type="num" val="0"/>
        <cfvo type="num" val="0"/>
      </iconSet>
    </cfRule>
  </conditionalFormatting>
  <conditionalFormatting sqref="AB152:AC152">
    <cfRule type="iconSet" priority="211">
      <iconSet iconSet="3Symbols2" showValue="0">
        <cfvo type="percent" val="0"/>
        <cfvo type="num" val="0"/>
        <cfvo type="num" val="0"/>
      </iconSet>
    </cfRule>
  </conditionalFormatting>
  <conditionalFormatting sqref="AB153:AC153">
    <cfRule type="iconSet" priority="226">
      <iconSet iconSet="3Symbols2" showValue="0">
        <cfvo type="percent" val="0"/>
        <cfvo type="num" val="0"/>
        <cfvo type="num" val="0"/>
      </iconSet>
    </cfRule>
  </conditionalFormatting>
  <conditionalFormatting sqref="AB154:AC160">
    <cfRule type="iconSet" priority="199">
      <iconSet iconSet="3Symbols2" showValue="0">
        <cfvo type="percent" val="0"/>
        <cfvo type="num" val="0"/>
        <cfvo type="num" val="0"/>
      </iconSet>
    </cfRule>
  </conditionalFormatting>
  <conditionalFormatting sqref="AD1:AE5">
    <cfRule type="iconSet" priority="176">
      <iconSet iconSet="3Symbols2" showValue="0">
        <cfvo type="percent" val="0"/>
        <cfvo type="num" val="0"/>
        <cfvo type="num" val="1"/>
      </iconSet>
    </cfRule>
  </conditionalFormatting>
  <conditionalFormatting sqref="AD6:AE8 AD10:AE10 AD42:AE42 AD58:AE58 AD88:AE97 AD120:AE126 AD161:AE1048576">
    <cfRule type="iconSet" priority="193">
      <iconSet iconSet="3Symbols2" showValue="0">
        <cfvo type="percent" val="0"/>
        <cfvo type="num" val="0"/>
        <cfvo type="num" val="0"/>
      </iconSet>
    </cfRule>
  </conditionalFormatting>
  <conditionalFormatting sqref="AD9:AE9">
    <cfRule type="iconSet" priority="192">
      <iconSet iconSet="3Symbols2" showValue="0">
        <cfvo type="percent" val="0"/>
        <cfvo type="num" val="0"/>
        <cfvo type="num" val="0"/>
      </iconSet>
    </cfRule>
  </conditionalFormatting>
  <conditionalFormatting sqref="AD11:AE11">
    <cfRule type="iconSet" priority="175">
      <iconSet iconSet="3Symbols2" showValue="0">
        <cfvo type="percent" val="0"/>
        <cfvo type="num" val="0"/>
        <cfvo type="num" val="0"/>
      </iconSet>
    </cfRule>
  </conditionalFormatting>
  <conditionalFormatting sqref="AD12:AE12">
    <cfRule type="iconSet" priority="191">
      <iconSet iconSet="3Symbols2" showValue="0">
        <cfvo type="percent" val="0"/>
        <cfvo type="num" val="0"/>
        <cfvo type="num" val="0"/>
      </iconSet>
    </cfRule>
  </conditionalFormatting>
  <conditionalFormatting sqref="AD13:AE23">
    <cfRule type="iconSet" priority="160">
      <iconSet iconSet="3Symbols2" showValue="0">
        <cfvo type="percent" val="0"/>
        <cfvo type="num" val="0"/>
        <cfvo type="num" val="0"/>
      </iconSet>
    </cfRule>
  </conditionalFormatting>
  <conditionalFormatting sqref="AD24:AE24">
    <cfRule type="iconSet" priority="174">
      <iconSet iconSet="3Symbols2" showValue="0">
        <cfvo type="percent" val="0"/>
        <cfvo type="num" val="0"/>
        <cfvo type="num" val="0"/>
      </iconSet>
    </cfRule>
  </conditionalFormatting>
  <conditionalFormatting sqref="AD25:AE25">
    <cfRule type="iconSet" priority="190">
      <iconSet iconSet="3Symbols2" showValue="0">
        <cfvo type="percent" val="0"/>
        <cfvo type="num" val="0"/>
        <cfvo type="num" val="0"/>
      </iconSet>
    </cfRule>
  </conditionalFormatting>
  <conditionalFormatting sqref="AD26:AE26">
    <cfRule type="iconSet" priority="159">
      <iconSet iconSet="3Symbols2" showValue="0">
        <cfvo type="percent" val="0"/>
        <cfvo type="num" val="0"/>
        <cfvo type="num" val="0"/>
      </iconSet>
    </cfRule>
  </conditionalFormatting>
  <conditionalFormatting sqref="AD27:AE27">
    <cfRule type="iconSet" priority="173">
      <iconSet iconSet="3Symbols2" showValue="0">
        <cfvo type="percent" val="0"/>
        <cfvo type="num" val="0"/>
        <cfvo type="num" val="0"/>
      </iconSet>
    </cfRule>
  </conditionalFormatting>
  <conditionalFormatting sqref="AD28:AE28">
    <cfRule type="iconSet" priority="189">
      <iconSet iconSet="3Symbols2" showValue="0">
        <cfvo type="percent" val="0"/>
        <cfvo type="num" val="0"/>
        <cfvo type="num" val="0"/>
      </iconSet>
    </cfRule>
  </conditionalFormatting>
  <conditionalFormatting sqref="AD29:AE39">
    <cfRule type="iconSet" priority="158">
      <iconSet iconSet="3Symbols2" showValue="0">
        <cfvo type="percent" val="0"/>
        <cfvo type="num" val="0"/>
        <cfvo type="num" val="0"/>
      </iconSet>
    </cfRule>
  </conditionalFormatting>
  <conditionalFormatting sqref="AD40:AE40">
    <cfRule type="iconSet" priority="172">
      <iconSet iconSet="3Symbols2" showValue="0">
        <cfvo type="percent" val="0"/>
        <cfvo type="num" val="0"/>
        <cfvo type="num" val="0"/>
      </iconSet>
    </cfRule>
  </conditionalFormatting>
  <conditionalFormatting sqref="AD41:AE41">
    <cfRule type="iconSet" priority="188">
      <iconSet iconSet="3Symbols2" showValue="0">
        <cfvo type="percent" val="0"/>
        <cfvo type="num" val="0"/>
        <cfvo type="num" val="0"/>
      </iconSet>
    </cfRule>
  </conditionalFormatting>
  <conditionalFormatting sqref="AD43:AE43">
    <cfRule type="iconSet" priority="171">
      <iconSet iconSet="3Symbols2" showValue="0">
        <cfvo type="percent" val="0"/>
        <cfvo type="num" val="0"/>
        <cfvo type="num" val="0"/>
      </iconSet>
    </cfRule>
  </conditionalFormatting>
  <conditionalFormatting sqref="AD44:AE44">
    <cfRule type="iconSet" priority="187">
      <iconSet iconSet="3Symbols2" showValue="0">
        <cfvo type="percent" val="0"/>
        <cfvo type="num" val="0"/>
        <cfvo type="num" val="0"/>
      </iconSet>
    </cfRule>
  </conditionalFormatting>
  <conditionalFormatting sqref="AD45:AE51 AD53:AE55 AD63:AE63">
    <cfRule type="iconSet" priority="157">
      <iconSet iconSet="3Symbols2" showValue="0">
        <cfvo type="percent" val="0"/>
        <cfvo type="num" val="0"/>
        <cfvo type="num" val="0"/>
      </iconSet>
    </cfRule>
  </conditionalFormatting>
  <conditionalFormatting sqref="AD52:AE52">
    <cfRule type="iconSet" priority="147">
      <iconSet iconSet="3Symbols2" showValue="0">
        <cfvo type="percent" val="0"/>
        <cfvo type="num" val="0"/>
        <cfvo type="num" val="0"/>
      </iconSet>
    </cfRule>
  </conditionalFormatting>
  <conditionalFormatting sqref="AD56:AE56">
    <cfRule type="iconSet" priority="170">
      <iconSet iconSet="3Symbols2" showValue="0">
        <cfvo type="percent" val="0"/>
        <cfvo type="num" val="0"/>
        <cfvo type="num" val="0"/>
      </iconSet>
    </cfRule>
  </conditionalFormatting>
  <conditionalFormatting sqref="AD57:AE57">
    <cfRule type="iconSet" priority="186">
      <iconSet iconSet="3Symbols2" showValue="0">
        <cfvo type="percent" val="0"/>
        <cfvo type="num" val="0"/>
        <cfvo type="num" val="0"/>
      </iconSet>
    </cfRule>
  </conditionalFormatting>
  <conditionalFormatting sqref="AD59:AE59">
    <cfRule type="iconSet" priority="169">
      <iconSet iconSet="3Symbols2" showValue="0">
        <cfvo type="percent" val="0"/>
        <cfvo type="num" val="0"/>
        <cfvo type="num" val="0"/>
      </iconSet>
    </cfRule>
  </conditionalFormatting>
  <conditionalFormatting sqref="AD60:AE61">
    <cfRule type="iconSet" priority="148">
      <iconSet iconSet="3Symbols2" showValue="0">
        <cfvo type="percent" val="0"/>
        <cfvo type="num" val="0"/>
        <cfvo type="num" val="0"/>
      </iconSet>
    </cfRule>
  </conditionalFormatting>
  <conditionalFormatting sqref="AD62:AE62">
    <cfRule type="iconSet" priority="180">
      <iconSet iconSet="3Symbols2" showValue="0">
        <cfvo type="percent" val="0"/>
        <cfvo type="num" val="0"/>
        <cfvo type="num" val="0"/>
      </iconSet>
    </cfRule>
  </conditionalFormatting>
  <conditionalFormatting sqref="AD64:AE64">
    <cfRule type="iconSet" priority="194">
      <iconSet iconSet="3Symbols2" showValue="0">
        <cfvo type="percent" val="0"/>
        <cfvo type="num" val="0"/>
        <cfvo type="num" val="0"/>
      </iconSet>
    </cfRule>
  </conditionalFormatting>
  <conditionalFormatting sqref="AD65:AE65">
    <cfRule type="iconSet" priority="162">
      <iconSet iconSet="3Symbols2" showValue="0">
        <cfvo type="percent" val="0"/>
        <cfvo type="num" val="0"/>
        <cfvo type="num" val="0"/>
      </iconSet>
    </cfRule>
  </conditionalFormatting>
  <conditionalFormatting sqref="AD66:AE74">
    <cfRule type="iconSet" priority="156">
      <iconSet iconSet="3Symbols2" showValue="0">
        <cfvo type="percent" val="0"/>
        <cfvo type="num" val="0"/>
        <cfvo type="num" val="0"/>
      </iconSet>
    </cfRule>
  </conditionalFormatting>
  <conditionalFormatting sqref="AD75:AE75">
    <cfRule type="iconSet" priority="150">
      <iconSet iconSet="3Symbols2" showValue="0">
        <cfvo type="percent" val="0"/>
        <cfvo type="num" val="0"/>
        <cfvo type="num" val="0"/>
      </iconSet>
    </cfRule>
  </conditionalFormatting>
  <conditionalFormatting sqref="AD76:AE84">
    <cfRule type="iconSet" priority="149">
      <iconSet iconSet="3Symbols2" showValue="0">
        <cfvo type="percent" val="0"/>
        <cfvo type="num" val="0"/>
        <cfvo type="num" val="0"/>
      </iconSet>
    </cfRule>
  </conditionalFormatting>
  <conditionalFormatting sqref="AD85:AE85">
    <cfRule type="iconSet" priority="161">
      <iconSet iconSet="3Symbols2" showValue="0">
        <cfvo type="percent" val="0"/>
        <cfvo type="num" val="0"/>
        <cfvo type="num" val="0"/>
      </iconSet>
    </cfRule>
  </conditionalFormatting>
  <conditionalFormatting sqref="AD86:AE86">
    <cfRule type="iconSet" priority="177">
      <iconSet iconSet="3Symbols2" showValue="0">
        <cfvo type="percent" val="0"/>
        <cfvo type="num" val="0"/>
        <cfvo type="num" val="0"/>
      </iconSet>
    </cfRule>
  </conditionalFormatting>
  <conditionalFormatting sqref="AD87:AE87">
    <cfRule type="iconSet" priority="185">
      <iconSet iconSet="3Symbols2" showValue="0">
        <cfvo type="percent" val="0"/>
        <cfvo type="num" val="0"/>
        <cfvo type="num" val="0"/>
      </iconSet>
    </cfRule>
  </conditionalFormatting>
  <conditionalFormatting sqref="AD98:AE98">
    <cfRule type="iconSet" priority="168">
      <iconSet iconSet="3Symbols2" showValue="0">
        <cfvo type="percent" val="0"/>
        <cfvo type="num" val="0"/>
        <cfvo type="num" val="0"/>
      </iconSet>
    </cfRule>
  </conditionalFormatting>
  <conditionalFormatting sqref="AD99:AE99">
    <cfRule type="iconSet" priority="184">
      <iconSet iconSet="3Symbols2" showValue="0">
        <cfvo type="percent" val="0"/>
        <cfvo type="num" val="0"/>
        <cfvo type="num" val="0"/>
      </iconSet>
    </cfRule>
  </conditionalFormatting>
  <conditionalFormatting sqref="AD100:AE107">
    <cfRule type="iconSet" priority="155">
      <iconSet iconSet="3Symbols2" showValue="0">
        <cfvo type="percent" val="0"/>
        <cfvo type="num" val="0"/>
        <cfvo type="num" val="0"/>
      </iconSet>
    </cfRule>
  </conditionalFormatting>
  <conditionalFormatting sqref="AD108:AE108">
    <cfRule type="iconSet" priority="167">
      <iconSet iconSet="3Symbols2" showValue="0">
        <cfvo type="percent" val="0"/>
        <cfvo type="num" val="0"/>
        <cfvo type="num" val="0"/>
      </iconSet>
    </cfRule>
  </conditionalFormatting>
  <conditionalFormatting sqref="AD109:AE109">
    <cfRule type="iconSet" priority="183">
      <iconSet iconSet="3Symbols2" showValue="0">
        <cfvo type="percent" val="0"/>
        <cfvo type="num" val="0"/>
        <cfvo type="num" val="0"/>
      </iconSet>
    </cfRule>
  </conditionalFormatting>
  <conditionalFormatting sqref="AD110:AE117">
    <cfRule type="iconSet" priority="154">
      <iconSet iconSet="3Symbols2" showValue="0">
        <cfvo type="percent" val="0"/>
        <cfvo type="num" val="0"/>
        <cfvo type="num" val="0"/>
      </iconSet>
    </cfRule>
  </conditionalFormatting>
  <conditionalFormatting sqref="AD118:AE118">
    <cfRule type="iconSet" priority="166">
      <iconSet iconSet="3Symbols2" showValue="0">
        <cfvo type="percent" val="0"/>
        <cfvo type="num" val="0"/>
        <cfvo type="num" val="0"/>
      </iconSet>
    </cfRule>
  </conditionalFormatting>
  <conditionalFormatting sqref="AD119:AE119">
    <cfRule type="iconSet" priority="182">
      <iconSet iconSet="3Symbols2" showValue="0">
        <cfvo type="percent" val="0"/>
        <cfvo type="num" val="0"/>
        <cfvo type="num" val="0"/>
      </iconSet>
    </cfRule>
  </conditionalFormatting>
  <conditionalFormatting sqref="AD127:AE127">
    <cfRule type="iconSet" priority="165">
      <iconSet iconSet="3Symbols2" showValue="0">
        <cfvo type="percent" val="0"/>
        <cfvo type="num" val="0"/>
        <cfvo type="num" val="0"/>
      </iconSet>
    </cfRule>
  </conditionalFormatting>
  <conditionalFormatting sqref="AD128:AE128">
    <cfRule type="iconSet" priority="181">
      <iconSet iconSet="3Symbols2" showValue="0">
        <cfvo type="percent" val="0"/>
        <cfvo type="num" val="0"/>
        <cfvo type="num" val="0"/>
      </iconSet>
    </cfRule>
  </conditionalFormatting>
  <conditionalFormatting sqref="AD129:AE136">
    <cfRule type="iconSet" priority="153">
      <iconSet iconSet="3Symbols2" showValue="0">
        <cfvo type="percent" val="0"/>
        <cfvo type="num" val="0"/>
        <cfvo type="num" val="0"/>
      </iconSet>
    </cfRule>
  </conditionalFormatting>
  <conditionalFormatting sqref="AD137:AE137">
    <cfRule type="iconSet" priority="164">
      <iconSet iconSet="3Symbols2" showValue="0">
        <cfvo type="percent" val="0"/>
        <cfvo type="num" val="0"/>
        <cfvo type="num" val="0"/>
      </iconSet>
    </cfRule>
  </conditionalFormatting>
  <conditionalFormatting sqref="AD138:AE138">
    <cfRule type="iconSet" priority="179">
      <iconSet iconSet="3Symbols2" showValue="0">
        <cfvo type="percent" val="0"/>
        <cfvo type="num" val="0"/>
        <cfvo type="num" val="0"/>
      </iconSet>
    </cfRule>
  </conditionalFormatting>
  <conditionalFormatting sqref="AD139:AE151">
    <cfRule type="iconSet" priority="152">
      <iconSet iconSet="3Symbols2" showValue="0">
        <cfvo type="percent" val="0"/>
        <cfvo type="num" val="0"/>
        <cfvo type="num" val="0"/>
      </iconSet>
    </cfRule>
  </conditionalFormatting>
  <conditionalFormatting sqref="AD152:AE152">
    <cfRule type="iconSet" priority="163">
      <iconSet iconSet="3Symbols2" showValue="0">
        <cfvo type="percent" val="0"/>
        <cfvo type="num" val="0"/>
        <cfvo type="num" val="0"/>
      </iconSet>
    </cfRule>
  </conditionalFormatting>
  <conditionalFormatting sqref="AD153:AE153">
    <cfRule type="iconSet" priority="178">
      <iconSet iconSet="3Symbols2" showValue="0">
        <cfvo type="percent" val="0"/>
        <cfvo type="num" val="0"/>
        <cfvo type="num" val="0"/>
      </iconSet>
    </cfRule>
  </conditionalFormatting>
  <conditionalFormatting sqref="AD154:AE160">
    <cfRule type="iconSet" priority="151">
      <iconSet iconSet="3Symbols2" showValue="0">
        <cfvo type="percent" val="0"/>
        <cfvo type="num" val="0"/>
        <cfvo type="num" val="0"/>
      </iconSet>
    </cfRule>
  </conditionalFormatting>
  <conditionalFormatting sqref="AF1:AG5">
    <cfRule type="iconSet" priority="128">
      <iconSet iconSet="3Symbols2" showValue="0">
        <cfvo type="percent" val="0"/>
        <cfvo type="num" val="0"/>
        <cfvo type="num" val="1"/>
      </iconSet>
    </cfRule>
  </conditionalFormatting>
  <conditionalFormatting sqref="AF6:AG8 AF10:AG10 AF42:AG42 AF58:AG58 AF88:AG97 AF120:AG126 AF161:AG1048576">
    <cfRule type="iconSet" priority="145">
      <iconSet iconSet="3Symbols2" showValue="0">
        <cfvo type="percent" val="0"/>
        <cfvo type="num" val="0"/>
        <cfvo type="num" val="0"/>
      </iconSet>
    </cfRule>
  </conditionalFormatting>
  <conditionalFormatting sqref="AF9:AG9">
    <cfRule type="iconSet" priority="144">
      <iconSet iconSet="3Symbols2" showValue="0">
        <cfvo type="percent" val="0"/>
        <cfvo type="num" val="0"/>
        <cfvo type="num" val="0"/>
      </iconSet>
    </cfRule>
  </conditionalFormatting>
  <conditionalFormatting sqref="AF11:AG11">
    <cfRule type="iconSet" priority="127">
      <iconSet iconSet="3Symbols2" showValue="0">
        <cfvo type="percent" val="0"/>
        <cfvo type="num" val="0"/>
        <cfvo type="num" val="0"/>
      </iconSet>
    </cfRule>
  </conditionalFormatting>
  <conditionalFormatting sqref="AF12:AG12">
    <cfRule type="iconSet" priority="143">
      <iconSet iconSet="3Symbols2" showValue="0">
        <cfvo type="percent" val="0"/>
        <cfvo type="num" val="0"/>
        <cfvo type="num" val="0"/>
      </iconSet>
    </cfRule>
  </conditionalFormatting>
  <conditionalFormatting sqref="AF13:AG23">
    <cfRule type="iconSet" priority="112">
      <iconSet iconSet="3Symbols2" showValue="0">
        <cfvo type="percent" val="0"/>
        <cfvo type="num" val="0"/>
        <cfvo type="num" val="0"/>
      </iconSet>
    </cfRule>
  </conditionalFormatting>
  <conditionalFormatting sqref="AF24:AG24">
    <cfRule type="iconSet" priority="126">
      <iconSet iconSet="3Symbols2" showValue="0">
        <cfvo type="percent" val="0"/>
        <cfvo type="num" val="0"/>
        <cfvo type="num" val="0"/>
      </iconSet>
    </cfRule>
  </conditionalFormatting>
  <conditionalFormatting sqref="AF25:AG25">
    <cfRule type="iconSet" priority="142">
      <iconSet iconSet="3Symbols2" showValue="0">
        <cfvo type="percent" val="0"/>
        <cfvo type="num" val="0"/>
        <cfvo type="num" val="0"/>
      </iconSet>
    </cfRule>
  </conditionalFormatting>
  <conditionalFormatting sqref="AF26:AG26">
    <cfRule type="iconSet" priority="111">
      <iconSet iconSet="3Symbols2" showValue="0">
        <cfvo type="percent" val="0"/>
        <cfvo type="num" val="0"/>
        <cfvo type="num" val="0"/>
      </iconSet>
    </cfRule>
  </conditionalFormatting>
  <conditionalFormatting sqref="AF27:AG27">
    <cfRule type="iconSet" priority="125">
      <iconSet iconSet="3Symbols2" showValue="0">
        <cfvo type="percent" val="0"/>
        <cfvo type="num" val="0"/>
        <cfvo type="num" val="0"/>
      </iconSet>
    </cfRule>
  </conditionalFormatting>
  <conditionalFormatting sqref="AF28:AG28">
    <cfRule type="iconSet" priority="141">
      <iconSet iconSet="3Symbols2" showValue="0">
        <cfvo type="percent" val="0"/>
        <cfvo type="num" val="0"/>
        <cfvo type="num" val="0"/>
      </iconSet>
    </cfRule>
  </conditionalFormatting>
  <conditionalFormatting sqref="AF29:AG39">
    <cfRule type="iconSet" priority="110">
      <iconSet iconSet="3Symbols2" showValue="0">
        <cfvo type="percent" val="0"/>
        <cfvo type="num" val="0"/>
        <cfvo type="num" val="0"/>
      </iconSet>
    </cfRule>
  </conditionalFormatting>
  <conditionalFormatting sqref="AF40:AG40">
    <cfRule type="iconSet" priority="124">
      <iconSet iconSet="3Symbols2" showValue="0">
        <cfvo type="percent" val="0"/>
        <cfvo type="num" val="0"/>
        <cfvo type="num" val="0"/>
      </iconSet>
    </cfRule>
  </conditionalFormatting>
  <conditionalFormatting sqref="AF41:AG41">
    <cfRule type="iconSet" priority="140">
      <iconSet iconSet="3Symbols2" showValue="0">
        <cfvo type="percent" val="0"/>
        <cfvo type="num" val="0"/>
        <cfvo type="num" val="0"/>
      </iconSet>
    </cfRule>
  </conditionalFormatting>
  <conditionalFormatting sqref="AF43:AG43">
    <cfRule type="iconSet" priority="123">
      <iconSet iconSet="3Symbols2" showValue="0">
        <cfvo type="percent" val="0"/>
        <cfvo type="num" val="0"/>
        <cfvo type="num" val="0"/>
      </iconSet>
    </cfRule>
  </conditionalFormatting>
  <conditionalFormatting sqref="AF44:AG44">
    <cfRule type="iconSet" priority="139">
      <iconSet iconSet="3Symbols2" showValue="0">
        <cfvo type="percent" val="0"/>
        <cfvo type="num" val="0"/>
        <cfvo type="num" val="0"/>
      </iconSet>
    </cfRule>
  </conditionalFormatting>
  <conditionalFormatting sqref="AF45:AG51 AF53:AG55 AF63:AG63">
    <cfRule type="iconSet" priority="109">
      <iconSet iconSet="3Symbols2" showValue="0">
        <cfvo type="percent" val="0"/>
        <cfvo type="num" val="0"/>
        <cfvo type="num" val="0"/>
      </iconSet>
    </cfRule>
  </conditionalFormatting>
  <conditionalFormatting sqref="AF52:AG52">
    <cfRule type="iconSet" priority="99">
      <iconSet iconSet="3Symbols2" showValue="0">
        <cfvo type="percent" val="0"/>
        <cfvo type="num" val="0"/>
        <cfvo type="num" val="0"/>
      </iconSet>
    </cfRule>
  </conditionalFormatting>
  <conditionalFormatting sqref="AF56:AG56">
    <cfRule type="iconSet" priority="122">
      <iconSet iconSet="3Symbols2" showValue="0">
        <cfvo type="percent" val="0"/>
        <cfvo type="num" val="0"/>
        <cfvo type="num" val="0"/>
      </iconSet>
    </cfRule>
  </conditionalFormatting>
  <conditionalFormatting sqref="AF57:AG57">
    <cfRule type="iconSet" priority="138">
      <iconSet iconSet="3Symbols2" showValue="0">
        <cfvo type="percent" val="0"/>
        <cfvo type="num" val="0"/>
        <cfvo type="num" val="0"/>
      </iconSet>
    </cfRule>
  </conditionalFormatting>
  <conditionalFormatting sqref="AF59:AG59">
    <cfRule type="iconSet" priority="121">
      <iconSet iconSet="3Symbols2" showValue="0">
        <cfvo type="percent" val="0"/>
        <cfvo type="num" val="0"/>
        <cfvo type="num" val="0"/>
      </iconSet>
    </cfRule>
  </conditionalFormatting>
  <conditionalFormatting sqref="AF60:AG61">
    <cfRule type="iconSet" priority="100">
      <iconSet iconSet="3Symbols2" showValue="0">
        <cfvo type="percent" val="0"/>
        <cfvo type="num" val="0"/>
        <cfvo type="num" val="0"/>
      </iconSet>
    </cfRule>
  </conditionalFormatting>
  <conditionalFormatting sqref="AF62:AG62">
    <cfRule type="iconSet" priority="132">
      <iconSet iconSet="3Symbols2" showValue="0">
        <cfvo type="percent" val="0"/>
        <cfvo type="num" val="0"/>
        <cfvo type="num" val="0"/>
      </iconSet>
    </cfRule>
  </conditionalFormatting>
  <conditionalFormatting sqref="AF64:AG64">
    <cfRule type="iconSet" priority="146">
      <iconSet iconSet="3Symbols2" showValue="0">
        <cfvo type="percent" val="0"/>
        <cfvo type="num" val="0"/>
        <cfvo type="num" val="0"/>
      </iconSet>
    </cfRule>
  </conditionalFormatting>
  <conditionalFormatting sqref="AF65:AG65">
    <cfRule type="iconSet" priority="114">
      <iconSet iconSet="3Symbols2" showValue="0">
        <cfvo type="percent" val="0"/>
        <cfvo type="num" val="0"/>
        <cfvo type="num" val="0"/>
      </iconSet>
    </cfRule>
  </conditionalFormatting>
  <conditionalFormatting sqref="AF66:AG74">
    <cfRule type="iconSet" priority="108">
      <iconSet iconSet="3Symbols2" showValue="0">
        <cfvo type="percent" val="0"/>
        <cfvo type="num" val="0"/>
        <cfvo type="num" val="0"/>
      </iconSet>
    </cfRule>
  </conditionalFormatting>
  <conditionalFormatting sqref="AF75:AG75">
    <cfRule type="iconSet" priority="102">
      <iconSet iconSet="3Symbols2" showValue="0">
        <cfvo type="percent" val="0"/>
        <cfvo type="num" val="0"/>
        <cfvo type="num" val="0"/>
      </iconSet>
    </cfRule>
  </conditionalFormatting>
  <conditionalFormatting sqref="AF76:AG84">
    <cfRule type="iconSet" priority="101">
      <iconSet iconSet="3Symbols2" showValue="0">
        <cfvo type="percent" val="0"/>
        <cfvo type="num" val="0"/>
        <cfvo type="num" val="0"/>
      </iconSet>
    </cfRule>
  </conditionalFormatting>
  <conditionalFormatting sqref="AF85:AG85">
    <cfRule type="iconSet" priority="113">
      <iconSet iconSet="3Symbols2" showValue="0">
        <cfvo type="percent" val="0"/>
        <cfvo type="num" val="0"/>
        <cfvo type="num" val="0"/>
      </iconSet>
    </cfRule>
  </conditionalFormatting>
  <conditionalFormatting sqref="AF86:AG86">
    <cfRule type="iconSet" priority="129">
      <iconSet iconSet="3Symbols2" showValue="0">
        <cfvo type="percent" val="0"/>
        <cfvo type="num" val="0"/>
        <cfvo type="num" val="0"/>
      </iconSet>
    </cfRule>
  </conditionalFormatting>
  <conditionalFormatting sqref="AF87:AG87">
    <cfRule type="iconSet" priority="137">
      <iconSet iconSet="3Symbols2" showValue="0">
        <cfvo type="percent" val="0"/>
        <cfvo type="num" val="0"/>
        <cfvo type="num" val="0"/>
      </iconSet>
    </cfRule>
  </conditionalFormatting>
  <conditionalFormatting sqref="AF98:AG98">
    <cfRule type="iconSet" priority="120">
      <iconSet iconSet="3Symbols2" showValue="0">
        <cfvo type="percent" val="0"/>
        <cfvo type="num" val="0"/>
        <cfvo type="num" val="0"/>
      </iconSet>
    </cfRule>
  </conditionalFormatting>
  <conditionalFormatting sqref="AF99:AG99">
    <cfRule type="iconSet" priority="136">
      <iconSet iconSet="3Symbols2" showValue="0">
        <cfvo type="percent" val="0"/>
        <cfvo type="num" val="0"/>
        <cfvo type="num" val="0"/>
      </iconSet>
    </cfRule>
  </conditionalFormatting>
  <conditionalFormatting sqref="AF100:AG107">
    <cfRule type="iconSet" priority="107">
      <iconSet iconSet="3Symbols2" showValue="0">
        <cfvo type="percent" val="0"/>
        <cfvo type="num" val="0"/>
        <cfvo type="num" val="0"/>
      </iconSet>
    </cfRule>
  </conditionalFormatting>
  <conditionalFormatting sqref="AF108:AG108">
    <cfRule type="iconSet" priority="119">
      <iconSet iconSet="3Symbols2" showValue="0">
        <cfvo type="percent" val="0"/>
        <cfvo type="num" val="0"/>
        <cfvo type="num" val="0"/>
      </iconSet>
    </cfRule>
  </conditionalFormatting>
  <conditionalFormatting sqref="AF109:AG109">
    <cfRule type="iconSet" priority="135">
      <iconSet iconSet="3Symbols2" showValue="0">
        <cfvo type="percent" val="0"/>
        <cfvo type="num" val="0"/>
        <cfvo type="num" val="0"/>
      </iconSet>
    </cfRule>
  </conditionalFormatting>
  <conditionalFormatting sqref="AF110:AG117">
    <cfRule type="iconSet" priority="106">
      <iconSet iconSet="3Symbols2" showValue="0">
        <cfvo type="percent" val="0"/>
        <cfvo type="num" val="0"/>
        <cfvo type="num" val="0"/>
      </iconSet>
    </cfRule>
  </conditionalFormatting>
  <conditionalFormatting sqref="AF118:AG118">
    <cfRule type="iconSet" priority="118">
      <iconSet iconSet="3Symbols2" showValue="0">
        <cfvo type="percent" val="0"/>
        <cfvo type="num" val="0"/>
        <cfvo type="num" val="0"/>
      </iconSet>
    </cfRule>
  </conditionalFormatting>
  <conditionalFormatting sqref="AF119:AG119">
    <cfRule type="iconSet" priority="134">
      <iconSet iconSet="3Symbols2" showValue="0">
        <cfvo type="percent" val="0"/>
        <cfvo type="num" val="0"/>
        <cfvo type="num" val="0"/>
      </iconSet>
    </cfRule>
  </conditionalFormatting>
  <conditionalFormatting sqref="AF127:AG127">
    <cfRule type="iconSet" priority="117">
      <iconSet iconSet="3Symbols2" showValue="0">
        <cfvo type="percent" val="0"/>
        <cfvo type="num" val="0"/>
        <cfvo type="num" val="0"/>
      </iconSet>
    </cfRule>
  </conditionalFormatting>
  <conditionalFormatting sqref="AF128:AG128">
    <cfRule type="iconSet" priority="133">
      <iconSet iconSet="3Symbols2" showValue="0">
        <cfvo type="percent" val="0"/>
        <cfvo type="num" val="0"/>
        <cfvo type="num" val="0"/>
      </iconSet>
    </cfRule>
  </conditionalFormatting>
  <conditionalFormatting sqref="AF129:AG136">
    <cfRule type="iconSet" priority="105">
      <iconSet iconSet="3Symbols2" showValue="0">
        <cfvo type="percent" val="0"/>
        <cfvo type="num" val="0"/>
        <cfvo type="num" val="0"/>
      </iconSet>
    </cfRule>
  </conditionalFormatting>
  <conditionalFormatting sqref="AF137:AG137">
    <cfRule type="iconSet" priority="116">
      <iconSet iconSet="3Symbols2" showValue="0">
        <cfvo type="percent" val="0"/>
        <cfvo type="num" val="0"/>
        <cfvo type="num" val="0"/>
      </iconSet>
    </cfRule>
  </conditionalFormatting>
  <conditionalFormatting sqref="AF138:AG138">
    <cfRule type="iconSet" priority="131">
      <iconSet iconSet="3Symbols2" showValue="0">
        <cfvo type="percent" val="0"/>
        <cfvo type="num" val="0"/>
        <cfvo type="num" val="0"/>
      </iconSet>
    </cfRule>
  </conditionalFormatting>
  <conditionalFormatting sqref="AF139:AG151">
    <cfRule type="iconSet" priority="104">
      <iconSet iconSet="3Symbols2" showValue="0">
        <cfvo type="percent" val="0"/>
        <cfvo type="num" val="0"/>
        <cfvo type="num" val="0"/>
      </iconSet>
    </cfRule>
  </conditionalFormatting>
  <conditionalFormatting sqref="AF152:AG152">
    <cfRule type="iconSet" priority="115">
      <iconSet iconSet="3Symbols2" showValue="0">
        <cfvo type="percent" val="0"/>
        <cfvo type="num" val="0"/>
        <cfvo type="num" val="0"/>
      </iconSet>
    </cfRule>
  </conditionalFormatting>
  <conditionalFormatting sqref="AF153:AG153">
    <cfRule type="iconSet" priority="130">
      <iconSet iconSet="3Symbols2" showValue="0">
        <cfvo type="percent" val="0"/>
        <cfvo type="num" val="0"/>
        <cfvo type="num" val="0"/>
      </iconSet>
    </cfRule>
  </conditionalFormatting>
  <conditionalFormatting sqref="AF154:AG160">
    <cfRule type="iconSet" priority="103">
      <iconSet iconSet="3Symbols2" showValue="0">
        <cfvo type="percent" val="0"/>
        <cfvo type="num" val="0"/>
        <cfvo type="num" val="0"/>
      </iconSet>
    </cfRule>
  </conditionalFormatting>
  <conditionalFormatting sqref="AH1:AI5">
    <cfRule type="iconSet" priority="80">
      <iconSet iconSet="3Symbols2" showValue="0">
        <cfvo type="percent" val="0"/>
        <cfvo type="num" val="0"/>
        <cfvo type="num" val="1"/>
      </iconSet>
    </cfRule>
  </conditionalFormatting>
  <conditionalFormatting sqref="AH6:AI8 AH10:AI10 AH42:AI42 AH58:AI58 AH88:AI97 AH120:AI126 AH161:AI1048576">
    <cfRule type="iconSet" priority="97">
      <iconSet iconSet="3Symbols2" showValue="0">
        <cfvo type="percent" val="0"/>
        <cfvo type="num" val="0"/>
        <cfvo type="num" val="0"/>
      </iconSet>
    </cfRule>
  </conditionalFormatting>
  <conditionalFormatting sqref="AH9:AI9">
    <cfRule type="iconSet" priority="96">
      <iconSet iconSet="3Symbols2" showValue="0">
        <cfvo type="percent" val="0"/>
        <cfvo type="num" val="0"/>
        <cfvo type="num" val="0"/>
      </iconSet>
    </cfRule>
  </conditionalFormatting>
  <conditionalFormatting sqref="AH11:AI11">
    <cfRule type="iconSet" priority="79">
      <iconSet iconSet="3Symbols2" showValue="0">
        <cfvo type="percent" val="0"/>
        <cfvo type="num" val="0"/>
        <cfvo type="num" val="0"/>
      </iconSet>
    </cfRule>
  </conditionalFormatting>
  <conditionalFormatting sqref="AH12:AI12">
    <cfRule type="iconSet" priority="95">
      <iconSet iconSet="3Symbols2" showValue="0">
        <cfvo type="percent" val="0"/>
        <cfvo type="num" val="0"/>
        <cfvo type="num" val="0"/>
      </iconSet>
    </cfRule>
  </conditionalFormatting>
  <conditionalFormatting sqref="AH13:AI23">
    <cfRule type="iconSet" priority="64">
      <iconSet iconSet="3Symbols2" showValue="0">
        <cfvo type="percent" val="0"/>
        <cfvo type="num" val="0"/>
        <cfvo type="num" val="0"/>
      </iconSet>
    </cfRule>
  </conditionalFormatting>
  <conditionalFormatting sqref="AH24:AI24">
    <cfRule type="iconSet" priority="78">
      <iconSet iconSet="3Symbols2" showValue="0">
        <cfvo type="percent" val="0"/>
        <cfvo type="num" val="0"/>
        <cfvo type="num" val="0"/>
      </iconSet>
    </cfRule>
  </conditionalFormatting>
  <conditionalFormatting sqref="AH25:AI25">
    <cfRule type="iconSet" priority="94">
      <iconSet iconSet="3Symbols2" showValue="0">
        <cfvo type="percent" val="0"/>
        <cfvo type="num" val="0"/>
        <cfvo type="num" val="0"/>
      </iconSet>
    </cfRule>
  </conditionalFormatting>
  <conditionalFormatting sqref="AH26:AI26">
    <cfRule type="iconSet" priority="63">
      <iconSet iconSet="3Symbols2" showValue="0">
        <cfvo type="percent" val="0"/>
        <cfvo type="num" val="0"/>
        <cfvo type="num" val="0"/>
      </iconSet>
    </cfRule>
  </conditionalFormatting>
  <conditionalFormatting sqref="AH27:AI27">
    <cfRule type="iconSet" priority="77">
      <iconSet iconSet="3Symbols2" showValue="0">
        <cfvo type="percent" val="0"/>
        <cfvo type="num" val="0"/>
        <cfvo type="num" val="0"/>
      </iconSet>
    </cfRule>
  </conditionalFormatting>
  <conditionalFormatting sqref="AH28:AI28">
    <cfRule type="iconSet" priority="93">
      <iconSet iconSet="3Symbols2" showValue="0">
        <cfvo type="percent" val="0"/>
        <cfvo type="num" val="0"/>
        <cfvo type="num" val="0"/>
      </iconSet>
    </cfRule>
  </conditionalFormatting>
  <conditionalFormatting sqref="AH29:AI39">
    <cfRule type="iconSet" priority="62">
      <iconSet iconSet="3Symbols2" showValue="0">
        <cfvo type="percent" val="0"/>
        <cfvo type="num" val="0"/>
        <cfvo type="num" val="0"/>
      </iconSet>
    </cfRule>
  </conditionalFormatting>
  <conditionalFormatting sqref="AH40:AI40">
    <cfRule type="iconSet" priority="76">
      <iconSet iconSet="3Symbols2" showValue="0">
        <cfvo type="percent" val="0"/>
        <cfvo type="num" val="0"/>
        <cfvo type="num" val="0"/>
      </iconSet>
    </cfRule>
  </conditionalFormatting>
  <conditionalFormatting sqref="AH41:AI41">
    <cfRule type="iconSet" priority="92">
      <iconSet iconSet="3Symbols2" showValue="0">
        <cfvo type="percent" val="0"/>
        <cfvo type="num" val="0"/>
        <cfvo type="num" val="0"/>
      </iconSet>
    </cfRule>
  </conditionalFormatting>
  <conditionalFormatting sqref="AH43:AI43">
    <cfRule type="iconSet" priority="75">
      <iconSet iconSet="3Symbols2" showValue="0">
        <cfvo type="percent" val="0"/>
        <cfvo type="num" val="0"/>
        <cfvo type="num" val="0"/>
      </iconSet>
    </cfRule>
  </conditionalFormatting>
  <conditionalFormatting sqref="AH44:AI44">
    <cfRule type="iconSet" priority="91">
      <iconSet iconSet="3Symbols2" showValue="0">
        <cfvo type="percent" val="0"/>
        <cfvo type="num" val="0"/>
        <cfvo type="num" val="0"/>
      </iconSet>
    </cfRule>
  </conditionalFormatting>
  <conditionalFormatting sqref="AH45:AI51 AH53:AI55 AH63:AI63">
    <cfRule type="iconSet" priority="61">
      <iconSet iconSet="3Symbols2" showValue="0">
        <cfvo type="percent" val="0"/>
        <cfvo type="num" val="0"/>
        <cfvo type="num" val="0"/>
      </iconSet>
    </cfRule>
  </conditionalFormatting>
  <conditionalFormatting sqref="AH52:AI52">
    <cfRule type="iconSet" priority="51">
      <iconSet iconSet="3Symbols2" showValue="0">
        <cfvo type="percent" val="0"/>
        <cfvo type="num" val="0"/>
        <cfvo type="num" val="0"/>
      </iconSet>
    </cfRule>
  </conditionalFormatting>
  <conditionalFormatting sqref="AH56:AI56">
    <cfRule type="iconSet" priority="74">
      <iconSet iconSet="3Symbols2" showValue="0">
        <cfvo type="percent" val="0"/>
        <cfvo type="num" val="0"/>
        <cfvo type="num" val="0"/>
      </iconSet>
    </cfRule>
  </conditionalFormatting>
  <conditionalFormatting sqref="AH57:AI57">
    <cfRule type="iconSet" priority="90">
      <iconSet iconSet="3Symbols2" showValue="0">
        <cfvo type="percent" val="0"/>
        <cfvo type="num" val="0"/>
        <cfvo type="num" val="0"/>
      </iconSet>
    </cfRule>
  </conditionalFormatting>
  <conditionalFormatting sqref="AH59:AI59">
    <cfRule type="iconSet" priority="73">
      <iconSet iconSet="3Symbols2" showValue="0">
        <cfvo type="percent" val="0"/>
        <cfvo type="num" val="0"/>
        <cfvo type="num" val="0"/>
      </iconSet>
    </cfRule>
  </conditionalFormatting>
  <conditionalFormatting sqref="AH60:AI61">
    <cfRule type="iconSet" priority="52">
      <iconSet iconSet="3Symbols2" showValue="0">
        <cfvo type="percent" val="0"/>
        <cfvo type="num" val="0"/>
        <cfvo type="num" val="0"/>
      </iconSet>
    </cfRule>
  </conditionalFormatting>
  <conditionalFormatting sqref="AH62:AI62">
    <cfRule type="iconSet" priority="84">
      <iconSet iconSet="3Symbols2" showValue="0">
        <cfvo type="percent" val="0"/>
        <cfvo type="num" val="0"/>
        <cfvo type="num" val="0"/>
      </iconSet>
    </cfRule>
  </conditionalFormatting>
  <conditionalFormatting sqref="AH64:AI64">
    <cfRule type="iconSet" priority="98">
      <iconSet iconSet="3Symbols2" showValue="0">
        <cfvo type="percent" val="0"/>
        <cfvo type="num" val="0"/>
        <cfvo type="num" val="0"/>
      </iconSet>
    </cfRule>
  </conditionalFormatting>
  <conditionalFormatting sqref="AH65:AI65">
    <cfRule type="iconSet" priority="66">
      <iconSet iconSet="3Symbols2" showValue="0">
        <cfvo type="percent" val="0"/>
        <cfvo type="num" val="0"/>
        <cfvo type="num" val="0"/>
      </iconSet>
    </cfRule>
  </conditionalFormatting>
  <conditionalFormatting sqref="AH66:AI74">
    <cfRule type="iconSet" priority="60">
      <iconSet iconSet="3Symbols2" showValue="0">
        <cfvo type="percent" val="0"/>
        <cfvo type="num" val="0"/>
        <cfvo type="num" val="0"/>
      </iconSet>
    </cfRule>
  </conditionalFormatting>
  <conditionalFormatting sqref="AH75:AI75">
    <cfRule type="iconSet" priority="54">
      <iconSet iconSet="3Symbols2" showValue="0">
        <cfvo type="percent" val="0"/>
        <cfvo type="num" val="0"/>
        <cfvo type="num" val="0"/>
      </iconSet>
    </cfRule>
  </conditionalFormatting>
  <conditionalFormatting sqref="AH76:AI84">
    <cfRule type="iconSet" priority="53">
      <iconSet iconSet="3Symbols2" showValue="0">
        <cfvo type="percent" val="0"/>
        <cfvo type="num" val="0"/>
        <cfvo type="num" val="0"/>
      </iconSet>
    </cfRule>
  </conditionalFormatting>
  <conditionalFormatting sqref="AH85:AI85">
    <cfRule type="iconSet" priority="65">
      <iconSet iconSet="3Symbols2" showValue="0">
        <cfvo type="percent" val="0"/>
        <cfvo type="num" val="0"/>
        <cfvo type="num" val="0"/>
      </iconSet>
    </cfRule>
  </conditionalFormatting>
  <conditionalFormatting sqref="AH86:AI86">
    <cfRule type="iconSet" priority="81">
      <iconSet iconSet="3Symbols2" showValue="0">
        <cfvo type="percent" val="0"/>
        <cfvo type="num" val="0"/>
        <cfvo type="num" val="0"/>
      </iconSet>
    </cfRule>
  </conditionalFormatting>
  <conditionalFormatting sqref="AH87:AI87">
    <cfRule type="iconSet" priority="89">
      <iconSet iconSet="3Symbols2" showValue="0">
        <cfvo type="percent" val="0"/>
        <cfvo type="num" val="0"/>
        <cfvo type="num" val="0"/>
      </iconSet>
    </cfRule>
  </conditionalFormatting>
  <conditionalFormatting sqref="AH98:AI98">
    <cfRule type="iconSet" priority="72">
      <iconSet iconSet="3Symbols2" showValue="0">
        <cfvo type="percent" val="0"/>
        <cfvo type="num" val="0"/>
        <cfvo type="num" val="0"/>
      </iconSet>
    </cfRule>
  </conditionalFormatting>
  <conditionalFormatting sqref="AH99:AI99">
    <cfRule type="iconSet" priority="88">
      <iconSet iconSet="3Symbols2" showValue="0">
        <cfvo type="percent" val="0"/>
        <cfvo type="num" val="0"/>
        <cfvo type="num" val="0"/>
      </iconSet>
    </cfRule>
  </conditionalFormatting>
  <conditionalFormatting sqref="AH100:AI107">
    <cfRule type="iconSet" priority="59">
      <iconSet iconSet="3Symbols2" showValue="0">
        <cfvo type="percent" val="0"/>
        <cfvo type="num" val="0"/>
        <cfvo type="num" val="0"/>
      </iconSet>
    </cfRule>
  </conditionalFormatting>
  <conditionalFormatting sqref="AH108:AI108">
    <cfRule type="iconSet" priority="71">
      <iconSet iconSet="3Symbols2" showValue="0">
        <cfvo type="percent" val="0"/>
        <cfvo type="num" val="0"/>
        <cfvo type="num" val="0"/>
      </iconSet>
    </cfRule>
  </conditionalFormatting>
  <conditionalFormatting sqref="AH109:AI109">
    <cfRule type="iconSet" priority="87">
      <iconSet iconSet="3Symbols2" showValue="0">
        <cfvo type="percent" val="0"/>
        <cfvo type="num" val="0"/>
        <cfvo type="num" val="0"/>
      </iconSet>
    </cfRule>
  </conditionalFormatting>
  <conditionalFormatting sqref="AH110:AI117">
    <cfRule type="iconSet" priority="58">
      <iconSet iconSet="3Symbols2" showValue="0">
        <cfvo type="percent" val="0"/>
        <cfvo type="num" val="0"/>
        <cfvo type="num" val="0"/>
      </iconSet>
    </cfRule>
  </conditionalFormatting>
  <conditionalFormatting sqref="AH118:AI118">
    <cfRule type="iconSet" priority="70">
      <iconSet iconSet="3Symbols2" showValue="0">
        <cfvo type="percent" val="0"/>
        <cfvo type="num" val="0"/>
        <cfvo type="num" val="0"/>
      </iconSet>
    </cfRule>
  </conditionalFormatting>
  <conditionalFormatting sqref="AH119:AI119">
    <cfRule type="iconSet" priority="86">
      <iconSet iconSet="3Symbols2" showValue="0">
        <cfvo type="percent" val="0"/>
        <cfvo type="num" val="0"/>
        <cfvo type="num" val="0"/>
      </iconSet>
    </cfRule>
  </conditionalFormatting>
  <conditionalFormatting sqref="AH127:AI127">
    <cfRule type="iconSet" priority="69">
      <iconSet iconSet="3Symbols2" showValue="0">
        <cfvo type="percent" val="0"/>
        <cfvo type="num" val="0"/>
        <cfvo type="num" val="0"/>
      </iconSet>
    </cfRule>
  </conditionalFormatting>
  <conditionalFormatting sqref="AH128:AI128">
    <cfRule type="iconSet" priority="85">
      <iconSet iconSet="3Symbols2" showValue="0">
        <cfvo type="percent" val="0"/>
        <cfvo type="num" val="0"/>
        <cfvo type="num" val="0"/>
      </iconSet>
    </cfRule>
  </conditionalFormatting>
  <conditionalFormatting sqref="AH129:AI136">
    <cfRule type="iconSet" priority="57">
      <iconSet iconSet="3Symbols2" showValue="0">
        <cfvo type="percent" val="0"/>
        <cfvo type="num" val="0"/>
        <cfvo type="num" val="0"/>
      </iconSet>
    </cfRule>
  </conditionalFormatting>
  <conditionalFormatting sqref="AH137:AI137">
    <cfRule type="iconSet" priority="68">
      <iconSet iconSet="3Symbols2" showValue="0">
        <cfvo type="percent" val="0"/>
        <cfvo type="num" val="0"/>
        <cfvo type="num" val="0"/>
      </iconSet>
    </cfRule>
  </conditionalFormatting>
  <conditionalFormatting sqref="AH138:AI138">
    <cfRule type="iconSet" priority="83">
      <iconSet iconSet="3Symbols2" showValue="0">
        <cfvo type="percent" val="0"/>
        <cfvo type="num" val="0"/>
        <cfvo type="num" val="0"/>
      </iconSet>
    </cfRule>
  </conditionalFormatting>
  <conditionalFormatting sqref="AH139:AI151">
    <cfRule type="iconSet" priority="56">
      <iconSet iconSet="3Symbols2" showValue="0">
        <cfvo type="percent" val="0"/>
        <cfvo type="num" val="0"/>
        <cfvo type="num" val="0"/>
      </iconSet>
    </cfRule>
  </conditionalFormatting>
  <conditionalFormatting sqref="AH152:AI152">
    <cfRule type="iconSet" priority="67">
      <iconSet iconSet="3Symbols2" showValue="0">
        <cfvo type="percent" val="0"/>
        <cfvo type="num" val="0"/>
        <cfvo type="num" val="0"/>
      </iconSet>
    </cfRule>
  </conditionalFormatting>
  <conditionalFormatting sqref="AH153:AI153">
    <cfRule type="iconSet" priority="82">
      <iconSet iconSet="3Symbols2" showValue="0">
        <cfvo type="percent" val="0"/>
        <cfvo type="num" val="0"/>
        <cfvo type="num" val="0"/>
      </iconSet>
    </cfRule>
  </conditionalFormatting>
  <conditionalFormatting sqref="AH154:AI160">
    <cfRule type="iconSet" priority="55">
      <iconSet iconSet="3Symbols2" showValue="0">
        <cfvo type="percent" val="0"/>
        <cfvo type="num" val="0"/>
        <cfvo type="num" val="0"/>
      </iconSet>
    </cfRule>
  </conditionalFormatting>
  <conditionalFormatting sqref="AJ1:AK5">
    <cfRule type="iconSet" priority="32">
      <iconSet iconSet="3Symbols2" showValue="0">
        <cfvo type="percent" val="0"/>
        <cfvo type="num" val="0"/>
        <cfvo type="num" val="1"/>
      </iconSet>
    </cfRule>
  </conditionalFormatting>
  <conditionalFormatting sqref="AJ6:AK8 AJ10:AK10 AJ42:AK42 AJ58:AK58 AJ88:AK97 AJ120:AK126 AJ161:AK1048576">
    <cfRule type="iconSet" priority="49">
      <iconSet iconSet="3Symbols2" showValue="0">
        <cfvo type="percent" val="0"/>
        <cfvo type="num" val="0"/>
        <cfvo type="num" val="0"/>
      </iconSet>
    </cfRule>
  </conditionalFormatting>
  <conditionalFormatting sqref="AJ9:AK9">
    <cfRule type="iconSet" priority="48">
      <iconSet iconSet="3Symbols2" showValue="0">
        <cfvo type="percent" val="0"/>
        <cfvo type="num" val="0"/>
        <cfvo type="num" val="0"/>
      </iconSet>
    </cfRule>
  </conditionalFormatting>
  <conditionalFormatting sqref="AJ11:AK11">
    <cfRule type="iconSet" priority="31">
      <iconSet iconSet="3Symbols2" showValue="0">
        <cfvo type="percent" val="0"/>
        <cfvo type="num" val="0"/>
        <cfvo type="num" val="0"/>
      </iconSet>
    </cfRule>
  </conditionalFormatting>
  <conditionalFormatting sqref="AJ12:AK12">
    <cfRule type="iconSet" priority="47">
      <iconSet iconSet="3Symbols2" showValue="0">
        <cfvo type="percent" val="0"/>
        <cfvo type="num" val="0"/>
        <cfvo type="num" val="0"/>
      </iconSet>
    </cfRule>
  </conditionalFormatting>
  <conditionalFormatting sqref="AJ13:AK23">
    <cfRule type="iconSet" priority="16">
      <iconSet iconSet="3Symbols2" showValue="0">
        <cfvo type="percent" val="0"/>
        <cfvo type="num" val="0"/>
        <cfvo type="num" val="0"/>
      </iconSet>
    </cfRule>
  </conditionalFormatting>
  <conditionalFormatting sqref="AJ24:AK24">
    <cfRule type="iconSet" priority="30">
      <iconSet iconSet="3Symbols2" showValue="0">
        <cfvo type="percent" val="0"/>
        <cfvo type="num" val="0"/>
        <cfvo type="num" val="0"/>
      </iconSet>
    </cfRule>
  </conditionalFormatting>
  <conditionalFormatting sqref="AJ25:AK25">
    <cfRule type="iconSet" priority="46">
      <iconSet iconSet="3Symbols2" showValue="0">
        <cfvo type="percent" val="0"/>
        <cfvo type="num" val="0"/>
        <cfvo type="num" val="0"/>
      </iconSet>
    </cfRule>
  </conditionalFormatting>
  <conditionalFormatting sqref="AJ26:AK26">
    <cfRule type="iconSet" priority="15">
      <iconSet iconSet="3Symbols2" showValue="0">
        <cfvo type="percent" val="0"/>
        <cfvo type="num" val="0"/>
        <cfvo type="num" val="0"/>
      </iconSet>
    </cfRule>
  </conditionalFormatting>
  <conditionalFormatting sqref="AJ27:AK27">
    <cfRule type="iconSet" priority="29">
      <iconSet iconSet="3Symbols2" showValue="0">
        <cfvo type="percent" val="0"/>
        <cfvo type="num" val="0"/>
        <cfvo type="num" val="0"/>
      </iconSet>
    </cfRule>
  </conditionalFormatting>
  <conditionalFormatting sqref="AJ28:AK28">
    <cfRule type="iconSet" priority="45">
      <iconSet iconSet="3Symbols2" showValue="0">
        <cfvo type="percent" val="0"/>
        <cfvo type="num" val="0"/>
        <cfvo type="num" val="0"/>
      </iconSet>
    </cfRule>
  </conditionalFormatting>
  <conditionalFormatting sqref="AJ29:AK39">
    <cfRule type="iconSet" priority="14">
      <iconSet iconSet="3Symbols2" showValue="0">
        <cfvo type="percent" val="0"/>
        <cfvo type="num" val="0"/>
        <cfvo type="num" val="0"/>
      </iconSet>
    </cfRule>
  </conditionalFormatting>
  <conditionalFormatting sqref="AJ40:AK40">
    <cfRule type="iconSet" priority="28">
      <iconSet iconSet="3Symbols2" showValue="0">
        <cfvo type="percent" val="0"/>
        <cfvo type="num" val="0"/>
        <cfvo type="num" val="0"/>
      </iconSet>
    </cfRule>
  </conditionalFormatting>
  <conditionalFormatting sqref="AJ41:AK41">
    <cfRule type="iconSet" priority="44">
      <iconSet iconSet="3Symbols2" showValue="0">
        <cfvo type="percent" val="0"/>
        <cfvo type="num" val="0"/>
        <cfvo type="num" val="0"/>
      </iconSet>
    </cfRule>
  </conditionalFormatting>
  <conditionalFormatting sqref="AJ43:AK43">
    <cfRule type="iconSet" priority="27">
      <iconSet iconSet="3Symbols2" showValue="0">
        <cfvo type="percent" val="0"/>
        <cfvo type="num" val="0"/>
        <cfvo type="num" val="0"/>
      </iconSet>
    </cfRule>
  </conditionalFormatting>
  <conditionalFormatting sqref="AJ44:AK44">
    <cfRule type="iconSet" priority="43">
      <iconSet iconSet="3Symbols2" showValue="0">
        <cfvo type="percent" val="0"/>
        <cfvo type="num" val="0"/>
        <cfvo type="num" val="0"/>
      </iconSet>
    </cfRule>
  </conditionalFormatting>
  <conditionalFormatting sqref="AJ45:AK51 AJ53:AK55 AJ63:AK63">
    <cfRule type="iconSet" priority="13">
      <iconSet iconSet="3Symbols2" showValue="0">
        <cfvo type="percent" val="0"/>
        <cfvo type="num" val="0"/>
        <cfvo type="num" val="0"/>
      </iconSet>
    </cfRule>
  </conditionalFormatting>
  <conditionalFormatting sqref="AJ52:AK52">
    <cfRule type="iconSet" priority="3">
      <iconSet iconSet="3Symbols2" showValue="0">
        <cfvo type="percent" val="0"/>
        <cfvo type="num" val="0"/>
        <cfvo type="num" val="0"/>
      </iconSet>
    </cfRule>
  </conditionalFormatting>
  <conditionalFormatting sqref="AJ56:AK56">
    <cfRule type="iconSet" priority="26">
      <iconSet iconSet="3Symbols2" showValue="0">
        <cfvo type="percent" val="0"/>
        <cfvo type="num" val="0"/>
        <cfvo type="num" val="0"/>
      </iconSet>
    </cfRule>
  </conditionalFormatting>
  <conditionalFormatting sqref="AJ57:AK57">
    <cfRule type="iconSet" priority="42">
      <iconSet iconSet="3Symbols2" showValue="0">
        <cfvo type="percent" val="0"/>
        <cfvo type="num" val="0"/>
        <cfvo type="num" val="0"/>
      </iconSet>
    </cfRule>
  </conditionalFormatting>
  <conditionalFormatting sqref="AJ59:AK59">
    <cfRule type="iconSet" priority="25">
      <iconSet iconSet="3Symbols2" showValue="0">
        <cfvo type="percent" val="0"/>
        <cfvo type="num" val="0"/>
        <cfvo type="num" val="0"/>
      </iconSet>
    </cfRule>
  </conditionalFormatting>
  <conditionalFormatting sqref="AJ60:AK61">
    <cfRule type="iconSet" priority="4">
      <iconSet iconSet="3Symbols2" showValue="0">
        <cfvo type="percent" val="0"/>
        <cfvo type="num" val="0"/>
        <cfvo type="num" val="0"/>
      </iconSet>
    </cfRule>
  </conditionalFormatting>
  <conditionalFormatting sqref="AJ62:AK62">
    <cfRule type="iconSet" priority="36">
      <iconSet iconSet="3Symbols2" showValue="0">
        <cfvo type="percent" val="0"/>
        <cfvo type="num" val="0"/>
        <cfvo type="num" val="0"/>
      </iconSet>
    </cfRule>
  </conditionalFormatting>
  <conditionalFormatting sqref="AJ64:AK64">
    <cfRule type="iconSet" priority="50">
      <iconSet iconSet="3Symbols2" showValue="0">
        <cfvo type="percent" val="0"/>
        <cfvo type="num" val="0"/>
        <cfvo type="num" val="0"/>
      </iconSet>
    </cfRule>
  </conditionalFormatting>
  <conditionalFormatting sqref="AJ65:AK65">
    <cfRule type="iconSet" priority="18">
      <iconSet iconSet="3Symbols2" showValue="0">
        <cfvo type="percent" val="0"/>
        <cfvo type="num" val="0"/>
        <cfvo type="num" val="0"/>
      </iconSet>
    </cfRule>
  </conditionalFormatting>
  <conditionalFormatting sqref="AJ66:AK74">
    <cfRule type="iconSet" priority="12">
      <iconSet iconSet="3Symbols2" showValue="0">
        <cfvo type="percent" val="0"/>
        <cfvo type="num" val="0"/>
        <cfvo type="num" val="0"/>
      </iconSet>
    </cfRule>
  </conditionalFormatting>
  <conditionalFormatting sqref="AJ75:AK75">
    <cfRule type="iconSet" priority="6">
      <iconSet iconSet="3Symbols2" showValue="0">
        <cfvo type="percent" val="0"/>
        <cfvo type="num" val="0"/>
        <cfvo type="num" val="0"/>
      </iconSet>
    </cfRule>
  </conditionalFormatting>
  <conditionalFormatting sqref="AJ76:AK84">
    <cfRule type="iconSet" priority="5">
      <iconSet iconSet="3Symbols2" showValue="0">
        <cfvo type="percent" val="0"/>
        <cfvo type="num" val="0"/>
        <cfvo type="num" val="0"/>
      </iconSet>
    </cfRule>
  </conditionalFormatting>
  <conditionalFormatting sqref="AJ85:AK85">
    <cfRule type="iconSet" priority="17">
      <iconSet iconSet="3Symbols2" showValue="0">
        <cfvo type="percent" val="0"/>
        <cfvo type="num" val="0"/>
        <cfvo type="num" val="0"/>
      </iconSet>
    </cfRule>
  </conditionalFormatting>
  <conditionalFormatting sqref="AJ86:AK86">
    <cfRule type="iconSet" priority="33">
      <iconSet iconSet="3Symbols2" showValue="0">
        <cfvo type="percent" val="0"/>
        <cfvo type="num" val="0"/>
        <cfvo type="num" val="0"/>
      </iconSet>
    </cfRule>
  </conditionalFormatting>
  <conditionalFormatting sqref="AJ87:AK87">
    <cfRule type="iconSet" priority="41">
      <iconSet iconSet="3Symbols2" showValue="0">
        <cfvo type="percent" val="0"/>
        <cfvo type="num" val="0"/>
        <cfvo type="num" val="0"/>
      </iconSet>
    </cfRule>
  </conditionalFormatting>
  <conditionalFormatting sqref="AJ98:AK98">
    <cfRule type="iconSet" priority="24">
      <iconSet iconSet="3Symbols2" showValue="0">
        <cfvo type="percent" val="0"/>
        <cfvo type="num" val="0"/>
        <cfvo type="num" val="0"/>
      </iconSet>
    </cfRule>
  </conditionalFormatting>
  <conditionalFormatting sqref="AJ99:AK99">
    <cfRule type="iconSet" priority="40">
      <iconSet iconSet="3Symbols2" showValue="0">
        <cfvo type="percent" val="0"/>
        <cfvo type="num" val="0"/>
        <cfvo type="num" val="0"/>
      </iconSet>
    </cfRule>
  </conditionalFormatting>
  <conditionalFormatting sqref="AJ100:AK107">
    <cfRule type="iconSet" priority="11">
      <iconSet iconSet="3Symbols2" showValue="0">
        <cfvo type="percent" val="0"/>
        <cfvo type="num" val="0"/>
        <cfvo type="num" val="0"/>
      </iconSet>
    </cfRule>
  </conditionalFormatting>
  <conditionalFormatting sqref="AJ108:AK108">
    <cfRule type="iconSet" priority="23">
      <iconSet iconSet="3Symbols2" showValue="0">
        <cfvo type="percent" val="0"/>
        <cfvo type="num" val="0"/>
        <cfvo type="num" val="0"/>
      </iconSet>
    </cfRule>
  </conditionalFormatting>
  <conditionalFormatting sqref="AJ109:AK109">
    <cfRule type="iconSet" priority="39">
      <iconSet iconSet="3Symbols2" showValue="0">
        <cfvo type="percent" val="0"/>
        <cfvo type="num" val="0"/>
        <cfvo type="num" val="0"/>
      </iconSet>
    </cfRule>
  </conditionalFormatting>
  <conditionalFormatting sqref="AJ110:AK117">
    <cfRule type="iconSet" priority="10">
      <iconSet iconSet="3Symbols2" showValue="0">
        <cfvo type="percent" val="0"/>
        <cfvo type="num" val="0"/>
        <cfvo type="num" val="0"/>
      </iconSet>
    </cfRule>
  </conditionalFormatting>
  <conditionalFormatting sqref="AJ118:AK118">
    <cfRule type="iconSet" priority="22">
      <iconSet iconSet="3Symbols2" showValue="0">
        <cfvo type="percent" val="0"/>
        <cfvo type="num" val="0"/>
        <cfvo type="num" val="0"/>
      </iconSet>
    </cfRule>
  </conditionalFormatting>
  <conditionalFormatting sqref="AJ119:AK119">
    <cfRule type="iconSet" priority="38">
      <iconSet iconSet="3Symbols2" showValue="0">
        <cfvo type="percent" val="0"/>
        <cfvo type="num" val="0"/>
        <cfvo type="num" val="0"/>
      </iconSet>
    </cfRule>
  </conditionalFormatting>
  <conditionalFormatting sqref="AJ127:AK127">
    <cfRule type="iconSet" priority="21">
      <iconSet iconSet="3Symbols2" showValue="0">
        <cfvo type="percent" val="0"/>
        <cfvo type="num" val="0"/>
        <cfvo type="num" val="0"/>
      </iconSet>
    </cfRule>
  </conditionalFormatting>
  <conditionalFormatting sqref="AJ128:AK128">
    <cfRule type="iconSet" priority="37">
      <iconSet iconSet="3Symbols2" showValue="0">
        <cfvo type="percent" val="0"/>
        <cfvo type="num" val="0"/>
        <cfvo type="num" val="0"/>
      </iconSet>
    </cfRule>
  </conditionalFormatting>
  <conditionalFormatting sqref="AJ129:AK136">
    <cfRule type="iconSet" priority="9">
      <iconSet iconSet="3Symbols2" showValue="0">
        <cfvo type="percent" val="0"/>
        <cfvo type="num" val="0"/>
        <cfvo type="num" val="0"/>
      </iconSet>
    </cfRule>
  </conditionalFormatting>
  <conditionalFormatting sqref="AJ137:AK137">
    <cfRule type="iconSet" priority="20">
      <iconSet iconSet="3Symbols2" showValue="0">
        <cfvo type="percent" val="0"/>
        <cfvo type="num" val="0"/>
        <cfvo type="num" val="0"/>
      </iconSet>
    </cfRule>
  </conditionalFormatting>
  <conditionalFormatting sqref="AJ138:AK138">
    <cfRule type="iconSet" priority="35">
      <iconSet iconSet="3Symbols2" showValue="0">
        <cfvo type="percent" val="0"/>
        <cfvo type="num" val="0"/>
        <cfvo type="num" val="0"/>
      </iconSet>
    </cfRule>
  </conditionalFormatting>
  <conditionalFormatting sqref="AJ139:AK151">
    <cfRule type="iconSet" priority="8">
      <iconSet iconSet="3Symbols2" showValue="0">
        <cfvo type="percent" val="0"/>
        <cfvo type="num" val="0"/>
        <cfvo type="num" val="0"/>
      </iconSet>
    </cfRule>
  </conditionalFormatting>
  <conditionalFormatting sqref="AJ152:AK152">
    <cfRule type="iconSet" priority="19">
      <iconSet iconSet="3Symbols2" showValue="0">
        <cfvo type="percent" val="0"/>
        <cfvo type="num" val="0"/>
        <cfvo type="num" val="0"/>
      </iconSet>
    </cfRule>
  </conditionalFormatting>
  <conditionalFormatting sqref="AJ153:AK153">
    <cfRule type="iconSet" priority="34">
      <iconSet iconSet="3Symbols2" showValue="0">
        <cfvo type="percent" val="0"/>
        <cfvo type="num" val="0"/>
        <cfvo type="num" val="0"/>
      </iconSet>
    </cfRule>
  </conditionalFormatting>
  <conditionalFormatting sqref="AJ154:AK160">
    <cfRule type="iconSet" priority="7">
      <iconSet iconSet="3Symbols2" showValue="0">
        <cfvo type="percent" val="0"/>
        <cfvo type="num" val="0"/>
        <cfvo type="num" val="0"/>
      </iconSet>
    </cfRule>
  </conditionalFormatting>
  <pageMargins left="0.7" right="0.7" top="0.75" bottom="0.75" header="0.3" footer="0.3"/>
  <pageSetup scale="6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968C-33B7-9B4C-A5EF-86F3ABBBB4D0}">
  <sheetPr codeName="Sheet8"/>
  <dimension ref="A1:C22"/>
  <sheetViews>
    <sheetView workbookViewId="0">
      <selection activeCell="M118" sqref="M118"/>
    </sheetView>
  </sheetViews>
  <sheetFormatPr defaultColWidth="11.44140625" defaultRowHeight="13.2"/>
  <cols>
    <col min="2" max="2" width="18.5546875" customWidth="1"/>
    <col min="3" max="3" width="15.5546875" customWidth="1"/>
  </cols>
  <sheetData>
    <row r="1" spans="1:3">
      <c r="A1" s="52" t="s">
        <v>3051</v>
      </c>
    </row>
    <row r="2" spans="1:3">
      <c r="A2" t="s">
        <v>3052</v>
      </c>
    </row>
    <row r="3" spans="1:3">
      <c r="A3" s="50" t="s">
        <v>3053</v>
      </c>
      <c r="C3" s="51" t="s">
        <v>3054</v>
      </c>
    </row>
    <row r="4" spans="1:3">
      <c r="A4" t="s">
        <v>3055</v>
      </c>
    </row>
    <row r="5" spans="1:3">
      <c r="A5" s="50" t="s">
        <v>3056</v>
      </c>
      <c r="C5" t="s">
        <v>3057</v>
      </c>
    </row>
    <row r="6" spans="1:3">
      <c r="A6" t="s">
        <v>3058</v>
      </c>
    </row>
    <row r="7" spans="1:3">
      <c r="A7" s="50" t="s">
        <v>3059</v>
      </c>
      <c r="C7" t="s">
        <v>3060</v>
      </c>
    </row>
    <row r="8" spans="1:3">
      <c r="A8" t="s">
        <v>3061</v>
      </c>
    </row>
    <row r="9" spans="1:3">
      <c r="A9" s="50" t="s">
        <v>3062</v>
      </c>
      <c r="C9" t="s">
        <v>3063</v>
      </c>
    </row>
    <row r="10" spans="1:3">
      <c r="A10" s="50" t="s">
        <v>3064</v>
      </c>
      <c r="C10" t="s">
        <v>3060</v>
      </c>
    </row>
    <row r="11" spans="1:3">
      <c r="A11" s="50" t="s">
        <v>3065</v>
      </c>
      <c r="C11" t="s">
        <v>3063</v>
      </c>
    </row>
    <row r="12" spans="1:3">
      <c r="A12" s="51" t="s">
        <v>3066</v>
      </c>
    </row>
    <row r="13" spans="1:3">
      <c r="A13" s="50" t="s">
        <v>3067</v>
      </c>
      <c r="C13" t="s">
        <v>3068</v>
      </c>
    </row>
    <row r="14" spans="1:3">
      <c r="A14" s="50" t="s">
        <v>3069</v>
      </c>
      <c r="C14" t="s">
        <v>3057</v>
      </c>
    </row>
    <row r="15" spans="1:3">
      <c r="A15" s="50" t="s">
        <v>3070</v>
      </c>
      <c r="C15" t="s">
        <v>3071</v>
      </c>
    </row>
    <row r="16" spans="1:3">
      <c r="A16" s="50" t="s">
        <v>3072</v>
      </c>
      <c r="C16" t="s">
        <v>3073</v>
      </c>
    </row>
    <row r="17" spans="1:3">
      <c r="A17" s="51" t="s">
        <v>3074</v>
      </c>
    </row>
    <row r="18" spans="1:3">
      <c r="A18" s="50" t="s">
        <v>3075</v>
      </c>
      <c r="C18" t="s">
        <v>3076</v>
      </c>
    </row>
    <row r="19" spans="1:3">
      <c r="A19" s="50" t="s">
        <v>3077</v>
      </c>
      <c r="C19" t="s">
        <v>3071</v>
      </c>
    </row>
    <row r="20" spans="1:3">
      <c r="A20" s="51" t="s">
        <v>3078</v>
      </c>
    </row>
    <row r="21" spans="1:3">
      <c r="A21" s="50" t="s">
        <v>3069</v>
      </c>
      <c r="C21" t="s">
        <v>3079</v>
      </c>
    </row>
    <row r="22" spans="1:3">
      <c r="A22" s="50" t="s">
        <v>3064</v>
      </c>
      <c r="C22" t="s">
        <v>3080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ct_x0020_ID xmlns="49aa8661-6080-4b43-bc71-085039b820b1" xsi:nil="true"/>
    <SharedWithUsers xmlns="1c3b6138-399c-48b0-9249-b80d30773e06">
      <UserInfo>
        <DisplayName>Intern Cpmo</DisplayName>
        <AccountId>640</AccountId>
        <AccountType/>
      </UserInfo>
      <UserInfo>
        <DisplayName>Ramya C V</DisplayName>
        <AccountId>1556</AccountId>
        <AccountType/>
      </UserInfo>
      <UserInfo>
        <DisplayName>Aravind Vishnu Saravanan Ganesa Moorthy</DisplayName>
        <AccountId>2065</AccountId>
        <AccountType/>
      </UserInfo>
      <UserInfo>
        <DisplayName>Asif Ali Mulla</DisplayName>
        <AccountId>6</AccountId>
        <AccountType/>
      </UserInfo>
      <UserInfo>
        <DisplayName>Shiyam Shankar</DisplayName>
        <AccountId>2469</AccountId>
        <AccountType/>
      </UserInfo>
    </SharedWithUsers>
    <lcf76f155ced4ddcb4097134ff3c332f xmlns="49aa8661-6080-4b43-bc71-085039b820b1">
      <Terms xmlns="http://schemas.microsoft.com/office/infopath/2007/PartnerControls"/>
    </lcf76f155ced4ddcb4097134ff3c332f>
    <TaxCatchAll xmlns="1c3b6138-399c-48b0-9249-b80d30773e06" xsi:nil="true"/>
    <Date xmlns="49aa8661-6080-4b43-bc71-085039b820b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D897DA54605B49B405063084F36B18" ma:contentTypeVersion="20" ma:contentTypeDescription="Create a new document." ma:contentTypeScope="" ma:versionID="8e49a77346c11593ab61173684718027">
  <xsd:schema xmlns:xsd="http://www.w3.org/2001/XMLSchema" xmlns:xs="http://www.w3.org/2001/XMLSchema" xmlns:p="http://schemas.microsoft.com/office/2006/metadata/properties" xmlns:ns2="49aa8661-6080-4b43-bc71-085039b820b1" xmlns:ns3="1c3b6138-399c-48b0-9249-b80d30773e06" targetNamespace="http://schemas.microsoft.com/office/2006/metadata/properties" ma:root="true" ma:fieldsID="09eda505c641c40898b9000e5b821d33" ns2:_="" ns3:_="">
    <xsd:import namespace="49aa8661-6080-4b43-bc71-085039b820b1"/>
    <xsd:import namespace="1c3b6138-399c-48b0-9249-b80d30773e06"/>
    <xsd:element name="properties">
      <xsd:complexType>
        <xsd:sequence>
          <xsd:element name="documentManagement">
            <xsd:complexType>
              <xsd:all>
                <xsd:element ref="ns2:Project_x0020_ID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Dat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aa8661-6080-4b43-bc71-085039b820b1" elementFormDefault="qualified">
    <xsd:import namespace="http://schemas.microsoft.com/office/2006/documentManagement/types"/>
    <xsd:import namespace="http://schemas.microsoft.com/office/infopath/2007/PartnerControls"/>
    <xsd:element name="Project_x0020_ID" ma:index="8" nillable="true" ma:displayName="Project ID" ma:description="Choose the project this file belongs to." ma:format="Dropdown" ma:internalName="Project_x0020_ID">
      <xsd:simpleType>
        <xsd:restriction base="dms:Choice">
          <xsd:enumeration value="0053"/>
          <xsd:enumeration value="53P2"/>
          <xsd:enumeration value="0056"/>
          <xsd:enumeration value="0057"/>
          <xsd:enumeration value="0059"/>
          <xsd:enumeration value="0063"/>
          <xsd:enumeration value="0064"/>
          <xsd:enumeration value="0065"/>
          <xsd:enumeration value="0066"/>
          <xsd:enumeration value="0068"/>
          <xsd:enumeration value="0072"/>
          <xsd:enumeration value="0072P2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0847c990-d389-4210-8462-c9e2e52362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Date" ma:index="26" nillable="true" ma:displayName="Date" ma:format="DateOnly" ma:internalName="Date">
      <xsd:simpleType>
        <xsd:restriction base="dms:DateTime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3b6138-399c-48b0-9249-b80d30773e0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95ca2bca-3b04-4f84-afc4-e9479d6563b0}" ma:internalName="TaxCatchAll" ma:showField="CatchAllData" ma:web="1c3b6138-399c-48b0-9249-b80d30773e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B51EE0-0FDF-4F89-8149-E751F8B26C9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C7A6D57-C275-4E2C-923D-F4DA147A8FF6}">
  <ds:schemaRefs>
    <ds:schemaRef ds:uri="http://schemas.microsoft.com/office/2006/metadata/properties"/>
    <ds:schemaRef ds:uri="http://schemas.microsoft.com/office/infopath/2007/PartnerControls"/>
    <ds:schemaRef ds:uri="49aa8661-6080-4b43-bc71-085039b820b1"/>
    <ds:schemaRef ds:uri="1c3b6138-399c-48b0-9249-b80d30773e06"/>
  </ds:schemaRefs>
</ds:datastoreItem>
</file>

<file path=customXml/itemProps3.xml><?xml version="1.0" encoding="utf-8"?>
<ds:datastoreItem xmlns:ds="http://schemas.openxmlformats.org/officeDocument/2006/customXml" ds:itemID="{7FE7CF17-2DD9-4F46-80C7-6E77F106BC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aa8661-6080-4b43-bc71-085039b820b1"/>
    <ds:schemaRef ds:uri="1c3b6138-399c-48b0-9249-b80d30773e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3f557ba-ddb4-497b-8590-9541f498e808}" enabled="0" method="" siteId="{83f557ba-ddb4-497b-8590-9541f498e80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Summary</vt:lpstr>
      <vt:lpstr>Design Fee</vt:lpstr>
      <vt:lpstr>AR | Drawing List</vt:lpstr>
      <vt:lpstr>ST | Drawing List</vt:lpstr>
      <vt:lpstr>MEP | Drawing List</vt:lpstr>
      <vt:lpstr>LS | Drawing List</vt:lpstr>
      <vt:lpstr>Batches Plan</vt:lpstr>
      <vt:lpstr>BOQ COST</vt:lpstr>
      <vt:lpstr>old LS</vt:lpstr>
      <vt:lpstr>Sheet1</vt:lpstr>
      <vt:lpstr>'Design Fee'!Print_Area</vt:lpstr>
      <vt:lpstr>Summary!Print_Area</vt:lpstr>
      <vt:lpstr>Summary!Print_Titles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Kamal Sagar</dc:creator>
  <cp:keywords/>
  <dc:description/>
  <cp:lastModifiedBy>Shiyam Shankar C</cp:lastModifiedBy>
  <cp:revision/>
  <dcterms:created xsi:type="dcterms:W3CDTF">2019-10-13T06:20:14Z</dcterms:created>
  <dcterms:modified xsi:type="dcterms:W3CDTF">2026-09-24T12:59:36Z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0x010100FDD897DA54605B49B405063084F36B18</vt:lpwstr>
  </property>
  <property fmtid="{D5CDD505-2E9C-101B-9397-08002B2CF9AE}" pid="3" name="MediaServiceImageTags">
    <vt:lpwstr/>
  </property>
</Properties>
</file>